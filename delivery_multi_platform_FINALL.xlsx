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4AE6798-FAC6-4C48-A960-8B58CF5E037F}" xr6:coauthVersionLast="47" xr6:coauthVersionMax="47" xr10:uidLastSave="{00000000-0000-0000-0000-000000000000}"/>
  <bookViews>
    <workbookView xWindow="-108" yWindow="-108" windowWidth="23256" windowHeight="13896" xr2:uid="{2FEDF1AD-568E-4D19-BB83-7E7AEC42A4EC}"/>
  </bookViews>
  <sheets>
    <sheet name="gig_delivery_multi_platform_FIN" sheetId="1" r:id="rId1"/>
  </sheets>
  <definedNames>
    <definedName name="_xlnm._FilterDatabase" localSheetId="0" hidden="1">gig_delivery_multi_platform_FIN!$AJ$1:$AJ$1365</definedName>
  </definedNames>
  <calcPr calcId="0"/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2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3" i="1"/>
  <c r="AN4" i="1"/>
  <c r="AN5" i="1"/>
  <c r="AN6" i="1"/>
  <c r="AN2" i="1"/>
</calcChain>
</file>

<file path=xl/sharedStrings.xml><?xml version="1.0" encoding="utf-8"?>
<sst xmlns="http://schemas.openxmlformats.org/spreadsheetml/2006/main" count="10843" uniqueCount="88">
  <si>
    <t>platform</t>
  </si>
  <si>
    <t>is_weekend</t>
  </si>
  <si>
    <t>fuel_efficiency_km_per_l</t>
  </si>
  <si>
    <t>fuel_price_inr_per_l</t>
  </si>
  <si>
    <t>fuel_cost_inr</t>
  </si>
  <si>
    <t>other_cost_inr</t>
  </si>
  <si>
    <t>net_earning_inr</t>
  </si>
  <si>
    <t>Swiggy</t>
  </si>
  <si>
    <t>Food</t>
  </si>
  <si>
    <t>Friday</t>
  </si>
  <si>
    <t>Lunch</t>
  </si>
  <si>
    <t>Kondapur</t>
  </si>
  <si>
    <t>Clear</t>
  </si>
  <si>
    <t>High</t>
  </si>
  <si>
    <t>Zomato</t>
  </si>
  <si>
    <t>High food demand at this time</t>
  </si>
  <si>
    <t>Ola</t>
  </si>
  <si>
    <t>Ride</t>
  </si>
  <si>
    <t>Wednesday</t>
  </si>
  <si>
    <t>Off-Peak</t>
  </si>
  <si>
    <t>Hitech City</t>
  </si>
  <si>
    <t>Cloudy</t>
  </si>
  <si>
    <t>Low</t>
  </si>
  <si>
    <t>Rapido</t>
  </si>
  <si>
    <t>High ride demand at this time</t>
  </si>
  <si>
    <t>Uber</t>
  </si>
  <si>
    <t>Sunday</t>
  </si>
  <si>
    <t>Morning Peak</t>
  </si>
  <si>
    <t>Uppal</t>
  </si>
  <si>
    <t>Instamart</t>
  </si>
  <si>
    <t>Grocery</t>
  </si>
  <si>
    <t>Saturday</t>
  </si>
  <si>
    <t>Evening</t>
  </si>
  <si>
    <t>LB Nagar</t>
  </si>
  <si>
    <t>Rainy</t>
  </si>
  <si>
    <t>Medium</t>
  </si>
  <si>
    <t>Night</t>
  </si>
  <si>
    <t>Secunderabad</t>
  </si>
  <si>
    <t>Monday</t>
  </si>
  <si>
    <t>Ameerpet</t>
  </si>
  <si>
    <t>Evening Peak</t>
  </si>
  <si>
    <t>Thursday</t>
  </si>
  <si>
    <t>Kukatpally</t>
  </si>
  <si>
    <t>Afternoon</t>
  </si>
  <si>
    <t>Tuesday</t>
  </si>
  <si>
    <t>ECIL</t>
  </si>
  <si>
    <t>Madhapur</t>
  </si>
  <si>
    <t>Morning</t>
  </si>
  <si>
    <t>BigBasket</t>
  </si>
  <si>
    <t>Breakfast</t>
  </si>
  <si>
    <t>Gachibowli</t>
  </si>
  <si>
    <t>Dinner</t>
  </si>
  <si>
    <t>Record_id</t>
  </si>
  <si>
    <t>Service_Category</t>
  </si>
  <si>
    <t>Date</t>
  </si>
  <si>
    <t>Day_Of_Week</t>
  </si>
  <si>
    <t>Hour</t>
  </si>
  <si>
    <t>Meal_Period</t>
  </si>
  <si>
    <t>Area</t>
  </si>
  <si>
    <t>Zone_Factor</t>
  </si>
  <si>
    <t>Weather</t>
  </si>
  <si>
    <t>Rain_Flag</t>
  </si>
  <si>
    <t>Traffic_Level</t>
  </si>
  <si>
    <t>Demand_Score</t>
  </si>
  <si>
    <t>Demand_Level</t>
  </si>
  <si>
    <t>Orders_or_Rides</t>
  </si>
  <si>
    <t>Distance_km</t>
  </si>
  <si>
    <t>Delivery_or_Trip_time_min</t>
  </si>
  <si>
    <t>Base_Earning_inr</t>
  </si>
  <si>
    <t>Incentive_inr</t>
  </si>
  <si>
    <t>Surge_multiplier</t>
  </si>
  <si>
    <t>Surge_Bonus_inr</t>
  </si>
  <si>
    <t>Gross_earning_inr</t>
  </si>
  <si>
    <t>Earning_per_hour</t>
  </si>
  <si>
    <t>Earning_per_km</t>
  </si>
  <si>
    <t>Recommendation_reason</t>
  </si>
  <si>
    <t>Recommended_Platform</t>
  </si>
  <si>
    <t>Prediction_confidence_pct</t>
  </si>
  <si>
    <t>Predicted_Earning_per_hour_inr</t>
  </si>
  <si>
    <t>Predicted_Demand</t>
  </si>
  <si>
    <t>Demand_change_pct</t>
  </si>
  <si>
    <t>Incentive_eligible</t>
  </si>
  <si>
    <t>Cancellation_rate_pct</t>
  </si>
  <si>
    <t>Acceptance_rate_pct</t>
  </si>
  <si>
    <t>Time_Period</t>
  </si>
  <si>
    <t>Peak_Period</t>
  </si>
  <si>
    <t>Earning_Category</t>
  </si>
  <si>
    <t>Demand_Category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</si>
</sst>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1A82-003E-48DD-B598-8827B44AD5AF}">
  <dimension ref="A1:AQ1201"/>
  <sheetViews>
    <sheetView tabSelected="1" topLeftCell="AF1" zoomScale="160" workbookViewId="0">
      <selection activeCell="AR1" sqref="AR1:AR1048576"/>
    </sheetView>
  </sheetViews>
  <sheetFormatPr defaultRowHeight="14.4" x14ac:dyDescent="0.3"/>
  <cols>
    <col min="3" max="3" width="12" customWidth="1"/>
    <col min="4" max="4" width="13.5546875" customWidth="1"/>
    <col min="5" max="5" width="13.77734375" customWidth="1"/>
    <col min="6" max="6" width="12.109375" customWidth="1"/>
    <col min="8" max="8" width="11.21875" customWidth="1"/>
    <col min="9" max="9" width="10.21875" customWidth="1"/>
    <col min="15" max="15" width="8" customWidth="1"/>
    <col min="16" max="16" width="12.88671875" customWidth="1"/>
    <col min="17" max="17" width="12.33203125" customWidth="1"/>
    <col min="18" max="18" width="11.109375" customWidth="1"/>
    <col min="34" max="34" width="23" customWidth="1"/>
    <col min="39" max="39" width="26.33203125" customWidth="1"/>
  </cols>
  <sheetData>
    <row r="1" spans="1:43" x14ac:dyDescent="0.3">
      <c r="A1" t="s">
        <v>52</v>
      </c>
      <c r="B1" t="s">
        <v>0</v>
      </c>
      <c r="C1" t="s">
        <v>53</v>
      </c>
      <c r="D1" t="s">
        <v>54</v>
      </c>
      <c r="E1" t="s">
        <v>55</v>
      </c>
      <c r="F1" t="s">
        <v>1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73</v>
      </c>
      <c r="AD1" t="s">
        <v>74</v>
      </c>
      <c r="AE1" t="s">
        <v>83</v>
      </c>
      <c r="AF1" t="s">
        <v>82</v>
      </c>
      <c r="AG1" t="s">
        <v>81</v>
      </c>
      <c r="AH1" t="s">
        <v>80</v>
      </c>
      <c r="AI1" t="s">
        <v>79</v>
      </c>
      <c r="AJ1" t="s">
        <v>78</v>
      </c>
      <c r="AK1" t="s">
        <v>77</v>
      </c>
      <c r="AL1" t="s">
        <v>76</v>
      </c>
      <c r="AM1" t="s">
        <v>75</v>
      </c>
      <c r="AN1" t="s">
        <v>84</v>
      </c>
      <c r="AO1" t="s">
        <v>85</v>
      </c>
      <c r="AP1" t="s">
        <v>86</v>
      </c>
      <c r="AQ1" t="s">
        <v>87</v>
      </c>
    </row>
    <row r="2" spans="1:43" x14ac:dyDescent="0.3">
      <c r="A2">
        <v>1</v>
      </c>
      <c r="B2" t="s">
        <v>7</v>
      </c>
      <c r="C2" t="s">
        <v>8</v>
      </c>
      <c r="D2" s="1">
        <v>46024</v>
      </c>
      <c r="E2" t="s">
        <v>9</v>
      </c>
      <c r="F2">
        <v>0</v>
      </c>
      <c r="G2">
        <v>14</v>
      </c>
      <c r="H2" t="s">
        <v>10</v>
      </c>
      <c r="I2" t="s">
        <v>11</v>
      </c>
      <c r="J2">
        <v>1.18</v>
      </c>
      <c r="K2" t="s">
        <v>12</v>
      </c>
      <c r="L2">
        <v>0</v>
      </c>
      <c r="M2">
        <v>4.46</v>
      </c>
      <c r="N2">
        <v>81</v>
      </c>
      <c r="O2" t="s">
        <v>13</v>
      </c>
      <c r="P2">
        <v>33</v>
      </c>
      <c r="Q2">
        <v>4.0599999999999996</v>
      </c>
      <c r="R2">
        <v>43.9</v>
      </c>
      <c r="S2">
        <v>80.010000000000005</v>
      </c>
      <c r="T2">
        <v>87.34</v>
      </c>
      <c r="U2">
        <v>1</v>
      </c>
      <c r="V2">
        <v>0</v>
      </c>
      <c r="W2">
        <v>167.35</v>
      </c>
      <c r="X2">
        <v>46.4</v>
      </c>
      <c r="Y2">
        <v>104.34</v>
      </c>
      <c r="Z2">
        <v>9.1199999999999992</v>
      </c>
      <c r="AA2">
        <v>11.12</v>
      </c>
      <c r="AB2">
        <v>147.11000000000001</v>
      </c>
      <c r="AC2">
        <v>201.06150341685651</v>
      </c>
      <c r="AD2">
        <v>36.23399014778326</v>
      </c>
      <c r="AE2">
        <v>80.47</v>
      </c>
      <c r="AF2">
        <v>15.76</v>
      </c>
      <c r="AG2">
        <v>1</v>
      </c>
      <c r="AH2">
        <v>23.55</v>
      </c>
      <c r="AI2">
        <v>104.55</v>
      </c>
      <c r="AJ2">
        <v>214.71</v>
      </c>
      <c r="AK2">
        <v>73.88</v>
      </c>
      <c r="AL2" t="s">
        <v>14</v>
      </c>
      <c r="AM2" t="s">
        <v>15</v>
      </c>
      <c r="AN2" t="str">
        <f>IF(G2&lt;11,"Morning",IF(G2&lt;15,"Afternoon",IF(G2&lt;18,"Evening","Night")))</f>
        <v>Afternoon</v>
      </c>
      <c r="AO2" t="str">
        <f>IF(OR(AND(G2&gt;=7,G2&lt;=10),AND(G2&gt;=17,G2&lt;=20)),"Peak","Off-Peak")</f>
        <v>Off-Peak</v>
      </c>
      <c r="AP2" t="str">
        <f>IF(AC2&lt;150,"Low",IF(AC2&lt;=250,"Medium","High"))</f>
        <v>Medium</v>
      </c>
      <c r="AQ2" t="str">
        <f>IF(N2&lt;=35,"Low",IF(N2&lt;=70,"Medium","High"))</f>
        <v>High</v>
      </c>
    </row>
    <row r="3" spans="1:43" x14ac:dyDescent="0.3">
      <c r="A3">
        <v>2</v>
      </c>
      <c r="B3" t="s">
        <v>16</v>
      </c>
      <c r="C3" t="s">
        <v>17</v>
      </c>
      <c r="D3" s="1">
        <v>46169</v>
      </c>
      <c r="E3" t="s">
        <v>18</v>
      </c>
      <c r="F3">
        <v>0</v>
      </c>
      <c r="G3">
        <v>16</v>
      </c>
      <c r="H3" t="s">
        <v>19</v>
      </c>
      <c r="I3" t="s">
        <v>20</v>
      </c>
      <c r="J3">
        <v>1.25</v>
      </c>
      <c r="K3" t="s">
        <v>21</v>
      </c>
      <c r="L3">
        <v>0</v>
      </c>
      <c r="M3">
        <v>2.95</v>
      </c>
      <c r="N3">
        <v>23</v>
      </c>
      <c r="O3" t="s">
        <v>22</v>
      </c>
      <c r="P3">
        <v>4</v>
      </c>
      <c r="Q3">
        <v>5.36</v>
      </c>
      <c r="R3">
        <v>37.799999999999997</v>
      </c>
      <c r="S3">
        <v>122.26</v>
      </c>
      <c r="T3">
        <v>9.7799999999999994</v>
      </c>
      <c r="U3">
        <v>1.05</v>
      </c>
      <c r="V3">
        <v>6.11</v>
      </c>
      <c r="W3">
        <v>138.15</v>
      </c>
      <c r="X3">
        <v>43.3</v>
      </c>
      <c r="Y3">
        <v>108.78</v>
      </c>
      <c r="Z3">
        <v>13.48</v>
      </c>
      <c r="AA3">
        <v>4.66</v>
      </c>
      <c r="AB3">
        <v>120.01</v>
      </c>
      <c r="AC3">
        <v>190.49206349206349</v>
      </c>
      <c r="AD3">
        <v>22.389925373134329</v>
      </c>
      <c r="AE3">
        <v>56.88</v>
      </c>
      <c r="AF3">
        <v>14.19</v>
      </c>
      <c r="AG3">
        <v>0</v>
      </c>
      <c r="AH3">
        <v>-0.73</v>
      </c>
      <c r="AI3">
        <v>22.27</v>
      </c>
      <c r="AJ3">
        <v>214.87</v>
      </c>
      <c r="AK3">
        <v>62.66</v>
      </c>
      <c r="AL3" t="s">
        <v>23</v>
      </c>
      <c r="AM3" t="s">
        <v>24</v>
      </c>
      <c r="AN3" t="str">
        <f t="shared" ref="AN3:AN66" si="0">IF(G3&lt;11,"Morning",IF(G3&lt;15,"Afternoon",IF(G3&lt;18,"Evening","Night")))</f>
        <v>Evening</v>
      </c>
      <c r="AO3" t="str">
        <f t="shared" ref="AO3:AO66" si="1">IF(OR(AND(G3&gt;=7,G3&lt;=10),AND(G3&gt;=17,G3&lt;=20)),"Peak","Off-Peak")</f>
        <v>Off-Peak</v>
      </c>
      <c r="AP3" t="str">
        <f t="shared" ref="AP3:AP66" si="2">IF(AC3&lt;150,"Low",IF(AC3&lt;=250,"Medium","High"))</f>
        <v>Medium</v>
      </c>
      <c r="AQ3" t="str">
        <f t="shared" ref="AQ3:AQ66" si="3">IF(N3&lt;=35,"Low",IF(N3&lt;=70,"Medium","High"))</f>
        <v>Low</v>
      </c>
    </row>
    <row r="4" spans="1:43" x14ac:dyDescent="0.3">
      <c r="A4">
        <v>3</v>
      </c>
      <c r="B4" t="s">
        <v>25</v>
      </c>
      <c r="C4" t="s">
        <v>17</v>
      </c>
      <c r="D4" s="1">
        <v>46215</v>
      </c>
      <c r="E4" t="s">
        <v>26</v>
      </c>
      <c r="F4">
        <v>1</v>
      </c>
      <c r="G4">
        <v>9</v>
      </c>
      <c r="H4" t="s">
        <v>27</v>
      </c>
      <c r="I4" t="s">
        <v>28</v>
      </c>
      <c r="J4">
        <v>1.03</v>
      </c>
      <c r="K4" t="s">
        <v>21</v>
      </c>
      <c r="L4">
        <v>0</v>
      </c>
      <c r="M4">
        <v>4.1100000000000003</v>
      </c>
      <c r="N4">
        <v>91</v>
      </c>
      <c r="O4" t="s">
        <v>13</v>
      </c>
      <c r="P4">
        <v>19</v>
      </c>
      <c r="Q4">
        <v>3.22</v>
      </c>
      <c r="R4">
        <v>36</v>
      </c>
      <c r="S4">
        <v>96.75</v>
      </c>
      <c r="T4">
        <v>100</v>
      </c>
      <c r="U4">
        <v>1.2</v>
      </c>
      <c r="V4">
        <v>19.350000000000001</v>
      </c>
      <c r="W4">
        <v>216.1</v>
      </c>
      <c r="X4">
        <v>45.7</v>
      </c>
      <c r="Y4">
        <v>107.19</v>
      </c>
      <c r="Z4">
        <v>7.55</v>
      </c>
      <c r="AA4">
        <v>7.82</v>
      </c>
      <c r="AB4">
        <v>200.73</v>
      </c>
      <c r="AC4">
        <v>334.55</v>
      </c>
      <c r="AD4">
        <v>62.338509316770178</v>
      </c>
      <c r="AE4">
        <v>78.349999999999994</v>
      </c>
      <c r="AF4">
        <v>15.28</v>
      </c>
      <c r="AG4">
        <v>1</v>
      </c>
      <c r="AH4">
        <v>25.59</v>
      </c>
      <c r="AI4">
        <v>116.59</v>
      </c>
      <c r="AJ4">
        <v>336.51</v>
      </c>
      <c r="AK4">
        <v>79.92</v>
      </c>
      <c r="AL4" t="s">
        <v>23</v>
      </c>
      <c r="AM4" t="s">
        <v>24</v>
      </c>
      <c r="AN4" t="str">
        <f t="shared" si="0"/>
        <v>Morning</v>
      </c>
      <c r="AO4" t="str">
        <f t="shared" si="1"/>
        <v>Peak</v>
      </c>
      <c r="AP4" t="str">
        <f t="shared" si="2"/>
        <v>High</v>
      </c>
      <c r="AQ4" t="str">
        <f t="shared" si="3"/>
        <v>High</v>
      </c>
    </row>
    <row r="5" spans="1:43" x14ac:dyDescent="0.3">
      <c r="A5">
        <v>4</v>
      </c>
      <c r="B5" t="s">
        <v>29</v>
      </c>
      <c r="C5" t="s">
        <v>30</v>
      </c>
      <c r="D5" s="1">
        <v>46165</v>
      </c>
      <c r="E5" t="s">
        <v>31</v>
      </c>
      <c r="F5">
        <v>1</v>
      </c>
      <c r="G5">
        <v>16</v>
      </c>
      <c r="H5" t="s">
        <v>32</v>
      </c>
      <c r="I5" t="s">
        <v>33</v>
      </c>
      <c r="J5">
        <v>1</v>
      </c>
      <c r="K5" t="s">
        <v>34</v>
      </c>
      <c r="L5">
        <v>1</v>
      </c>
      <c r="M5">
        <v>4.03</v>
      </c>
      <c r="N5">
        <v>62</v>
      </c>
      <c r="O5" t="s">
        <v>35</v>
      </c>
      <c r="P5">
        <v>19</v>
      </c>
      <c r="Q5">
        <v>15</v>
      </c>
      <c r="R5">
        <v>82.5</v>
      </c>
      <c r="S5">
        <v>179.1</v>
      </c>
      <c r="T5">
        <v>48.13</v>
      </c>
      <c r="U5">
        <v>1</v>
      </c>
      <c r="V5">
        <v>0</v>
      </c>
      <c r="W5">
        <v>227.23</v>
      </c>
      <c r="X5">
        <v>42</v>
      </c>
      <c r="Y5">
        <v>101.1</v>
      </c>
      <c r="Z5">
        <v>36.1</v>
      </c>
      <c r="AA5">
        <v>10.39</v>
      </c>
      <c r="AB5">
        <v>180.74</v>
      </c>
      <c r="AC5">
        <v>131.44727272727275</v>
      </c>
      <c r="AD5">
        <v>12.049333333333333</v>
      </c>
      <c r="AE5">
        <v>70.489999999999995</v>
      </c>
      <c r="AF5">
        <v>15.8</v>
      </c>
      <c r="AG5">
        <v>1</v>
      </c>
      <c r="AH5">
        <v>2</v>
      </c>
      <c r="AI5">
        <v>64</v>
      </c>
      <c r="AJ5">
        <v>149.21</v>
      </c>
      <c r="AK5">
        <v>71.2</v>
      </c>
      <c r="AL5" t="s">
        <v>23</v>
      </c>
      <c r="AM5" t="s">
        <v>24</v>
      </c>
      <c r="AN5" t="str">
        <f t="shared" si="0"/>
        <v>Evening</v>
      </c>
      <c r="AO5" t="str">
        <f t="shared" si="1"/>
        <v>Off-Peak</v>
      </c>
      <c r="AP5" t="str">
        <f t="shared" si="2"/>
        <v>Low</v>
      </c>
      <c r="AQ5" t="str">
        <f t="shared" si="3"/>
        <v>Medium</v>
      </c>
    </row>
    <row r="6" spans="1:43" x14ac:dyDescent="0.3">
      <c r="A6">
        <v>5</v>
      </c>
      <c r="B6" t="s">
        <v>29</v>
      </c>
      <c r="C6" t="s">
        <v>30</v>
      </c>
      <c r="D6" s="1">
        <v>46122</v>
      </c>
      <c r="E6" t="s">
        <v>9</v>
      </c>
      <c r="F6">
        <v>0</v>
      </c>
      <c r="G6">
        <v>21</v>
      </c>
      <c r="H6" t="s">
        <v>36</v>
      </c>
      <c r="I6" t="s">
        <v>37</v>
      </c>
      <c r="J6">
        <v>1.02</v>
      </c>
      <c r="K6" t="s">
        <v>21</v>
      </c>
      <c r="L6">
        <v>0</v>
      </c>
      <c r="M6">
        <v>2.42</v>
      </c>
      <c r="N6">
        <v>5</v>
      </c>
      <c r="O6" t="s">
        <v>22</v>
      </c>
      <c r="P6">
        <v>1</v>
      </c>
      <c r="Q6">
        <v>1.24</v>
      </c>
      <c r="R6">
        <v>28</v>
      </c>
      <c r="S6">
        <v>64.36</v>
      </c>
      <c r="T6">
        <v>6.02</v>
      </c>
      <c r="U6">
        <v>1</v>
      </c>
      <c r="V6">
        <v>0</v>
      </c>
      <c r="W6">
        <v>70.38</v>
      </c>
      <c r="X6">
        <v>38.200000000000003</v>
      </c>
      <c r="Y6">
        <v>108</v>
      </c>
      <c r="Z6">
        <v>3.52</v>
      </c>
      <c r="AA6">
        <v>9.4600000000000009</v>
      </c>
      <c r="AB6">
        <v>57.4</v>
      </c>
      <c r="AC6">
        <v>123</v>
      </c>
      <c r="AD6">
        <v>46.29032258064516</v>
      </c>
      <c r="AE6">
        <v>68.77</v>
      </c>
      <c r="AF6">
        <v>17.309999999999999</v>
      </c>
      <c r="AG6">
        <v>0</v>
      </c>
      <c r="AH6">
        <v>8.02</v>
      </c>
      <c r="AI6">
        <v>13.02</v>
      </c>
      <c r="AJ6">
        <v>110.45</v>
      </c>
      <c r="AK6">
        <v>61.23</v>
      </c>
      <c r="AL6" t="s">
        <v>14</v>
      </c>
      <c r="AM6" t="s">
        <v>15</v>
      </c>
      <c r="AN6" t="str">
        <f t="shared" si="0"/>
        <v>Night</v>
      </c>
      <c r="AO6" t="str">
        <f t="shared" si="1"/>
        <v>Off-Peak</v>
      </c>
      <c r="AP6" t="str">
        <f t="shared" si="2"/>
        <v>Low</v>
      </c>
      <c r="AQ6" t="str">
        <f t="shared" si="3"/>
        <v>Low</v>
      </c>
    </row>
    <row r="7" spans="1:43" x14ac:dyDescent="0.3">
      <c r="A7">
        <v>6</v>
      </c>
      <c r="B7" t="s">
        <v>23</v>
      </c>
      <c r="C7" t="s">
        <v>17</v>
      </c>
      <c r="D7" s="1">
        <v>46236</v>
      </c>
      <c r="E7" t="s">
        <v>26</v>
      </c>
      <c r="F7">
        <v>1</v>
      </c>
      <c r="G7">
        <v>9</v>
      </c>
      <c r="H7" t="s">
        <v>27</v>
      </c>
      <c r="I7" t="s">
        <v>28</v>
      </c>
      <c r="J7">
        <v>1.03</v>
      </c>
      <c r="K7" t="s">
        <v>12</v>
      </c>
      <c r="L7">
        <v>0</v>
      </c>
      <c r="M7">
        <v>4.13</v>
      </c>
      <c r="N7">
        <v>77</v>
      </c>
      <c r="O7" t="s">
        <v>13</v>
      </c>
      <c r="P7">
        <v>13</v>
      </c>
      <c r="Q7">
        <v>3.59</v>
      </c>
      <c r="R7">
        <v>32.700000000000003</v>
      </c>
      <c r="S7">
        <v>101.62</v>
      </c>
      <c r="T7">
        <v>96.74</v>
      </c>
      <c r="U7">
        <v>1.26</v>
      </c>
      <c r="V7">
        <v>26.42</v>
      </c>
      <c r="W7">
        <v>224.78</v>
      </c>
      <c r="X7">
        <v>35.700000000000003</v>
      </c>
      <c r="Y7">
        <v>103.38</v>
      </c>
      <c r="Z7">
        <v>10.41</v>
      </c>
      <c r="AA7">
        <v>2.4700000000000002</v>
      </c>
      <c r="AB7">
        <v>211.9</v>
      </c>
      <c r="AC7">
        <v>388.80733944954125</v>
      </c>
      <c r="AD7">
        <v>59.025069637883014</v>
      </c>
      <c r="AE7">
        <v>67.459999999999994</v>
      </c>
      <c r="AF7">
        <v>12.82</v>
      </c>
      <c r="AG7">
        <v>1</v>
      </c>
      <c r="AH7">
        <v>-2.2599999999999998</v>
      </c>
      <c r="AI7">
        <v>74.739999999999995</v>
      </c>
      <c r="AJ7">
        <v>397.39</v>
      </c>
      <c r="AK7">
        <v>81.77</v>
      </c>
      <c r="AL7" t="s">
        <v>23</v>
      </c>
      <c r="AM7" t="s">
        <v>24</v>
      </c>
      <c r="AN7" t="str">
        <f t="shared" si="0"/>
        <v>Morning</v>
      </c>
      <c r="AO7" t="str">
        <f t="shared" si="1"/>
        <v>Peak</v>
      </c>
      <c r="AP7" t="str">
        <f t="shared" si="2"/>
        <v>High</v>
      </c>
      <c r="AQ7" t="str">
        <f t="shared" si="3"/>
        <v>High</v>
      </c>
    </row>
    <row r="8" spans="1:43" x14ac:dyDescent="0.3">
      <c r="A8">
        <v>7</v>
      </c>
      <c r="B8" t="s">
        <v>7</v>
      </c>
      <c r="C8" t="s">
        <v>8</v>
      </c>
      <c r="D8" s="1">
        <v>46118</v>
      </c>
      <c r="E8" t="s">
        <v>38</v>
      </c>
      <c r="F8">
        <v>0</v>
      </c>
      <c r="G8">
        <v>12</v>
      </c>
      <c r="H8" t="s">
        <v>10</v>
      </c>
      <c r="I8" t="s">
        <v>39</v>
      </c>
      <c r="J8">
        <v>1.05</v>
      </c>
      <c r="K8" t="s">
        <v>12</v>
      </c>
      <c r="L8">
        <v>0</v>
      </c>
      <c r="M8">
        <v>3.85</v>
      </c>
      <c r="N8">
        <v>67</v>
      </c>
      <c r="O8" t="s">
        <v>35</v>
      </c>
      <c r="P8">
        <v>32</v>
      </c>
      <c r="Q8">
        <v>5.88</v>
      </c>
      <c r="R8">
        <v>51.3</v>
      </c>
      <c r="S8">
        <v>96.19</v>
      </c>
      <c r="T8">
        <v>78.27</v>
      </c>
      <c r="U8">
        <v>1</v>
      </c>
      <c r="V8">
        <v>0</v>
      </c>
      <c r="W8">
        <v>174.46</v>
      </c>
      <c r="X8">
        <v>47.6</v>
      </c>
      <c r="Y8">
        <v>109.36</v>
      </c>
      <c r="Z8">
        <v>13.53</v>
      </c>
      <c r="AA8">
        <v>7.61</v>
      </c>
      <c r="AB8">
        <v>153.32</v>
      </c>
      <c r="AC8">
        <v>179.32163742690059</v>
      </c>
      <c r="AD8">
        <v>26.07482993197279</v>
      </c>
      <c r="AE8">
        <v>80.69</v>
      </c>
      <c r="AF8">
        <v>13.82</v>
      </c>
      <c r="AG8">
        <v>1</v>
      </c>
      <c r="AH8">
        <v>5.39</v>
      </c>
      <c r="AI8">
        <v>72.39</v>
      </c>
      <c r="AJ8">
        <v>169.84</v>
      </c>
      <c r="AK8">
        <v>77.709999999999994</v>
      </c>
      <c r="AL8" t="s">
        <v>14</v>
      </c>
      <c r="AM8" t="s">
        <v>15</v>
      </c>
      <c r="AN8" t="str">
        <f t="shared" si="0"/>
        <v>Afternoon</v>
      </c>
      <c r="AO8" t="str">
        <f t="shared" si="1"/>
        <v>Off-Peak</v>
      </c>
      <c r="AP8" t="str">
        <f t="shared" si="2"/>
        <v>Medium</v>
      </c>
      <c r="AQ8" t="str">
        <f t="shared" si="3"/>
        <v>Medium</v>
      </c>
    </row>
    <row r="9" spans="1:43" x14ac:dyDescent="0.3">
      <c r="A9">
        <v>8</v>
      </c>
      <c r="B9" t="s">
        <v>25</v>
      </c>
      <c r="C9" t="s">
        <v>17</v>
      </c>
      <c r="D9" s="1">
        <v>46206</v>
      </c>
      <c r="E9" t="s">
        <v>9</v>
      </c>
      <c r="F9">
        <v>0</v>
      </c>
      <c r="G9">
        <v>18</v>
      </c>
      <c r="H9" t="s">
        <v>40</v>
      </c>
      <c r="I9" t="s">
        <v>33</v>
      </c>
      <c r="J9">
        <v>1</v>
      </c>
      <c r="K9" t="s">
        <v>12</v>
      </c>
      <c r="L9">
        <v>0</v>
      </c>
      <c r="M9">
        <v>2.83</v>
      </c>
      <c r="N9">
        <v>63</v>
      </c>
      <c r="O9" t="s">
        <v>35</v>
      </c>
      <c r="P9">
        <v>14</v>
      </c>
      <c r="Q9">
        <v>5.65</v>
      </c>
      <c r="R9">
        <v>40.5</v>
      </c>
      <c r="S9">
        <v>130.79</v>
      </c>
      <c r="T9">
        <v>69.59</v>
      </c>
      <c r="U9">
        <v>1.31</v>
      </c>
      <c r="V9">
        <v>40.54</v>
      </c>
      <c r="W9">
        <v>240.92</v>
      </c>
      <c r="X9">
        <v>47.2</v>
      </c>
      <c r="Y9">
        <v>106.03</v>
      </c>
      <c r="Z9">
        <v>12.68</v>
      </c>
      <c r="AA9">
        <v>7.42</v>
      </c>
      <c r="AB9">
        <v>220.82</v>
      </c>
      <c r="AC9">
        <v>327.14074074074068</v>
      </c>
      <c r="AD9">
        <v>39.083185840707962</v>
      </c>
      <c r="AE9">
        <v>91.13</v>
      </c>
      <c r="AF9">
        <v>15.49</v>
      </c>
      <c r="AG9">
        <v>1</v>
      </c>
      <c r="AH9">
        <v>6.19</v>
      </c>
      <c r="AI9">
        <v>69.19</v>
      </c>
      <c r="AJ9">
        <v>335.12</v>
      </c>
      <c r="AK9">
        <v>75.3</v>
      </c>
      <c r="AL9" t="s">
        <v>23</v>
      </c>
      <c r="AM9" t="s">
        <v>24</v>
      </c>
      <c r="AN9" t="str">
        <f t="shared" si="0"/>
        <v>Night</v>
      </c>
      <c r="AO9" t="str">
        <f t="shared" si="1"/>
        <v>Peak</v>
      </c>
      <c r="AP9" t="str">
        <f t="shared" si="2"/>
        <v>High</v>
      </c>
      <c r="AQ9" t="str">
        <f t="shared" si="3"/>
        <v>Medium</v>
      </c>
    </row>
    <row r="10" spans="1:43" x14ac:dyDescent="0.3">
      <c r="A10">
        <v>9</v>
      </c>
      <c r="B10" t="s">
        <v>14</v>
      </c>
      <c r="C10" t="s">
        <v>8</v>
      </c>
      <c r="D10" s="1">
        <v>46142</v>
      </c>
      <c r="E10" t="s">
        <v>41</v>
      </c>
      <c r="F10">
        <v>0</v>
      </c>
      <c r="G10">
        <v>16</v>
      </c>
      <c r="H10" t="s">
        <v>32</v>
      </c>
      <c r="I10" t="s">
        <v>42</v>
      </c>
      <c r="J10">
        <v>1.08</v>
      </c>
      <c r="K10" t="s">
        <v>12</v>
      </c>
      <c r="L10">
        <v>0</v>
      </c>
      <c r="M10">
        <v>2.2599999999999998</v>
      </c>
      <c r="N10">
        <v>27</v>
      </c>
      <c r="O10" t="s">
        <v>22</v>
      </c>
      <c r="P10">
        <v>11</v>
      </c>
      <c r="Q10">
        <v>3.22</v>
      </c>
      <c r="R10">
        <v>24.4</v>
      </c>
      <c r="S10">
        <v>78.94</v>
      </c>
      <c r="T10">
        <v>28.44</v>
      </c>
      <c r="U10">
        <v>1</v>
      </c>
      <c r="V10">
        <v>0</v>
      </c>
      <c r="W10">
        <v>107.38</v>
      </c>
      <c r="X10">
        <v>37.4</v>
      </c>
      <c r="Y10">
        <v>100.28</v>
      </c>
      <c r="Z10">
        <v>8.61</v>
      </c>
      <c r="AA10">
        <v>5.5</v>
      </c>
      <c r="AB10">
        <v>93.27</v>
      </c>
      <c r="AC10">
        <v>229.35245901639345</v>
      </c>
      <c r="AD10">
        <v>28.965838509316768</v>
      </c>
      <c r="AE10">
        <v>76.28</v>
      </c>
      <c r="AF10">
        <v>13.17</v>
      </c>
      <c r="AG10">
        <v>0</v>
      </c>
      <c r="AH10">
        <v>-21.13</v>
      </c>
      <c r="AI10">
        <v>5.87</v>
      </c>
      <c r="AJ10">
        <v>227.68</v>
      </c>
      <c r="AK10">
        <v>61.32</v>
      </c>
      <c r="AL10" t="s">
        <v>14</v>
      </c>
      <c r="AM10" t="s">
        <v>15</v>
      </c>
      <c r="AN10" t="str">
        <f t="shared" si="0"/>
        <v>Evening</v>
      </c>
      <c r="AO10" t="str">
        <f t="shared" si="1"/>
        <v>Off-Peak</v>
      </c>
      <c r="AP10" t="str">
        <f t="shared" si="2"/>
        <v>Medium</v>
      </c>
      <c r="AQ10" t="str">
        <f t="shared" si="3"/>
        <v>Low</v>
      </c>
    </row>
    <row r="11" spans="1:43" x14ac:dyDescent="0.3">
      <c r="A11">
        <v>10</v>
      </c>
      <c r="B11" t="s">
        <v>7</v>
      </c>
      <c r="C11" t="s">
        <v>8</v>
      </c>
      <c r="D11" s="1">
        <v>46029</v>
      </c>
      <c r="E11" t="s">
        <v>18</v>
      </c>
      <c r="F11">
        <v>0</v>
      </c>
      <c r="G11">
        <v>17</v>
      </c>
      <c r="H11" t="s">
        <v>32</v>
      </c>
      <c r="I11" t="s">
        <v>28</v>
      </c>
      <c r="J11">
        <v>1.03</v>
      </c>
      <c r="K11" t="s">
        <v>34</v>
      </c>
      <c r="L11">
        <v>1</v>
      </c>
      <c r="M11">
        <v>4.75</v>
      </c>
      <c r="N11">
        <v>54</v>
      </c>
      <c r="O11" t="s">
        <v>35</v>
      </c>
      <c r="P11">
        <v>26</v>
      </c>
      <c r="Q11">
        <v>1</v>
      </c>
      <c r="R11">
        <v>32.700000000000003</v>
      </c>
      <c r="S11">
        <v>49.5</v>
      </c>
      <c r="T11">
        <v>45.76</v>
      </c>
      <c r="U11">
        <v>1</v>
      </c>
      <c r="V11">
        <v>0</v>
      </c>
      <c r="W11">
        <v>95.26</v>
      </c>
      <c r="X11">
        <v>44.7</v>
      </c>
      <c r="Y11">
        <v>107.34</v>
      </c>
      <c r="Z11">
        <v>2.4</v>
      </c>
      <c r="AA11">
        <v>9.5399999999999991</v>
      </c>
      <c r="AB11">
        <v>83.32</v>
      </c>
      <c r="AC11">
        <v>152.8807339449541</v>
      </c>
      <c r="AD11">
        <v>83.32</v>
      </c>
      <c r="AE11">
        <v>59.04</v>
      </c>
      <c r="AF11">
        <v>15.44</v>
      </c>
      <c r="AG11">
        <v>0</v>
      </c>
      <c r="AH11">
        <v>-3.62</v>
      </c>
      <c r="AI11">
        <v>50.38</v>
      </c>
      <c r="AJ11">
        <v>166.95</v>
      </c>
      <c r="AK11">
        <v>79.98</v>
      </c>
      <c r="AL11" t="s">
        <v>23</v>
      </c>
      <c r="AM11" t="s">
        <v>24</v>
      </c>
      <c r="AN11" t="str">
        <f t="shared" si="0"/>
        <v>Evening</v>
      </c>
      <c r="AO11" t="str">
        <f t="shared" si="1"/>
        <v>Peak</v>
      </c>
      <c r="AP11" t="str">
        <f t="shared" si="2"/>
        <v>Medium</v>
      </c>
      <c r="AQ11" t="str">
        <f t="shared" si="3"/>
        <v>Medium</v>
      </c>
    </row>
    <row r="12" spans="1:43" x14ac:dyDescent="0.3">
      <c r="A12">
        <v>11</v>
      </c>
      <c r="B12" t="s">
        <v>29</v>
      </c>
      <c r="C12" t="s">
        <v>30</v>
      </c>
      <c r="D12" s="1">
        <v>46159</v>
      </c>
      <c r="E12" t="s">
        <v>26</v>
      </c>
      <c r="F12">
        <v>1</v>
      </c>
      <c r="G12">
        <v>15</v>
      </c>
      <c r="H12" t="s">
        <v>43</v>
      </c>
      <c r="I12" t="s">
        <v>37</v>
      </c>
      <c r="J12">
        <v>1.02</v>
      </c>
      <c r="K12" t="s">
        <v>21</v>
      </c>
      <c r="L12">
        <v>0</v>
      </c>
      <c r="M12">
        <v>3.31</v>
      </c>
      <c r="N12">
        <v>39</v>
      </c>
      <c r="O12" t="s">
        <v>35</v>
      </c>
      <c r="P12">
        <v>7</v>
      </c>
      <c r="Q12">
        <v>1.44</v>
      </c>
      <c r="R12">
        <v>26.1</v>
      </c>
      <c r="S12">
        <v>66.16</v>
      </c>
      <c r="T12">
        <v>48.21</v>
      </c>
      <c r="U12">
        <v>1</v>
      </c>
      <c r="V12">
        <v>0</v>
      </c>
      <c r="W12">
        <v>114.37</v>
      </c>
      <c r="X12">
        <v>46.1</v>
      </c>
      <c r="Y12">
        <v>101.31</v>
      </c>
      <c r="Z12">
        <v>3.17</v>
      </c>
      <c r="AA12">
        <v>11.64</v>
      </c>
      <c r="AB12">
        <v>99.56</v>
      </c>
      <c r="AC12">
        <v>228.87356321839081</v>
      </c>
      <c r="AD12">
        <v>69.1388888888889</v>
      </c>
      <c r="AE12">
        <v>77.400000000000006</v>
      </c>
      <c r="AF12">
        <v>14.42</v>
      </c>
      <c r="AG12">
        <v>1</v>
      </c>
      <c r="AH12">
        <v>-15.5</v>
      </c>
      <c r="AI12">
        <v>23.5</v>
      </c>
      <c r="AJ12">
        <v>255.93</v>
      </c>
      <c r="AK12">
        <v>67.489999999999995</v>
      </c>
      <c r="AL12" t="s">
        <v>14</v>
      </c>
      <c r="AM12" t="s">
        <v>15</v>
      </c>
      <c r="AN12" t="str">
        <f t="shared" si="0"/>
        <v>Evening</v>
      </c>
      <c r="AO12" t="str">
        <f t="shared" si="1"/>
        <v>Off-Peak</v>
      </c>
      <c r="AP12" t="str">
        <f t="shared" si="2"/>
        <v>Medium</v>
      </c>
      <c r="AQ12" t="str">
        <f t="shared" si="3"/>
        <v>Medium</v>
      </c>
    </row>
    <row r="13" spans="1:43" x14ac:dyDescent="0.3">
      <c r="A13">
        <v>12</v>
      </c>
      <c r="B13" t="s">
        <v>23</v>
      </c>
      <c r="C13" t="s">
        <v>17</v>
      </c>
      <c r="D13" s="1">
        <v>46035</v>
      </c>
      <c r="E13" t="s">
        <v>44</v>
      </c>
      <c r="F13">
        <v>0</v>
      </c>
      <c r="G13">
        <v>17</v>
      </c>
      <c r="H13" t="s">
        <v>40</v>
      </c>
      <c r="I13" t="s">
        <v>33</v>
      </c>
      <c r="J13">
        <v>1</v>
      </c>
      <c r="K13" t="s">
        <v>34</v>
      </c>
      <c r="L13">
        <v>1</v>
      </c>
      <c r="M13">
        <v>3.54</v>
      </c>
      <c r="N13">
        <v>72</v>
      </c>
      <c r="O13" t="s">
        <v>13</v>
      </c>
      <c r="P13">
        <v>10</v>
      </c>
      <c r="Q13">
        <v>4.6500000000000004</v>
      </c>
      <c r="R13">
        <v>47.3</v>
      </c>
      <c r="S13">
        <v>114.68</v>
      </c>
      <c r="T13">
        <v>82.38</v>
      </c>
      <c r="U13">
        <v>1.33</v>
      </c>
      <c r="V13">
        <v>37.840000000000003</v>
      </c>
      <c r="W13">
        <v>234.9</v>
      </c>
      <c r="X13">
        <v>43.4</v>
      </c>
      <c r="Y13">
        <v>108.77</v>
      </c>
      <c r="Z13">
        <v>11.66</v>
      </c>
      <c r="AA13">
        <v>3.47</v>
      </c>
      <c r="AB13">
        <v>219.77</v>
      </c>
      <c r="AC13">
        <v>278.77801268498945</v>
      </c>
      <c r="AD13">
        <v>47.262365591397845</v>
      </c>
      <c r="AE13">
        <v>76.2</v>
      </c>
      <c r="AF13">
        <v>14.59</v>
      </c>
      <c r="AG13">
        <v>1</v>
      </c>
      <c r="AH13">
        <v>-3.11</v>
      </c>
      <c r="AI13">
        <v>68.89</v>
      </c>
      <c r="AJ13">
        <v>286.08999999999997</v>
      </c>
      <c r="AK13">
        <v>71.290000000000006</v>
      </c>
      <c r="AL13" t="s">
        <v>23</v>
      </c>
      <c r="AM13" t="s">
        <v>24</v>
      </c>
      <c r="AN13" t="str">
        <f t="shared" si="0"/>
        <v>Evening</v>
      </c>
      <c r="AO13" t="str">
        <f t="shared" si="1"/>
        <v>Peak</v>
      </c>
      <c r="AP13" t="str">
        <f t="shared" si="2"/>
        <v>High</v>
      </c>
      <c r="AQ13" t="str">
        <f t="shared" si="3"/>
        <v>High</v>
      </c>
    </row>
    <row r="14" spans="1:43" x14ac:dyDescent="0.3">
      <c r="A14">
        <v>13</v>
      </c>
      <c r="B14" t="s">
        <v>16</v>
      </c>
      <c r="C14" t="s">
        <v>17</v>
      </c>
      <c r="D14" s="1">
        <v>46263</v>
      </c>
      <c r="E14" t="s">
        <v>31</v>
      </c>
      <c r="F14">
        <v>1</v>
      </c>
      <c r="G14">
        <v>16</v>
      </c>
      <c r="H14" t="s">
        <v>19</v>
      </c>
      <c r="I14" t="s">
        <v>20</v>
      </c>
      <c r="J14">
        <v>1.25</v>
      </c>
      <c r="K14" t="s">
        <v>12</v>
      </c>
      <c r="L14">
        <v>0</v>
      </c>
      <c r="M14">
        <v>1.77</v>
      </c>
      <c r="N14">
        <v>51</v>
      </c>
      <c r="O14" t="s">
        <v>35</v>
      </c>
      <c r="P14">
        <v>11</v>
      </c>
      <c r="Q14">
        <v>1</v>
      </c>
      <c r="R14">
        <v>13.2</v>
      </c>
      <c r="S14">
        <v>81.09</v>
      </c>
      <c r="T14">
        <v>49.9</v>
      </c>
      <c r="U14">
        <v>1.02</v>
      </c>
      <c r="V14">
        <v>1.62</v>
      </c>
      <c r="W14">
        <v>132.61000000000001</v>
      </c>
      <c r="X14">
        <v>39.799999999999997</v>
      </c>
      <c r="Y14">
        <v>109.48</v>
      </c>
      <c r="Z14">
        <v>2.75</v>
      </c>
      <c r="AA14">
        <v>3.45</v>
      </c>
      <c r="AB14">
        <v>126.41</v>
      </c>
      <c r="AC14">
        <v>574.59090909090912</v>
      </c>
      <c r="AD14">
        <v>126.41</v>
      </c>
      <c r="AE14">
        <v>67.27</v>
      </c>
      <c r="AF14">
        <v>12.67</v>
      </c>
      <c r="AG14">
        <v>1</v>
      </c>
      <c r="AH14">
        <v>-8.93</v>
      </c>
      <c r="AI14">
        <v>42.07</v>
      </c>
      <c r="AJ14">
        <v>400</v>
      </c>
      <c r="AK14">
        <v>77.010000000000005</v>
      </c>
      <c r="AL14" t="s">
        <v>23</v>
      </c>
      <c r="AM14" t="s">
        <v>24</v>
      </c>
      <c r="AN14" t="str">
        <f t="shared" si="0"/>
        <v>Evening</v>
      </c>
      <c r="AO14" t="str">
        <f t="shared" si="1"/>
        <v>Off-Peak</v>
      </c>
      <c r="AP14" t="str">
        <f t="shared" si="2"/>
        <v>High</v>
      </c>
      <c r="AQ14" t="str">
        <f t="shared" si="3"/>
        <v>Medium</v>
      </c>
    </row>
    <row r="15" spans="1:43" x14ac:dyDescent="0.3">
      <c r="A15">
        <v>14</v>
      </c>
      <c r="B15" t="s">
        <v>16</v>
      </c>
      <c r="C15" t="s">
        <v>17</v>
      </c>
      <c r="D15" s="1">
        <v>46178</v>
      </c>
      <c r="E15" t="s">
        <v>9</v>
      </c>
      <c r="F15">
        <v>0</v>
      </c>
      <c r="G15">
        <v>8</v>
      </c>
      <c r="H15" t="s">
        <v>27</v>
      </c>
      <c r="I15" t="s">
        <v>11</v>
      </c>
      <c r="J15">
        <v>1.18</v>
      </c>
      <c r="K15" t="s">
        <v>12</v>
      </c>
      <c r="L15">
        <v>0</v>
      </c>
      <c r="M15">
        <v>4.01</v>
      </c>
      <c r="N15">
        <v>67</v>
      </c>
      <c r="O15" t="s">
        <v>35</v>
      </c>
      <c r="P15">
        <v>15</v>
      </c>
      <c r="Q15">
        <v>6.17</v>
      </c>
      <c r="R15">
        <v>48</v>
      </c>
      <c r="S15">
        <v>132.74</v>
      </c>
      <c r="T15">
        <v>79.98</v>
      </c>
      <c r="U15">
        <v>1.19</v>
      </c>
      <c r="V15">
        <v>25.22</v>
      </c>
      <c r="W15">
        <v>237.94</v>
      </c>
      <c r="X15">
        <v>48.2</v>
      </c>
      <c r="Y15">
        <v>106.95</v>
      </c>
      <c r="Z15">
        <v>13.68</v>
      </c>
      <c r="AA15">
        <v>9.35</v>
      </c>
      <c r="AB15">
        <v>214.91</v>
      </c>
      <c r="AC15">
        <v>268.63749999999999</v>
      </c>
      <c r="AD15">
        <v>34.831442463533222</v>
      </c>
      <c r="AE15">
        <v>80.19</v>
      </c>
      <c r="AF15">
        <v>15.25</v>
      </c>
      <c r="AG15">
        <v>1</v>
      </c>
      <c r="AH15">
        <v>18.18</v>
      </c>
      <c r="AI15">
        <v>85.18</v>
      </c>
      <c r="AJ15">
        <v>273.58999999999997</v>
      </c>
      <c r="AK15">
        <v>71.66</v>
      </c>
      <c r="AL15" t="s">
        <v>23</v>
      </c>
      <c r="AM15" t="s">
        <v>24</v>
      </c>
      <c r="AN15" t="str">
        <f t="shared" si="0"/>
        <v>Morning</v>
      </c>
      <c r="AO15" t="str">
        <f t="shared" si="1"/>
        <v>Peak</v>
      </c>
      <c r="AP15" t="str">
        <f t="shared" si="2"/>
        <v>High</v>
      </c>
      <c r="AQ15" t="str">
        <f t="shared" si="3"/>
        <v>Medium</v>
      </c>
    </row>
    <row r="16" spans="1:43" x14ac:dyDescent="0.3">
      <c r="A16">
        <v>15</v>
      </c>
      <c r="B16" t="s">
        <v>16</v>
      </c>
      <c r="C16" t="s">
        <v>17</v>
      </c>
      <c r="D16" s="1">
        <v>46118</v>
      </c>
      <c r="E16" t="s">
        <v>38</v>
      </c>
      <c r="F16">
        <v>0</v>
      </c>
      <c r="G16">
        <v>19</v>
      </c>
      <c r="H16" t="s">
        <v>40</v>
      </c>
      <c r="I16" t="s">
        <v>45</v>
      </c>
      <c r="J16">
        <v>1</v>
      </c>
      <c r="K16" t="s">
        <v>12</v>
      </c>
      <c r="L16">
        <v>0</v>
      </c>
      <c r="M16">
        <v>5</v>
      </c>
      <c r="N16">
        <v>65</v>
      </c>
      <c r="O16" t="s">
        <v>35</v>
      </c>
      <c r="P16">
        <v>15</v>
      </c>
      <c r="Q16">
        <v>8.68</v>
      </c>
      <c r="R16">
        <v>55.1</v>
      </c>
      <c r="S16">
        <v>150.72</v>
      </c>
      <c r="T16">
        <v>78.11</v>
      </c>
      <c r="U16">
        <v>1.33</v>
      </c>
      <c r="V16">
        <v>49.74</v>
      </c>
      <c r="W16">
        <v>278.57</v>
      </c>
      <c r="X16">
        <v>44.6</v>
      </c>
      <c r="Y16">
        <v>105.33</v>
      </c>
      <c r="Z16">
        <v>20.48</v>
      </c>
      <c r="AA16">
        <v>6.54</v>
      </c>
      <c r="AB16">
        <v>251.55</v>
      </c>
      <c r="AC16">
        <v>273.92014519056261</v>
      </c>
      <c r="AD16">
        <v>28.980414746543779</v>
      </c>
      <c r="AE16">
        <v>84.24</v>
      </c>
      <c r="AF16">
        <v>15.17</v>
      </c>
      <c r="AG16">
        <v>1</v>
      </c>
      <c r="AH16">
        <v>18.350000000000001</v>
      </c>
      <c r="AI16">
        <v>83.35</v>
      </c>
      <c r="AJ16">
        <v>286.3</v>
      </c>
      <c r="AK16">
        <v>74.87</v>
      </c>
      <c r="AL16" t="s">
        <v>23</v>
      </c>
      <c r="AM16" t="s">
        <v>24</v>
      </c>
      <c r="AN16" t="str">
        <f t="shared" si="0"/>
        <v>Night</v>
      </c>
      <c r="AO16" t="str">
        <f t="shared" si="1"/>
        <v>Peak</v>
      </c>
      <c r="AP16" t="str">
        <f t="shared" si="2"/>
        <v>High</v>
      </c>
      <c r="AQ16" t="str">
        <f t="shared" si="3"/>
        <v>Medium</v>
      </c>
    </row>
    <row r="17" spans="1:43" x14ac:dyDescent="0.3">
      <c r="A17">
        <v>16</v>
      </c>
      <c r="B17" t="s">
        <v>16</v>
      </c>
      <c r="C17" t="s">
        <v>17</v>
      </c>
      <c r="D17" s="1">
        <v>46148</v>
      </c>
      <c r="E17" t="s">
        <v>18</v>
      </c>
      <c r="F17">
        <v>0</v>
      </c>
      <c r="G17">
        <v>14</v>
      </c>
      <c r="H17" t="s">
        <v>19</v>
      </c>
      <c r="I17" t="s">
        <v>46</v>
      </c>
      <c r="J17">
        <v>1.1499999999999999</v>
      </c>
      <c r="K17" t="s">
        <v>12</v>
      </c>
      <c r="L17">
        <v>0</v>
      </c>
      <c r="M17">
        <v>2.85</v>
      </c>
      <c r="N17">
        <v>22</v>
      </c>
      <c r="O17" t="s">
        <v>22</v>
      </c>
      <c r="P17">
        <v>3</v>
      </c>
      <c r="Q17">
        <v>6.91</v>
      </c>
      <c r="R17">
        <v>39.6</v>
      </c>
      <c r="S17">
        <v>132.34</v>
      </c>
      <c r="T17">
        <v>23.14</v>
      </c>
      <c r="U17">
        <v>1</v>
      </c>
      <c r="V17">
        <v>0</v>
      </c>
      <c r="W17">
        <v>155.47999999999999</v>
      </c>
      <c r="X17">
        <v>45.8</v>
      </c>
      <c r="Y17">
        <v>106.02</v>
      </c>
      <c r="Z17">
        <v>16</v>
      </c>
      <c r="AA17">
        <v>9.9499999999999993</v>
      </c>
      <c r="AB17">
        <v>129.53</v>
      </c>
      <c r="AC17">
        <v>196.25757575757575</v>
      </c>
      <c r="AD17">
        <v>18.745296671490593</v>
      </c>
      <c r="AE17">
        <v>68.41</v>
      </c>
      <c r="AF17">
        <v>17.05</v>
      </c>
      <c r="AG17">
        <v>0</v>
      </c>
      <c r="AH17">
        <v>11.4</v>
      </c>
      <c r="AI17">
        <v>33.4</v>
      </c>
      <c r="AJ17">
        <v>199.38</v>
      </c>
      <c r="AK17">
        <v>69.03</v>
      </c>
      <c r="AL17" t="s">
        <v>14</v>
      </c>
      <c r="AM17" t="s">
        <v>15</v>
      </c>
      <c r="AN17" t="str">
        <f t="shared" si="0"/>
        <v>Afternoon</v>
      </c>
      <c r="AO17" t="str">
        <f t="shared" si="1"/>
        <v>Off-Peak</v>
      </c>
      <c r="AP17" t="str">
        <f t="shared" si="2"/>
        <v>Medium</v>
      </c>
      <c r="AQ17" t="str">
        <f t="shared" si="3"/>
        <v>Low</v>
      </c>
    </row>
    <row r="18" spans="1:43" x14ac:dyDescent="0.3">
      <c r="A18">
        <v>17</v>
      </c>
      <c r="B18" t="s">
        <v>29</v>
      </c>
      <c r="C18" t="s">
        <v>30</v>
      </c>
      <c r="D18" s="1">
        <v>46182</v>
      </c>
      <c r="E18" t="s">
        <v>44</v>
      </c>
      <c r="F18">
        <v>0</v>
      </c>
      <c r="G18">
        <v>7</v>
      </c>
      <c r="H18" t="s">
        <v>47</v>
      </c>
      <c r="I18" t="s">
        <v>39</v>
      </c>
      <c r="J18">
        <v>1.05</v>
      </c>
      <c r="K18" t="s">
        <v>12</v>
      </c>
      <c r="L18">
        <v>0</v>
      </c>
      <c r="M18">
        <v>4.05</v>
      </c>
      <c r="N18">
        <v>50</v>
      </c>
      <c r="O18" t="s">
        <v>35</v>
      </c>
      <c r="P18">
        <v>13</v>
      </c>
      <c r="Q18">
        <v>7.83</v>
      </c>
      <c r="R18">
        <v>68.400000000000006</v>
      </c>
      <c r="S18">
        <v>111.6</v>
      </c>
      <c r="T18">
        <v>74.209999999999994</v>
      </c>
      <c r="U18">
        <v>1</v>
      </c>
      <c r="V18">
        <v>0</v>
      </c>
      <c r="W18">
        <v>185.81</v>
      </c>
      <c r="X18">
        <v>44.8</v>
      </c>
      <c r="Y18">
        <v>104.29</v>
      </c>
      <c r="Z18">
        <v>18.239999999999998</v>
      </c>
      <c r="AA18">
        <v>3.41</v>
      </c>
      <c r="AB18">
        <v>164.16</v>
      </c>
      <c r="AC18">
        <v>143.99999999999997</v>
      </c>
      <c r="AD18">
        <v>20.96551724137931</v>
      </c>
      <c r="AE18">
        <v>62.85</v>
      </c>
      <c r="AF18">
        <v>18.97</v>
      </c>
      <c r="AG18">
        <v>0</v>
      </c>
      <c r="AH18">
        <v>-16.010000000000002</v>
      </c>
      <c r="AI18">
        <v>33.99</v>
      </c>
      <c r="AJ18">
        <v>141.61000000000001</v>
      </c>
      <c r="AK18">
        <v>78.66</v>
      </c>
      <c r="AL18" t="s">
        <v>23</v>
      </c>
      <c r="AM18" t="s">
        <v>24</v>
      </c>
      <c r="AN18" t="str">
        <f t="shared" si="0"/>
        <v>Morning</v>
      </c>
      <c r="AO18" t="str">
        <f t="shared" si="1"/>
        <v>Peak</v>
      </c>
      <c r="AP18" t="str">
        <f t="shared" si="2"/>
        <v>Low</v>
      </c>
      <c r="AQ18" t="str">
        <f t="shared" si="3"/>
        <v>Medium</v>
      </c>
    </row>
    <row r="19" spans="1:43" x14ac:dyDescent="0.3">
      <c r="A19">
        <v>18</v>
      </c>
      <c r="B19" t="s">
        <v>7</v>
      </c>
      <c r="C19" t="s">
        <v>8</v>
      </c>
      <c r="D19" s="1">
        <v>46090</v>
      </c>
      <c r="E19" t="s">
        <v>38</v>
      </c>
      <c r="F19">
        <v>0</v>
      </c>
      <c r="G19">
        <v>13</v>
      </c>
      <c r="H19" t="s">
        <v>10</v>
      </c>
      <c r="I19" t="s">
        <v>33</v>
      </c>
      <c r="J19">
        <v>1</v>
      </c>
      <c r="K19" t="s">
        <v>12</v>
      </c>
      <c r="L19">
        <v>0</v>
      </c>
      <c r="M19">
        <v>4.38</v>
      </c>
      <c r="N19">
        <v>40</v>
      </c>
      <c r="O19" t="s">
        <v>35</v>
      </c>
      <c r="P19">
        <v>18</v>
      </c>
      <c r="Q19">
        <v>1</v>
      </c>
      <c r="R19">
        <v>40.4</v>
      </c>
      <c r="S19">
        <v>57.33</v>
      </c>
      <c r="T19">
        <v>51.59</v>
      </c>
      <c r="U19">
        <v>1</v>
      </c>
      <c r="V19">
        <v>0</v>
      </c>
      <c r="W19">
        <v>108.92</v>
      </c>
      <c r="X19">
        <v>45.8</v>
      </c>
      <c r="Y19">
        <v>100.84</v>
      </c>
      <c r="Z19">
        <v>2.2000000000000002</v>
      </c>
      <c r="AA19">
        <v>2.4</v>
      </c>
      <c r="AB19">
        <v>104.32</v>
      </c>
      <c r="AC19">
        <v>154.93069306930693</v>
      </c>
      <c r="AD19">
        <v>104.32</v>
      </c>
      <c r="AE19">
        <v>59.11</v>
      </c>
      <c r="AF19">
        <v>13.35</v>
      </c>
      <c r="AG19">
        <v>1</v>
      </c>
      <c r="AH19">
        <v>1.53</v>
      </c>
      <c r="AI19">
        <v>41.53</v>
      </c>
      <c r="AJ19">
        <v>185.08</v>
      </c>
      <c r="AK19">
        <v>72.150000000000006</v>
      </c>
      <c r="AL19" t="s">
        <v>14</v>
      </c>
      <c r="AM19" t="s">
        <v>15</v>
      </c>
      <c r="AN19" t="str">
        <f t="shared" si="0"/>
        <v>Afternoon</v>
      </c>
      <c r="AO19" t="str">
        <f t="shared" si="1"/>
        <v>Off-Peak</v>
      </c>
      <c r="AP19" t="str">
        <f t="shared" si="2"/>
        <v>Medium</v>
      </c>
      <c r="AQ19" t="str">
        <f t="shared" si="3"/>
        <v>Medium</v>
      </c>
    </row>
    <row r="20" spans="1:43" x14ac:dyDescent="0.3">
      <c r="A20">
        <v>19</v>
      </c>
      <c r="B20" t="s">
        <v>16</v>
      </c>
      <c r="C20" t="s">
        <v>17</v>
      </c>
      <c r="D20" s="1">
        <v>46097</v>
      </c>
      <c r="E20" t="s">
        <v>38</v>
      </c>
      <c r="F20">
        <v>0</v>
      </c>
      <c r="G20">
        <v>13</v>
      </c>
      <c r="H20" t="s">
        <v>19</v>
      </c>
      <c r="I20" t="s">
        <v>11</v>
      </c>
      <c r="J20">
        <v>1.18</v>
      </c>
      <c r="K20" t="s">
        <v>12</v>
      </c>
      <c r="L20">
        <v>0</v>
      </c>
      <c r="M20">
        <v>3.38</v>
      </c>
      <c r="N20">
        <v>21</v>
      </c>
      <c r="O20" t="s">
        <v>22</v>
      </c>
      <c r="P20">
        <v>3</v>
      </c>
      <c r="Q20">
        <v>3.31</v>
      </c>
      <c r="R20">
        <v>36.9</v>
      </c>
      <c r="S20">
        <v>97.59</v>
      </c>
      <c r="T20">
        <v>21.11</v>
      </c>
      <c r="U20">
        <v>1.03</v>
      </c>
      <c r="V20">
        <v>2.93</v>
      </c>
      <c r="W20">
        <v>121.63</v>
      </c>
      <c r="X20">
        <v>37.200000000000003</v>
      </c>
      <c r="Y20">
        <v>109.29</v>
      </c>
      <c r="Z20">
        <v>9.74</v>
      </c>
      <c r="AA20">
        <v>8.98</v>
      </c>
      <c r="AB20">
        <v>102.91</v>
      </c>
      <c r="AC20">
        <v>167.33333333333334</v>
      </c>
      <c r="AD20">
        <v>31.090634441087612</v>
      </c>
      <c r="AE20">
        <v>68.349999999999994</v>
      </c>
      <c r="AF20">
        <v>13.22</v>
      </c>
      <c r="AG20">
        <v>0</v>
      </c>
      <c r="AH20">
        <v>-17.21</v>
      </c>
      <c r="AI20">
        <v>5</v>
      </c>
      <c r="AJ20">
        <v>169.47</v>
      </c>
      <c r="AK20">
        <v>64.33</v>
      </c>
      <c r="AL20" t="s">
        <v>14</v>
      </c>
      <c r="AM20" t="s">
        <v>15</v>
      </c>
      <c r="AN20" t="str">
        <f t="shared" si="0"/>
        <v>Afternoon</v>
      </c>
      <c r="AO20" t="str">
        <f t="shared" si="1"/>
        <v>Off-Peak</v>
      </c>
      <c r="AP20" t="str">
        <f t="shared" si="2"/>
        <v>Medium</v>
      </c>
      <c r="AQ20" t="str">
        <f t="shared" si="3"/>
        <v>Low</v>
      </c>
    </row>
    <row r="21" spans="1:43" x14ac:dyDescent="0.3">
      <c r="A21">
        <v>20</v>
      </c>
      <c r="B21" t="s">
        <v>29</v>
      </c>
      <c r="C21" t="s">
        <v>30</v>
      </c>
      <c r="D21" s="1">
        <v>46131</v>
      </c>
      <c r="E21" t="s">
        <v>26</v>
      </c>
      <c r="F21">
        <v>1</v>
      </c>
      <c r="G21">
        <v>8</v>
      </c>
      <c r="H21" t="s">
        <v>47</v>
      </c>
      <c r="I21" t="s">
        <v>20</v>
      </c>
      <c r="J21">
        <v>1.25</v>
      </c>
      <c r="K21" t="s">
        <v>34</v>
      </c>
      <c r="L21">
        <v>1</v>
      </c>
      <c r="M21">
        <v>2.4300000000000002</v>
      </c>
      <c r="N21">
        <v>65</v>
      </c>
      <c r="O21" t="s">
        <v>35</v>
      </c>
      <c r="P21">
        <v>18</v>
      </c>
      <c r="Q21">
        <v>1.78</v>
      </c>
      <c r="R21">
        <v>21.6</v>
      </c>
      <c r="S21">
        <v>58.4</v>
      </c>
      <c r="T21">
        <v>67.28</v>
      </c>
      <c r="U21">
        <v>1</v>
      </c>
      <c r="V21">
        <v>0</v>
      </c>
      <c r="W21">
        <v>125.68</v>
      </c>
      <c r="X21">
        <v>48.8</v>
      </c>
      <c r="Y21">
        <v>103.29</v>
      </c>
      <c r="Z21">
        <v>3.77</v>
      </c>
      <c r="AA21">
        <v>11.95</v>
      </c>
      <c r="AB21">
        <v>109.96</v>
      </c>
      <c r="AC21">
        <v>305.4444444444444</v>
      </c>
      <c r="AD21">
        <v>61.775280898876403</v>
      </c>
      <c r="AE21">
        <v>75.959999999999994</v>
      </c>
      <c r="AF21">
        <v>15.38</v>
      </c>
      <c r="AG21">
        <v>1</v>
      </c>
      <c r="AH21">
        <v>0.79</v>
      </c>
      <c r="AI21">
        <v>65.790000000000006</v>
      </c>
      <c r="AJ21">
        <v>308.39999999999998</v>
      </c>
      <c r="AK21">
        <v>80.31</v>
      </c>
      <c r="AL21" t="s">
        <v>23</v>
      </c>
      <c r="AM21" t="s">
        <v>24</v>
      </c>
      <c r="AN21" t="str">
        <f t="shared" si="0"/>
        <v>Morning</v>
      </c>
      <c r="AO21" t="str">
        <f t="shared" si="1"/>
        <v>Peak</v>
      </c>
      <c r="AP21" t="str">
        <f t="shared" si="2"/>
        <v>High</v>
      </c>
      <c r="AQ21" t="str">
        <f t="shared" si="3"/>
        <v>Medium</v>
      </c>
    </row>
    <row r="22" spans="1:43" x14ac:dyDescent="0.3">
      <c r="A22">
        <v>21</v>
      </c>
      <c r="B22" t="s">
        <v>29</v>
      </c>
      <c r="C22" t="s">
        <v>30</v>
      </c>
      <c r="D22" s="1">
        <v>46089</v>
      </c>
      <c r="E22" t="s">
        <v>26</v>
      </c>
      <c r="F22">
        <v>1</v>
      </c>
      <c r="G22">
        <v>22</v>
      </c>
      <c r="H22" t="s">
        <v>36</v>
      </c>
      <c r="I22" t="s">
        <v>37</v>
      </c>
      <c r="J22">
        <v>1.02</v>
      </c>
      <c r="K22" t="s">
        <v>12</v>
      </c>
      <c r="L22">
        <v>0</v>
      </c>
      <c r="M22">
        <v>3.75</v>
      </c>
      <c r="N22">
        <v>33</v>
      </c>
      <c r="O22" t="s">
        <v>22</v>
      </c>
      <c r="P22">
        <v>10</v>
      </c>
      <c r="Q22">
        <v>1</v>
      </c>
      <c r="R22">
        <v>26</v>
      </c>
      <c r="S22">
        <v>52.12</v>
      </c>
      <c r="T22">
        <v>32.99</v>
      </c>
      <c r="U22">
        <v>1</v>
      </c>
      <c r="V22">
        <v>0</v>
      </c>
      <c r="W22">
        <v>85.11</v>
      </c>
      <c r="X22">
        <v>39.299999999999997</v>
      </c>
      <c r="Y22">
        <v>103.13</v>
      </c>
      <c r="Z22">
        <v>2.63</v>
      </c>
      <c r="AA22">
        <v>2.95</v>
      </c>
      <c r="AB22">
        <v>79.53</v>
      </c>
      <c r="AC22">
        <v>183.53076923076924</v>
      </c>
      <c r="AD22">
        <v>79.53</v>
      </c>
      <c r="AE22">
        <v>70.510000000000005</v>
      </c>
      <c r="AF22">
        <v>19.61</v>
      </c>
      <c r="AG22">
        <v>1</v>
      </c>
      <c r="AH22">
        <v>12.71</v>
      </c>
      <c r="AI22">
        <v>45.71</v>
      </c>
      <c r="AJ22">
        <v>171.69</v>
      </c>
      <c r="AK22">
        <v>66.650000000000006</v>
      </c>
      <c r="AL22" t="s">
        <v>14</v>
      </c>
      <c r="AM22" t="s">
        <v>15</v>
      </c>
      <c r="AN22" t="str">
        <f t="shared" si="0"/>
        <v>Night</v>
      </c>
      <c r="AO22" t="str">
        <f t="shared" si="1"/>
        <v>Off-Peak</v>
      </c>
      <c r="AP22" t="str">
        <f t="shared" si="2"/>
        <v>Medium</v>
      </c>
      <c r="AQ22" t="str">
        <f t="shared" si="3"/>
        <v>Low</v>
      </c>
    </row>
    <row r="23" spans="1:43" x14ac:dyDescent="0.3">
      <c r="A23">
        <v>22</v>
      </c>
      <c r="B23" t="s">
        <v>48</v>
      </c>
      <c r="C23" t="s">
        <v>30</v>
      </c>
      <c r="D23" s="1">
        <v>46218</v>
      </c>
      <c r="E23" t="s">
        <v>18</v>
      </c>
      <c r="F23">
        <v>0</v>
      </c>
      <c r="G23">
        <v>10</v>
      </c>
      <c r="H23" t="s">
        <v>47</v>
      </c>
      <c r="I23" t="s">
        <v>39</v>
      </c>
      <c r="J23">
        <v>1.05</v>
      </c>
      <c r="K23" t="s">
        <v>12</v>
      </c>
      <c r="L23">
        <v>0</v>
      </c>
      <c r="M23">
        <v>2.73</v>
      </c>
      <c r="N23">
        <v>34</v>
      </c>
      <c r="O23" t="s">
        <v>22</v>
      </c>
      <c r="P23">
        <v>7</v>
      </c>
      <c r="Q23">
        <v>2.81</v>
      </c>
      <c r="R23">
        <v>35.9</v>
      </c>
      <c r="S23">
        <v>62.78</v>
      </c>
      <c r="T23">
        <v>42.46</v>
      </c>
      <c r="U23">
        <v>1</v>
      </c>
      <c r="V23">
        <v>0</v>
      </c>
      <c r="W23">
        <v>105.24</v>
      </c>
      <c r="X23">
        <v>47.5</v>
      </c>
      <c r="Y23">
        <v>101.91</v>
      </c>
      <c r="Z23">
        <v>6.02</v>
      </c>
      <c r="AA23">
        <v>10.64</v>
      </c>
      <c r="AB23">
        <v>88.58</v>
      </c>
      <c r="AC23">
        <v>148.04456824512536</v>
      </c>
      <c r="AD23">
        <v>31.523131672597863</v>
      </c>
      <c r="AE23">
        <v>69.25</v>
      </c>
      <c r="AF23">
        <v>10.65</v>
      </c>
      <c r="AG23">
        <v>0</v>
      </c>
      <c r="AH23">
        <v>17.88</v>
      </c>
      <c r="AI23">
        <v>51.88</v>
      </c>
      <c r="AJ23">
        <v>121.7</v>
      </c>
      <c r="AK23">
        <v>69.16</v>
      </c>
      <c r="AL23" t="s">
        <v>14</v>
      </c>
      <c r="AM23" t="s">
        <v>15</v>
      </c>
      <c r="AN23" t="str">
        <f t="shared" si="0"/>
        <v>Morning</v>
      </c>
      <c r="AO23" t="str">
        <f t="shared" si="1"/>
        <v>Peak</v>
      </c>
      <c r="AP23" t="str">
        <f t="shared" si="2"/>
        <v>Low</v>
      </c>
      <c r="AQ23" t="str">
        <f t="shared" si="3"/>
        <v>Low</v>
      </c>
    </row>
    <row r="24" spans="1:43" x14ac:dyDescent="0.3">
      <c r="A24">
        <v>23</v>
      </c>
      <c r="B24" t="s">
        <v>14</v>
      </c>
      <c r="C24" t="s">
        <v>8</v>
      </c>
      <c r="D24" s="1">
        <v>46049</v>
      </c>
      <c r="E24" t="s">
        <v>44</v>
      </c>
      <c r="F24">
        <v>0</v>
      </c>
      <c r="G24">
        <v>12</v>
      </c>
      <c r="H24" t="s">
        <v>10</v>
      </c>
      <c r="I24" t="s">
        <v>28</v>
      </c>
      <c r="J24">
        <v>1.03</v>
      </c>
      <c r="K24" t="s">
        <v>21</v>
      </c>
      <c r="L24">
        <v>0</v>
      </c>
      <c r="M24">
        <v>4.79</v>
      </c>
      <c r="N24">
        <v>77</v>
      </c>
      <c r="O24" t="s">
        <v>13</v>
      </c>
      <c r="P24">
        <v>28</v>
      </c>
      <c r="Q24">
        <v>10.66</v>
      </c>
      <c r="R24">
        <v>72.599999999999994</v>
      </c>
      <c r="S24">
        <v>113.48</v>
      </c>
      <c r="T24">
        <v>79.44</v>
      </c>
      <c r="U24">
        <v>1</v>
      </c>
      <c r="V24">
        <v>0</v>
      </c>
      <c r="W24">
        <v>192.92</v>
      </c>
      <c r="X24">
        <v>48.4</v>
      </c>
      <c r="Y24">
        <v>109.92</v>
      </c>
      <c r="Z24">
        <v>24.22</v>
      </c>
      <c r="AA24">
        <v>5.85</v>
      </c>
      <c r="AB24">
        <v>162.85</v>
      </c>
      <c r="AC24">
        <v>134.58677685950414</v>
      </c>
      <c r="AD24">
        <v>15.276735459662289</v>
      </c>
      <c r="AE24">
        <v>82.7</v>
      </c>
      <c r="AF24">
        <v>18.12</v>
      </c>
      <c r="AG24">
        <v>1</v>
      </c>
      <c r="AH24">
        <v>10.09</v>
      </c>
      <c r="AI24">
        <v>87.09</v>
      </c>
      <c r="AJ24">
        <v>147.56</v>
      </c>
      <c r="AK24">
        <v>63.72</v>
      </c>
      <c r="AL24" t="s">
        <v>14</v>
      </c>
      <c r="AM24" t="s">
        <v>15</v>
      </c>
      <c r="AN24" t="str">
        <f t="shared" si="0"/>
        <v>Afternoon</v>
      </c>
      <c r="AO24" t="str">
        <f t="shared" si="1"/>
        <v>Off-Peak</v>
      </c>
      <c r="AP24" t="str">
        <f t="shared" si="2"/>
        <v>Low</v>
      </c>
      <c r="AQ24" t="str">
        <f t="shared" si="3"/>
        <v>High</v>
      </c>
    </row>
    <row r="25" spans="1:43" x14ac:dyDescent="0.3">
      <c r="A25">
        <v>24</v>
      </c>
      <c r="B25" t="s">
        <v>23</v>
      </c>
      <c r="C25" t="s">
        <v>17</v>
      </c>
      <c r="D25" s="1">
        <v>46236</v>
      </c>
      <c r="E25" t="s">
        <v>26</v>
      </c>
      <c r="F25">
        <v>1</v>
      </c>
      <c r="G25">
        <v>14</v>
      </c>
      <c r="H25" t="s">
        <v>19</v>
      </c>
      <c r="I25" t="s">
        <v>37</v>
      </c>
      <c r="J25">
        <v>1.02</v>
      </c>
      <c r="K25" t="s">
        <v>12</v>
      </c>
      <c r="L25">
        <v>0</v>
      </c>
      <c r="M25">
        <v>2.35</v>
      </c>
      <c r="N25">
        <v>42</v>
      </c>
      <c r="O25" t="s">
        <v>35</v>
      </c>
      <c r="P25">
        <v>6</v>
      </c>
      <c r="Q25">
        <v>12.56</v>
      </c>
      <c r="R25">
        <v>75.099999999999994</v>
      </c>
      <c r="S25">
        <v>195.23</v>
      </c>
      <c r="T25">
        <v>45.12</v>
      </c>
      <c r="U25">
        <v>1</v>
      </c>
      <c r="V25">
        <v>0</v>
      </c>
      <c r="W25">
        <v>240.35</v>
      </c>
      <c r="X25">
        <v>44.8</v>
      </c>
      <c r="Y25">
        <v>109.43</v>
      </c>
      <c r="Z25">
        <v>30.7</v>
      </c>
      <c r="AA25">
        <v>2.17</v>
      </c>
      <c r="AB25">
        <v>207.48</v>
      </c>
      <c r="AC25">
        <v>165.76298268974702</v>
      </c>
      <c r="AD25">
        <v>16.519108280254777</v>
      </c>
      <c r="AE25">
        <v>79.06</v>
      </c>
      <c r="AF25">
        <v>17.329999999999998</v>
      </c>
      <c r="AG25">
        <v>1</v>
      </c>
      <c r="AH25">
        <v>21.88</v>
      </c>
      <c r="AI25">
        <v>63.88</v>
      </c>
      <c r="AJ25">
        <v>169.45</v>
      </c>
      <c r="AK25">
        <v>65.260000000000005</v>
      </c>
      <c r="AL25" t="s">
        <v>14</v>
      </c>
      <c r="AM25" t="s">
        <v>15</v>
      </c>
      <c r="AN25" t="str">
        <f t="shared" si="0"/>
        <v>Afternoon</v>
      </c>
      <c r="AO25" t="str">
        <f t="shared" si="1"/>
        <v>Off-Peak</v>
      </c>
      <c r="AP25" t="str">
        <f t="shared" si="2"/>
        <v>Medium</v>
      </c>
      <c r="AQ25" t="str">
        <f t="shared" si="3"/>
        <v>Medium</v>
      </c>
    </row>
    <row r="26" spans="1:43" x14ac:dyDescent="0.3">
      <c r="A26">
        <v>25</v>
      </c>
      <c r="B26" t="s">
        <v>16</v>
      </c>
      <c r="C26" t="s">
        <v>17</v>
      </c>
      <c r="D26" s="1">
        <v>46112</v>
      </c>
      <c r="E26" t="s">
        <v>44</v>
      </c>
      <c r="F26">
        <v>0</v>
      </c>
      <c r="G26">
        <v>20</v>
      </c>
      <c r="H26" t="s">
        <v>40</v>
      </c>
      <c r="I26" t="s">
        <v>20</v>
      </c>
      <c r="J26">
        <v>1.25</v>
      </c>
      <c r="K26" t="s">
        <v>34</v>
      </c>
      <c r="L26">
        <v>1</v>
      </c>
      <c r="M26">
        <v>4.74</v>
      </c>
      <c r="N26">
        <v>87</v>
      </c>
      <c r="O26" t="s">
        <v>13</v>
      </c>
      <c r="P26">
        <v>21</v>
      </c>
      <c r="Q26">
        <v>1.99</v>
      </c>
      <c r="R26">
        <v>35.9</v>
      </c>
      <c r="S26">
        <v>100.12</v>
      </c>
      <c r="T26">
        <v>89.92</v>
      </c>
      <c r="U26">
        <v>1.35</v>
      </c>
      <c r="V26">
        <v>35.04</v>
      </c>
      <c r="W26">
        <v>225.08</v>
      </c>
      <c r="X26">
        <v>44</v>
      </c>
      <c r="Y26">
        <v>103.49</v>
      </c>
      <c r="Z26">
        <v>4.68</v>
      </c>
      <c r="AA26">
        <v>7.1</v>
      </c>
      <c r="AB26">
        <v>213.3</v>
      </c>
      <c r="AC26">
        <v>356.49025069637889</v>
      </c>
      <c r="AD26">
        <v>107.18592964824121</v>
      </c>
      <c r="AE26">
        <v>80.56</v>
      </c>
      <c r="AF26">
        <v>14.34</v>
      </c>
      <c r="AG26">
        <v>1</v>
      </c>
      <c r="AH26">
        <v>6.9</v>
      </c>
      <c r="AI26">
        <v>93.9</v>
      </c>
      <c r="AJ26">
        <v>354.08</v>
      </c>
      <c r="AK26">
        <v>77.88</v>
      </c>
      <c r="AL26" t="s">
        <v>23</v>
      </c>
      <c r="AM26" t="s">
        <v>24</v>
      </c>
      <c r="AN26" t="str">
        <f t="shared" si="0"/>
        <v>Night</v>
      </c>
      <c r="AO26" t="str">
        <f t="shared" si="1"/>
        <v>Peak</v>
      </c>
      <c r="AP26" t="str">
        <f t="shared" si="2"/>
        <v>High</v>
      </c>
      <c r="AQ26" t="str">
        <f t="shared" si="3"/>
        <v>High</v>
      </c>
    </row>
    <row r="27" spans="1:43" x14ac:dyDescent="0.3">
      <c r="A27">
        <v>26</v>
      </c>
      <c r="B27" t="s">
        <v>25</v>
      </c>
      <c r="C27" t="s">
        <v>17</v>
      </c>
      <c r="D27" s="1">
        <v>46167</v>
      </c>
      <c r="E27" t="s">
        <v>38</v>
      </c>
      <c r="F27">
        <v>0</v>
      </c>
      <c r="G27">
        <v>18</v>
      </c>
      <c r="H27" t="s">
        <v>40</v>
      </c>
      <c r="I27" t="s">
        <v>28</v>
      </c>
      <c r="J27">
        <v>1.03</v>
      </c>
      <c r="K27" t="s">
        <v>21</v>
      </c>
      <c r="L27">
        <v>0</v>
      </c>
      <c r="M27">
        <v>4.38</v>
      </c>
      <c r="N27">
        <v>66</v>
      </c>
      <c r="O27" t="s">
        <v>35</v>
      </c>
      <c r="P27">
        <v>10</v>
      </c>
      <c r="Q27">
        <v>4.25</v>
      </c>
      <c r="R27">
        <v>41.8</v>
      </c>
      <c r="S27">
        <v>124.34</v>
      </c>
      <c r="T27">
        <v>66.55</v>
      </c>
      <c r="U27">
        <v>1.3</v>
      </c>
      <c r="V27">
        <v>37.299999999999997</v>
      </c>
      <c r="W27">
        <v>228.19</v>
      </c>
      <c r="X27">
        <v>36.6</v>
      </c>
      <c r="Y27">
        <v>102.6</v>
      </c>
      <c r="Z27">
        <v>11.91</v>
      </c>
      <c r="AA27">
        <v>4.79</v>
      </c>
      <c r="AB27">
        <v>211.49</v>
      </c>
      <c r="AC27">
        <v>303.57416267942585</v>
      </c>
      <c r="AD27">
        <v>49.762352941176474</v>
      </c>
      <c r="AE27">
        <v>83.81</v>
      </c>
      <c r="AF27">
        <v>19.420000000000002</v>
      </c>
      <c r="AG27">
        <v>1</v>
      </c>
      <c r="AH27">
        <v>-0.5</v>
      </c>
      <c r="AI27">
        <v>65.5</v>
      </c>
      <c r="AJ27">
        <v>310.8</v>
      </c>
      <c r="AK27">
        <v>77.14</v>
      </c>
      <c r="AL27" t="s">
        <v>23</v>
      </c>
      <c r="AM27" t="s">
        <v>24</v>
      </c>
      <c r="AN27" t="str">
        <f t="shared" si="0"/>
        <v>Night</v>
      </c>
      <c r="AO27" t="str">
        <f t="shared" si="1"/>
        <v>Peak</v>
      </c>
      <c r="AP27" t="str">
        <f t="shared" si="2"/>
        <v>High</v>
      </c>
      <c r="AQ27" t="str">
        <f t="shared" si="3"/>
        <v>Medium</v>
      </c>
    </row>
    <row r="28" spans="1:43" x14ac:dyDescent="0.3">
      <c r="A28">
        <v>27</v>
      </c>
      <c r="B28" t="s">
        <v>48</v>
      </c>
      <c r="C28" t="s">
        <v>30</v>
      </c>
      <c r="D28" s="1">
        <v>46063</v>
      </c>
      <c r="E28" t="s">
        <v>44</v>
      </c>
      <c r="F28">
        <v>0</v>
      </c>
      <c r="G28">
        <v>19</v>
      </c>
      <c r="H28" t="s">
        <v>32</v>
      </c>
      <c r="I28" t="s">
        <v>46</v>
      </c>
      <c r="J28">
        <v>1.1499999999999999</v>
      </c>
      <c r="K28" t="s">
        <v>12</v>
      </c>
      <c r="L28">
        <v>0</v>
      </c>
      <c r="M28">
        <v>3.98</v>
      </c>
      <c r="N28">
        <v>69</v>
      </c>
      <c r="O28" t="s">
        <v>35</v>
      </c>
      <c r="P28">
        <v>13</v>
      </c>
      <c r="Q28">
        <v>5.31</v>
      </c>
      <c r="R28">
        <v>45.2</v>
      </c>
      <c r="S28">
        <v>90.64</v>
      </c>
      <c r="T28">
        <v>61.59</v>
      </c>
      <c r="U28">
        <v>1</v>
      </c>
      <c r="V28">
        <v>0</v>
      </c>
      <c r="W28">
        <v>152.22999999999999</v>
      </c>
      <c r="X28">
        <v>41.5</v>
      </c>
      <c r="Y28">
        <v>108.05</v>
      </c>
      <c r="Z28">
        <v>13.82</v>
      </c>
      <c r="AA28">
        <v>8.93</v>
      </c>
      <c r="AB28">
        <v>129.47999999999999</v>
      </c>
      <c r="AC28">
        <v>171.87610619469024</v>
      </c>
      <c r="AD28">
        <v>24.384180790960453</v>
      </c>
      <c r="AE28">
        <v>72.27</v>
      </c>
      <c r="AF28">
        <v>15.19</v>
      </c>
      <c r="AG28">
        <v>1</v>
      </c>
      <c r="AH28">
        <v>16.100000000000001</v>
      </c>
      <c r="AI28">
        <v>85.1</v>
      </c>
      <c r="AJ28">
        <v>177.8</v>
      </c>
      <c r="AK28">
        <v>68.400000000000006</v>
      </c>
      <c r="AL28" t="s">
        <v>14</v>
      </c>
      <c r="AM28" t="s">
        <v>15</v>
      </c>
      <c r="AN28" t="str">
        <f t="shared" si="0"/>
        <v>Night</v>
      </c>
      <c r="AO28" t="str">
        <f t="shared" si="1"/>
        <v>Peak</v>
      </c>
      <c r="AP28" t="str">
        <f t="shared" si="2"/>
        <v>Medium</v>
      </c>
      <c r="AQ28" t="str">
        <f t="shared" si="3"/>
        <v>Medium</v>
      </c>
    </row>
    <row r="29" spans="1:43" x14ac:dyDescent="0.3">
      <c r="A29">
        <v>28</v>
      </c>
      <c r="B29" t="s">
        <v>16</v>
      </c>
      <c r="C29" t="s">
        <v>17</v>
      </c>
      <c r="D29" s="1">
        <v>46122</v>
      </c>
      <c r="E29" t="s">
        <v>9</v>
      </c>
      <c r="F29">
        <v>0</v>
      </c>
      <c r="G29">
        <v>10</v>
      </c>
      <c r="H29" t="s">
        <v>19</v>
      </c>
      <c r="I29" t="s">
        <v>28</v>
      </c>
      <c r="J29">
        <v>1.03</v>
      </c>
      <c r="K29" t="s">
        <v>21</v>
      </c>
      <c r="L29">
        <v>0</v>
      </c>
      <c r="M29">
        <v>3.32</v>
      </c>
      <c r="N29">
        <v>22</v>
      </c>
      <c r="O29" t="s">
        <v>22</v>
      </c>
      <c r="P29">
        <v>3</v>
      </c>
      <c r="Q29">
        <v>3.33</v>
      </c>
      <c r="R29">
        <v>37.799999999999997</v>
      </c>
      <c r="S29">
        <v>99.69</v>
      </c>
      <c r="T29">
        <v>20.170000000000002</v>
      </c>
      <c r="U29">
        <v>1.06</v>
      </c>
      <c r="V29">
        <v>5.98</v>
      </c>
      <c r="W29">
        <v>125.84</v>
      </c>
      <c r="X29">
        <v>44.2</v>
      </c>
      <c r="Y29">
        <v>104.23</v>
      </c>
      <c r="Z29">
        <v>7.86</v>
      </c>
      <c r="AA29">
        <v>4.88</v>
      </c>
      <c r="AB29">
        <v>113.1</v>
      </c>
      <c r="AC29">
        <v>179.52380952380952</v>
      </c>
      <c r="AD29">
        <v>33.963963963963963</v>
      </c>
      <c r="AE29">
        <v>65</v>
      </c>
      <c r="AF29">
        <v>16.84</v>
      </c>
      <c r="AG29">
        <v>0</v>
      </c>
      <c r="AH29">
        <v>16.600000000000001</v>
      </c>
      <c r="AI29">
        <v>38.6</v>
      </c>
      <c r="AJ29">
        <v>170.39</v>
      </c>
      <c r="AK29">
        <v>68.28</v>
      </c>
      <c r="AL29" t="s">
        <v>23</v>
      </c>
      <c r="AM29" t="s">
        <v>24</v>
      </c>
      <c r="AN29" t="str">
        <f t="shared" si="0"/>
        <v>Morning</v>
      </c>
      <c r="AO29" t="str">
        <f t="shared" si="1"/>
        <v>Peak</v>
      </c>
      <c r="AP29" t="str">
        <f t="shared" si="2"/>
        <v>Medium</v>
      </c>
      <c r="AQ29" t="str">
        <f t="shared" si="3"/>
        <v>Low</v>
      </c>
    </row>
    <row r="30" spans="1:43" x14ac:dyDescent="0.3">
      <c r="A30">
        <v>29</v>
      </c>
      <c r="B30" t="s">
        <v>29</v>
      </c>
      <c r="C30" t="s">
        <v>30</v>
      </c>
      <c r="D30" s="1">
        <v>46217</v>
      </c>
      <c r="E30" t="s">
        <v>44</v>
      </c>
      <c r="F30">
        <v>0</v>
      </c>
      <c r="G30">
        <v>20</v>
      </c>
      <c r="H30" t="s">
        <v>32</v>
      </c>
      <c r="I30" t="s">
        <v>46</v>
      </c>
      <c r="J30">
        <v>1.1499999999999999</v>
      </c>
      <c r="K30" t="s">
        <v>21</v>
      </c>
      <c r="L30">
        <v>0</v>
      </c>
      <c r="M30">
        <v>3.89</v>
      </c>
      <c r="N30">
        <v>68</v>
      </c>
      <c r="O30" t="s">
        <v>35</v>
      </c>
      <c r="P30">
        <v>12</v>
      </c>
      <c r="Q30">
        <v>9.09</v>
      </c>
      <c r="R30">
        <v>59.5</v>
      </c>
      <c r="S30">
        <v>114.43</v>
      </c>
      <c r="T30">
        <v>86.93</v>
      </c>
      <c r="U30">
        <v>1</v>
      </c>
      <c r="V30">
        <v>0</v>
      </c>
      <c r="W30">
        <v>201.36</v>
      </c>
      <c r="X30">
        <v>36.200000000000003</v>
      </c>
      <c r="Y30">
        <v>109.68</v>
      </c>
      <c r="Z30">
        <v>27.51</v>
      </c>
      <c r="AA30">
        <v>6.82</v>
      </c>
      <c r="AB30">
        <v>167.03</v>
      </c>
      <c r="AC30">
        <v>168.43361344537814</v>
      </c>
      <c r="AD30">
        <v>18.375137513751376</v>
      </c>
      <c r="AE30">
        <v>73.260000000000005</v>
      </c>
      <c r="AF30">
        <v>14.01</v>
      </c>
      <c r="AG30">
        <v>1</v>
      </c>
      <c r="AH30">
        <v>-4.8600000000000003</v>
      </c>
      <c r="AI30">
        <v>63.14</v>
      </c>
      <c r="AJ30">
        <v>164.4</v>
      </c>
      <c r="AK30">
        <v>74.239999999999995</v>
      </c>
      <c r="AL30" t="s">
        <v>14</v>
      </c>
      <c r="AM30" t="s">
        <v>15</v>
      </c>
      <c r="AN30" t="str">
        <f t="shared" si="0"/>
        <v>Night</v>
      </c>
      <c r="AO30" t="str">
        <f t="shared" si="1"/>
        <v>Peak</v>
      </c>
      <c r="AP30" t="str">
        <f t="shared" si="2"/>
        <v>Medium</v>
      </c>
      <c r="AQ30" t="str">
        <f t="shared" si="3"/>
        <v>Medium</v>
      </c>
    </row>
    <row r="31" spans="1:43" x14ac:dyDescent="0.3">
      <c r="A31">
        <v>30</v>
      </c>
      <c r="B31" t="s">
        <v>29</v>
      </c>
      <c r="C31" t="s">
        <v>30</v>
      </c>
      <c r="D31" s="1">
        <v>46092</v>
      </c>
      <c r="E31" t="s">
        <v>18</v>
      </c>
      <c r="F31">
        <v>0</v>
      </c>
      <c r="G31">
        <v>20</v>
      </c>
      <c r="H31" t="s">
        <v>32</v>
      </c>
      <c r="I31" t="s">
        <v>42</v>
      </c>
      <c r="J31">
        <v>1.08</v>
      </c>
      <c r="K31" t="s">
        <v>21</v>
      </c>
      <c r="L31">
        <v>0</v>
      </c>
      <c r="M31">
        <v>3.58</v>
      </c>
      <c r="N31">
        <v>72</v>
      </c>
      <c r="O31" t="s">
        <v>13</v>
      </c>
      <c r="P31">
        <v>15</v>
      </c>
      <c r="Q31">
        <v>2.84</v>
      </c>
      <c r="R31">
        <v>37.4</v>
      </c>
      <c r="S31">
        <v>65.55</v>
      </c>
      <c r="T31">
        <v>83.77</v>
      </c>
      <c r="U31">
        <v>1</v>
      </c>
      <c r="V31">
        <v>0</v>
      </c>
      <c r="W31">
        <v>149.32</v>
      </c>
      <c r="X31">
        <v>36.700000000000003</v>
      </c>
      <c r="Y31">
        <v>109.01</v>
      </c>
      <c r="Z31">
        <v>8.4499999999999993</v>
      </c>
      <c r="AA31">
        <v>4.01</v>
      </c>
      <c r="AB31">
        <v>136.86000000000001</v>
      </c>
      <c r="AC31">
        <v>219.56149732620324</v>
      </c>
      <c r="AD31">
        <v>48.190140845070431</v>
      </c>
      <c r="AE31">
        <v>73.03</v>
      </c>
      <c r="AF31">
        <v>16.850000000000001</v>
      </c>
      <c r="AG31">
        <v>1</v>
      </c>
      <c r="AH31">
        <v>8.68</v>
      </c>
      <c r="AI31">
        <v>80.680000000000007</v>
      </c>
      <c r="AJ31">
        <v>233.81</v>
      </c>
      <c r="AK31">
        <v>76.13</v>
      </c>
      <c r="AL31" t="s">
        <v>14</v>
      </c>
      <c r="AM31" t="s">
        <v>15</v>
      </c>
      <c r="AN31" t="str">
        <f t="shared" si="0"/>
        <v>Night</v>
      </c>
      <c r="AO31" t="str">
        <f t="shared" si="1"/>
        <v>Peak</v>
      </c>
      <c r="AP31" t="str">
        <f t="shared" si="2"/>
        <v>Medium</v>
      </c>
      <c r="AQ31" t="str">
        <f t="shared" si="3"/>
        <v>High</v>
      </c>
    </row>
    <row r="32" spans="1:43" x14ac:dyDescent="0.3">
      <c r="A32">
        <v>31</v>
      </c>
      <c r="B32" t="s">
        <v>29</v>
      </c>
      <c r="C32" t="s">
        <v>30</v>
      </c>
      <c r="D32" s="1">
        <v>46057</v>
      </c>
      <c r="E32" t="s">
        <v>18</v>
      </c>
      <c r="F32">
        <v>0</v>
      </c>
      <c r="G32">
        <v>14</v>
      </c>
      <c r="H32" t="s">
        <v>43</v>
      </c>
      <c r="I32" t="s">
        <v>11</v>
      </c>
      <c r="J32">
        <v>1.18</v>
      </c>
      <c r="K32" t="s">
        <v>21</v>
      </c>
      <c r="L32">
        <v>0</v>
      </c>
      <c r="M32">
        <v>4.28</v>
      </c>
      <c r="N32">
        <v>35</v>
      </c>
      <c r="O32" t="s">
        <v>22</v>
      </c>
      <c r="P32">
        <v>10</v>
      </c>
      <c r="Q32">
        <v>2.48</v>
      </c>
      <c r="R32">
        <v>33.9</v>
      </c>
      <c r="S32">
        <v>63.47</v>
      </c>
      <c r="T32">
        <v>52.11</v>
      </c>
      <c r="U32">
        <v>1</v>
      </c>
      <c r="V32">
        <v>0</v>
      </c>
      <c r="W32">
        <v>115.58</v>
      </c>
      <c r="X32">
        <v>49.9</v>
      </c>
      <c r="Y32">
        <v>107.59</v>
      </c>
      <c r="Z32">
        <v>5.35</v>
      </c>
      <c r="AA32">
        <v>10.28</v>
      </c>
      <c r="AB32">
        <v>99.95</v>
      </c>
      <c r="AC32">
        <v>176.90265486725667</v>
      </c>
      <c r="AD32">
        <v>40.302419354838712</v>
      </c>
      <c r="AE32">
        <v>58.39</v>
      </c>
      <c r="AF32">
        <v>18.87</v>
      </c>
      <c r="AG32">
        <v>0</v>
      </c>
      <c r="AH32">
        <v>-1.41</v>
      </c>
      <c r="AI32">
        <v>33.590000000000003</v>
      </c>
      <c r="AJ32">
        <v>173.26</v>
      </c>
      <c r="AK32">
        <v>72.540000000000006</v>
      </c>
      <c r="AL32" t="s">
        <v>14</v>
      </c>
      <c r="AM32" t="s">
        <v>15</v>
      </c>
      <c r="AN32" t="str">
        <f t="shared" si="0"/>
        <v>Afternoon</v>
      </c>
      <c r="AO32" t="str">
        <f t="shared" si="1"/>
        <v>Off-Peak</v>
      </c>
      <c r="AP32" t="str">
        <f t="shared" si="2"/>
        <v>Medium</v>
      </c>
      <c r="AQ32" t="str">
        <f t="shared" si="3"/>
        <v>Low</v>
      </c>
    </row>
    <row r="33" spans="1:43" x14ac:dyDescent="0.3">
      <c r="A33">
        <v>32</v>
      </c>
      <c r="B33" t="s">
        <v>14</v>
      </c>
      <c r="C33" t="s">
        <v>8</v>
      </c>
      <c r="D33" s="1">
        <v>46157</v>
      </c>
      <c r="E33" t="s">
        <v>9</v>
      </c>
      <c r="F33">
        <v>0</v>
      </c>
      <c r="G33">
        <v>15</v>
      </c>
      <c r="H33" t="s">
        <v>32</v>
      </c>
      <c r="I33" t="s">
        <v>33</v>
      </c>
      <c r="J33">
        <v>1</v>
      </c>
      <c r="K33" t="s">
        <v>21</v>
      </c>
      <c r="L33">
        <v>0</v>
      </c>
      <c r="M33">
        <v>3.84</v>
      </c>
      <c r="N33">
        <v>7</v>
      </c>
      <c r="O33" t="s">
        <v>22</v>
      </c>
      <c r="P33">
        <v>2</v>
      </c>
      <c r="Q33">
        <v>2.08</v>
      </c>
      <c r="R33">
        <v>33.4</v>
      </c>
      <c r="S33">
        <v>65.06</v>
      </c>
      <c r="T33">
        <v>18.809999999999999</v>
      </c>
      <c r="U33">
        <v>1</v>
      </c>
      <c r="V33">
        <v>0</v>
      </c>
      <c r="W33">
        <v>83.87</v>
      </c>
      <c r="X33">
        <v>40</v>
      </c>
      <c r="Y33">
        <v>100.9</v>
      </c>
      <c r="Z33">
        <v>5.25</v>
      </c>
      <c r="AA33">
        <v>11.25</v>
      </c>
      <c r="AB33">
        <v>67.37</v>
      </c>
      <c r="AC33">
        <v>121.0239520958084</v>
      </c>
      <c r="AD33">
        <v>32.38942307692308</v>
      </c>
      <c r="AE33">
        <v>68.2</v>
      </c>
      <c r="AF33">
        <v>20</v>
      </c>
      <c r="AG33">
        <v>0</v>
      </c>
      <c r="AH33">
        <v>-27.13</v>
      </c>
      <c r="AI33">
        <v>5</v>
      </c>
      <c r="AJ33">
        <v>112.34</v>
      </c>
      <c r="AK33">
        <v>60.2</v>
      </c>
      <c r="AL33" t="s">
        <v>14</v>
      </c>
      <c r="AM33" t="s">
        <v>15</v>
      </c>
      <c r="AN33" t="str">
        <f t="shared" si="0"/>
        <v>Evening</v>
      </c>
      <c r="AO33" t="str">
        <f t="shared" si="1"/>
        <v>Off-Peak</v>
      </c>
      <c r="AP33" t="str">
        <f t="shared" si="2"/>
        <v>Low</v>
      </c>
      <c r="AQ33" t="str">
        <f t="shared" si="3"/>
        <v>Low</v>
      </c>
    </row>
    <row r="34" spans="1:43" x14ac:dyDescent="0.3">
      <c r="A34">
        <v>33</v>
      </c>
      <c r="B34" t="s">
        <v>7</v>
      </c>
      <c r="C34" t="s">
        <v>8</v>
      </c>
      <c r="D34" s="1">
        <v>46064</v>
      </c>
      <c r="E34" t="s">
        <v>18</v>
      </c>
      <c r="F34">
        <v>0</v>
      </c>
      <c r="G34">
        <v>7</v>
      </c>
      <c r="H34" t="s">
        <v>49</v>
      </c>
      <c r="I34" t="s">
        <v>28</v>
      </c>
      <c r="J34">
        <v>1.03</v>
      </c>
      <c r="K34" t="s">
        <v>12</v>
      </c>
      <c r="L34">
        <v>0</v>
      </c>
      <c r="M34">
        <v>2.39</v>
      </c>
      <c r="N34">
        <v>10</v>
      </c>
      <c r="O34" t="s">
        <v>22</v>
      </c>
      <c r="P34">
        <v>3</v>
      </c>
      <c r="Q34">
        <v>3.31</v>
      </c>
      <c r="R34">
        <v>39.4</v>
      </c>
      <c r="S34">
        <v>73.23</v>
      </c>
      <c r="T34">
        <v>19.239999999999998</v>
      </c>
      <c r="U34">
        <v>1</v>
      </c>
      <c r="V34">
        <v>0</v>
      </c>
      <c r="W34">
        <v>92.47</v>
      </c>
      <c r="X34">
        <v>40.200000000000003</v>
      </c>
      <c r="Y34">
        <v>107.02</v>
      </c>
      <c r="Z34">
        <v>8.81</v>
      </c>
      <c r="AA34">
        <v>6.03</v>
      </c>
      <c r="AB34">
        <v>77.63</v>
      </c>
      <c r="AC34">
        <v>118.21827411167513</v>
      </c>
      <c r="AD34">
        <v>23.453172205438065</v>
      </c>
      <c r="AE34">
        <v>81.64</v>
      </c>
      <c r="AF34">
        <v>18.12</v>
      </c>
      <c r="AG34">
        <v>0</v>
      </c>
      <c r="AH34">
        <v>9.6</v>
      </c>
      <c r="AI34">
        <v>19.600000000000001</v>
      </c>
      <c r="AJ34">
        <v>105.3</v>
      </c>
      <c r="AK34">
        <v>71.38</v>
      </c>
      <c r="AL34" t="s">
        <v>14</v>
      </c>
      <c r="AM34" t="s">
        <v>15</v>
      </c>
      <c r="AN34" t="str">
        <f t="shared" si="0"/>
        <v>Morning</v>
      </c>
      <c r="AO34" t="str">
        <f t="shared" si="1"/>
        <v>Peak</v>
      </c>
      <c r="AP34" t="str">
        <f t="shared" si="2"/>
        <v>Low</v>
      </c>
      <c r="AQ34" t="str">
        <f t="shared" si="3"/>
        <v>Low</v>
      </c>
    </row>
    <row r="35" spans="1:43" x14ac:dyDescent="0.3">
      <c r="A35">
        <v>34</v>
      </c>
      <c r="B35" t="s">
        <v>29</v>
      </c>
      <c r="C35" t="s">
        <v>30</v>
      </c>
      <c r="D35" s="1">
        <v>46104</v>
      </c>
      <c r="E35" t="s">
        <v>38</v>
      </c>
      <c r="F35">
        <v>0</v>
      </c>
      <c r="G35">
        <v>19</v>
      </c>
      <c r="H35" t="s">
        <v>32</v>
      </c>
      <c r="I35" t="s">
        <v>33</v>
      </c>
      <c r="J35">
        <v>1</v>
      </c>
      <c r="K35" t="s">
        <v>12</v>
      </c>
      <c r="L35">
        <v>0</v>
      </c>
      <c r="M35">
        <v>4.55</v>
      </c>
      <c r="N35">
        <v>46</v>
      </c>
      <c r="O35" t="s">
        <v>35</v>
      </c>
      <c r="P35">
        <v>8</v>
      </c>
      <c r="Q35">
        <v>1</v>
      </c>
      <c r="R35">
        <v>29.9</v>
      </c>
      <c r="S35">
        <v>61.77</v>
      </c>
      <c r="T35">
        <v>77.23</v>
      </c>
      <c r="U35">
        <v>1</v>
      </c>
      <c r="V35">
        <v>0</v>
      </c>
      <c r="W35">
        <v>139</v>
      </c>
      <c r="X35">
        <v>38.799999999999997</v>
      </c>
      <c r="Y35">
        <v>109.87</v>
      </c>
      <c r="Z35">
        <v>2.83</v>
      </c>
      <c r="AA35">
        <v>6.49</v>
      </c>
      <c r="AB35">
        <v>129.68</v>
      </c>
      <c r="AC35">
        <v>260.2274247491639</v>
      </c>
      <c r="AD35">
        <v>129.68</v>
      </c>
      <c r="AE35">
        <v>82.09</v>
      </c>
      <c r="AF35">
        <v>17.2</v>
      </c>
      <c r="AG35">
        <v>1</v>
      </c>
      <c r="AH35">
        <v>-16.420000000000002</v>
      </c>
      <c r="AI35">
        <v>29.58</v>
      </c>
      <c r="AJ35">
        <v>266.47000000000003</v>
      </c>
      <c r="AK35">
        <v>69.11</v>
      </c>
      <c r="AL35" t="s">
        <v>14</v>
      </c>
      <c r="AM35" t="s">
        <v>15</v>
      </c>
      <c r="AN35" t="str">
        <f t="shared" si="0"/>
        <v>Night</v>
      </c>
      <c r="AO35" t="str">
        <f t="shared" si="1"/>
        <v>Peak</v>
      </c>
      <c r="AP35" t="str">
        <f t="shared" si="2"/>
        <v>High</v>
      </c>
      <c r="AQ35" t="str">
        <f t="shared" si="3"/>
        <v>Medium</v>
      </c>
    </row>
    <row r="36" spans="1:43" x14ac:dyDescent="0.3">
      <c r="A36">
        <v>35</v>
      </c>
      <c r="B36" t="s">
        <v>23</v>
      </c>
      <c r="C36" t="s">
        <v>17</v>
      </c>
      <c r="D36" s="1">
        <v>46139</v>
      </c>
      <c r="E36" t="s">
        <v>38</v>
      </c>
      <c r="F36">
        <v>0</v>
      </c>
      <c r="G36">
        <v>22</v>
      </c>
      <c r="H36" t="s">
        <v>19</v>
      </c>
      <c r="I36" t="s">
        <v>37</v>
      </c>
      <c r="J36">
        <v>1.02</v>
      </c>
      <c r="K36" t="s">
        <v>21</v>
      </c>
      <c r="L36">
        <v>0</v>
      </c>
      <c r="M36">
        <v>2.41</v>
      </c>
      <c r="N36">
        <v>33</v>
      </c>
      <c r="O36" t="s">
        <v>22</v>
      </c>
      <c r="P36">
        <v>6</v>
      </c>
      <c r="Q36">
        <v>3.43</v>
      </c>
      <c r="R36">
        <v>37.700000000000003</v>
      </c>
      <c r="S36">
        <v>100.41</v>
      </c>
      <c r="T36">
        <v>33.729999999999997</v>
      </c>
      <c r="U36">
        <v>1</v>
      </c>
      <c r="V36">
        <v>0</v>
      </c>
      <c r="W36">
        <v>134.13999999999999</v>
      </c>
      <c r="X36">
        <v>44.7</v>
      </c>
      <c r="Y36">
        <v>103.73</v>
      </c>
      <c r="Z36">
        <v>7.97</v>
      </c>
      <c r="AA36">
        <v>11.83</v>
      </c>
      <c r="AB36">
        <v>114.34</v>
      </c>
      <c r="AC36">
        <v>181.973474801061</v>
      </c>
      <c r="AD36">
        <v>33.335276967930028</v>
      </c>
      <c r="AE36">
        <v>78.84</v>
      </c>
      <c r="AF36">
        <v>20</v>
      </c>
      <c r="AG36">
        <v>0</v>
      </c>
      <c r="AH36">
        <v>7.92</v>
      </c>
      <c r="AI36">
        <v>40.92</v>
      </c>
      <c r="AJ36">
        <v>195.97</v>
      </c>
      <c r="AK36">
        <v>73.150000000000006</v>
      </c>
      <c r="AL36" t="s">
        <v>23</v>
      </c>
      <c r="AM36" t="s">
        <v>24</v>
      </c>
      <c r="AN36" t="str">
        <f t="shared" si="0"/>
        <v>Night</v>
      </c>
      <c r="AO36" t="str">
        <f t="shared" si="1"/>
        <v>Off-Peak</v>
      </c>
      <c r="AP36" t="str">
        <f t="shared" si="2"/>
        <v>Medium</v>
      </c>
      <c r="AQ36" t="str">
        <f t="shared" si="3"/>
        <v>Low</v>
      </c>
    </row>
    <row r="37" spans="1:43" x14ac:dyDescent="0.3">
      <c r="A37">
        <v>36</v>
      </c>
      <c r="B37" t="s">
        <v>7</v>
      </c>
      <c r="C37" t="s">
        <v>8</v>
      </c>
      <c r="D37" s="1">
        <v>46168</v>
      </c>
      <c r="E37" t="s">
        <v>44</v>
      </c>
      <c r="F37">
        <v>0</v>
      </c>
      <c r="G37">
        <v>14</v>
      </c>
      <c r="H37" t="s">
        <v>10</v>
      </c>
      <c r="I37" t="s">
        <v>50</v>
      </c>
      <c r="J37">
        <v>1.2</v>
      </c>
      <c r="K37" t="s">
        <v>34</v>
      </c>
      <c r="L37">
        <v>1</v>
      </c>
      <c r="M37">
        <v>3.65</v>
      </c>
      <c r="N37">
        <v>92</v>
      </c>
      <c r="O37" t="s">
        <v>13</v>
      </c>
      <c r="P37">
        <v>24</v>
      </c>
      <c r="Q37">
        <v>4.4400000000000004</v>
      </c>
      <c r="R37">
        <v>33.6</v>
      </c>
      <c r="S37">
        <v>81.16</v>
      </c>
      <c r="T37">
        <v>100</v>
      </c>
      <c r="U37">
        <v>1</v>
      </c>
      <c r="V37">
        <v>0</v>
      </c>
      <c r="W37">
        <v>181.16</v>
      </c>
      <c r="X37">
        <v>42.1</v>
      </c>
      <c r="Y37">
        <v>108.82</v>
      </c>
      <c r="Z37">
        <v>11.48</v>
      </c>
      <c r="AA37">
        <v>3.42</v>
      </c>
      <c r="AB37">
        <v>166.26</v>
      </c>
      <c r="AC37">
        <v>296.89285714285711</v>
      </c>
      <c r="AD37">
        <v>37.445945945945944</v>
      </c>
      <c r="AE37">
        <v>80.41</v>
      </c>
      <c r="AF37">
        <v>16.96</v>
      </c>
      <c r="AG37">
        <v>1</v>
      </c>
      <c r="AH37">
        <v>-20.03</v>
      </c>
      <c r="AI37">
        <v>71.97</v>
      </c>
      <c r="AJ37">
        <v>312.73</v>
      </c>
      <c r="AK37">
        <v>74.37</v>
      </c>
      <c r="AL37" t="s">
        <v>14</v>
      </c>
      <c r="AM37" t="s">
        <v>15</v>
      </c>
      <c r="AN37" t="str">
        <f t="shared" si="0"/>
        <v>Afternoon</v>
      </c>
      <c r="AO37" t="str">
        <f t="shared" si="1"/>
        <v>Off-Peak</v>
      </c>
      <c r="AP37" t="str">
        <f t="shared" si="2"/>
        <v>High</v>
      </c>
      <c r="AQ37" t="str">
        <f t="shared" si="3"/>
        <v>High</v>
      </c>
    </row>
    <row r="38" spans="1:43" x14ac:dyDescent="0.3">
      <c r="A38">
        <v>37</v>
      </c>
      <c r="B38" t="s">
        <v>23</v>
      </c>
      <c r="C38" t="s">
        <v>17</v>
      </c>
      <c r="D38" s="1">
        <v>46187</v>
      </c>
      <c r="E38" t="s">
        <v>26</v>
      </c>
      <c r="F38">
        <v>1</v>
      </c>
      <c r="G38">
        <v>15</v>
      </c>
      <c r="H38" t="s">
        <v>19</v>
      </c>
      <c r="I38" t="s">
        <v>45</v>
      </c>
      <c r="J38">
        <v>1</v>
      </c>
      <c r="K38" t="s">
        <v>12</v>
      </c>
      <c r="L38">
        <v>0</v>
      </c>
      <c r="M38">
        <v>3.83</v>
      </c>
      <c r="N38">
        <v>48</v>
      </c>
      <c r="O38" t="s">
        <v>35</v>
      </c>
      <c r="P38">
        <v>10</v>
      </c>
      <c r="Q38">
        <v>4.6399999999999997</v>
      </c>
      <c r="R38">
        <v>41.8</v>
      </c>
      <c r="S38">
        <v>109.31</v>
      </c>
      <c r="T38">
        <v>56.09</v>
      </c>
      <c r="U38">
        <v>1.06</v>
      </c>
      <c r="V38">
        <v>6.56</v>
      </c>
      <c r="W38">
        <v>171.96</v>
      </c>
      <c r="X38">
        <v>46.9</v>
      </c>
      <c r="Y38">
        <v>104.08</v>
      </c>
      <c r="Z38">
        <v>10.31</v>
      </c>
      <c r="AA38">
        <v>10.09</v>
      </c>
      <c r="AB38">
        <v>151.56</v>
      </c>
      <c r="AC38">
        <v>217.55023923444978</v>
      </c>
      <c r="AD38">
        <v>32.663793103448278</v>
      </c>
      <c r="AE38">
        <v>87.43</v>
      </c>
      <c r="AF38">
        <v>17.14</v>
      </c>
      <c r="AG38">
        <v>1</v>
      </c>
      <c r="AH38">
        <v>-7.8</v>
      </c>
      <c r="AI38">
        <v>40.200000000000003</v>
      </c>
      <c r="AJ38">
        <v>213.77</v>
      </c>
      <c r="AK38">
        <v>70.06</v>
      </c>
      <c r="AL38" t="s">
        <v>23</v>
      </c>
      <c r="AM38" t="s">
        <v>24</v>
      </c>
      <c r="AN38" t="str">
        <f t="shared" si="0"/>
        <v>Evening</v>
      </c>
      <c r="AO38" t="str">
        <f t="shared" si="1"/>
        <v>Off-Peak</v>
      </c>
      <c r="AP38" t="str">
        <f t="shared" si="2"/>
        <v>Medium</v>
      </c>
      <c r="AQ38" t="str">
        <f t="shared" si="3"/>
        <v>Medium</v>
      </c>
    </row>
    <row r="39" spans="1:43" x14ac:dyDescent="0.3">
      <c r="A39">
        <v>38</v>
      </c>
      <c r="B39" t="s">
        <v>16</v>
      </c>
      <c r="C39" t="s">
        <v>17</v>
      </c>
      <c r="D39" s="1">
        <v>46197</v>
      </c>
      <c r="E39" t="s">
        <v>18</v>
      </c>
      <c r="F39">
        <v>0</v>
      </c>
      <c r="G39">
        <v>14</v>
      </c>
      <c r="H39" t="s">
        <v>19</v>
      </c>
      <c r="I39" t="s">
        <v>46</v>
      </c>
      <c r="J39">
        <v>1.1499999999999999</v>
      </c>
      <c r="K39" t="s">
        <v>21</v>
      </c>
      <c r="L39">
        <v>0</v>
      </c>
      <c r="M39">
        <v>1.64</v>
      </c>
      <c r="N39">
        <v>8</v>
      </c>
      <c r="O39" t="s">
        <v>22</v>
      </c>
      <c r="P39">
        <v>2</v>
      </c>
      <c r="Q39">
        <v>1.69</v>
      </c>
      <c r="R39">
        <v>22.3</v>
      </c>
      <c r="S39">
        <v>72.94</v>
      </c>
      <c r="T39">
        <v>27.64</v>
      </c>
      <c r="U39">
        <v>1.01</v>
      </c>
      <c r="V39">
        <v>0.73</v>
      </c>
      <c r="W39">
        <v>101.31</v>
      </c>
      <c r="X39">
        <v>42.7</v>
      </c>
      <c r="Y39">
        <v>109.71</v>
      </c>
      <c r="Z39">
        <v>4.3499999999999996</v>
      </c>
      <c r="AA39">
        <v>7.67</v>
      </c>
      <c r="AB39">
        <v>89.29</v>
      </c>
      <c r="AC39">
        <v>240.24215246636771</v>
      </c>
      <c r="AD39">
        <v>52.834319526627226</v>
      </c>
      <c r="AE39">
        <v>64.16</v>
      </c>
      <c r="AF39">
        <v>12.18</v>
      </c>
      <c r="AG39">
        <v>0</v>
      </c>
      <c r="AH39">
        <v>-3.5</v>
      </c>
      <c r="AI39">
        <v>5</v>
      </c>
      <c r="AJ39">
        <v>244.94</v>
      </c>
      <c r="AK39">
        <v>67.23</v>
      </c>
      <c r="AL39" t="s">
        <v>14</v>
      </c>
      <c r="AM39" t="s">
        <v>15</v>
      </c>
      <c r="AN39" t="str">
        <f t="shared" si="0"/>
        <v>Afternoon</v>
      </c>
      <c r="AO39" t="str">
        <f t="shared" si="1"/>
        <v>Off-Peak</v>
      </c>
      <c r="AP39" t="str">
        <f t="shared" si="2"/>
        <v>Medium</v>
      </c>
      <c r="AQ39" t="str">
        <f t="shared" si="3"/>
        <v>Low</v>
      </c>
    </row>
    <row r="40" spans="1:43" x14ac:dyDescent="0.3">
      <c r="A40">
        <v>39</v>
      </c>
      <c r="B40" t="s">
        <v>14</v>
      </c>
      <c r="C40" t="s">
        <v>8</v>
      </c>
      <c r="D40" s="1">
        <v>46240</v>
      </c>
      <c r="E40" t="s">
        <v>41</v>
      </c>
      <c r="F40">
        <v>0</v>
      </c>
      <c r="G40">
        <v>8</v>
      </c>
      <c r="H40" t="s">
        <v>49</v>
      </c>
      <c r="I40" t="s">
        <v>42</v>
      </c>
      <c r="J40">
        <v>1.08</v>
      </c>
      <c r="K40" t="s">
        <v>12</v>
      </c>
      <c r="L40">
        <v>0</v>
      </c>
      <c r="M40">
        <v>3.74</v>
      </c>
      <c r="N40">
        <v>45</v>
      </c>
      <c r="O40" t="s">
        <v>35</v>
      </c>
      <c r="P40">
        <v>21</v>
      </c>
      <c r="Q40">
        <v>4.58</v>
      </c>
      <c r="R40">
        <v>53.2</v>
      </c>
      <c r="S40">
        <v>77.22</v>
      </c>
      <c r="T40">
        <v>45.53</v>
      </c>
      <c r="U40">
        <v>1</v>
      </c>
      <c r="V40">
        <v>0</v>
      </c>
      <c r="W40">
        <v>122.75</v>
      </c>
      <c r="X40">
        <v>35.200000000000003</v>
      </c>
      <c r="Y40">
        <v>106.54</v>
      </c>
      <c r="Z40">
        <v>13.85</v>
      </c>
      <c r="AA40">
        <v>10.81</v>
      </c>
      <c r="AB40">
        <v>98.09</v>
      </c>
      <c r="AC40">
        <v>110.62781954887218</v>
      </c>
      <c r="AD40">
        <v>21.41703056768559</v>
      </c>
      <c r="AE40">
        <v>67.88</v>
      </c>
      <c r="AF40">
        <v>12.98</v>
      </c>
      <c r="AG40">
        <v>0</v>
      </c>
      <c r="AH40">
        <v>21.03</v>
      </c>
      <c r="AI40">
        <v>66.03</v>
      </c>
      <c r="AJ40">
        <v>131.12</v>
      </c>
      <c r="AK40">
        <v>65.2</v>
      </c>
      <c r="AL40" t="s">
        <v>14</v>
      </c>
      <c r="AM40" t="s">
        <v>15</v>
      </c>
      <c r="AN40" t="str">
        <f t="shared" si="0"/>
        <v>Morning</v>
      </c>
      <c r="AO40" t="str">
        <f t="shared" si="1"/>
        <v>Peak</v>
      </c>
      <c r="AP40" t="str">
        <f t="shared" si="2"/>
        <v>Low</v>
      </c>
      <c r="AQ40" t="str">
        <f t="shared" si="3"/>
        <v>Medium</v>
      </c>
    </row>
    <row r="41" spans="1:43" x14ac:dyDescent="0.3">
      <c r="A41">
        <v>40</v>
      </c>
      <c r="B41" t="s">
        <v>25</v>
      </c>
      <c r="C41" t="s">
        <v>17</v>
      </c>
      <c r="D41" s="1">
        <v>46040</v>
      </c>
      <c r="E41" t="s">
        <v>26</v>
      </c>
      <c r="F41">
        <v>1</v>
      </c>
      <c r="G41">
        <v>16</v>
      </c>
      <c r="H41" t="s">
        <v>19</v>
      </c>
      <c r="I41" t="s">
        <v>45</v>
      </c>
      <c r="J41">
        <v>1</v>
      </c>
      <c r="K41" t="s">
        <v>21</v>
      </c>
      <c r="L41">
        <v>0</v>
      </c>
      <c r="M41">
        <v>2.8</v>
      </c>
      <c r="N41">
        <v>35</v>
      </c>
      <c r="O41" t="s">
        <v>22</v>
      </c>
      <c r="P41">
        <v>5</v>
      </c>
      <c r="Q41">
        <v>4.51</v>
      </c>
      <c r="R41">
        <v>29.7</v>
      </c>
      <c r="S41">
        <v>104.13</v>
      </c>
      <c r="T41">
        <v>38.020000000000003</v>
      </c>
      <c r="U41">
        <v>1</v>
      </c>
      <c r="V41">
        <v>0</v>
      </c>
      <c r="W41">
        <v>142.15</v>
      </c>
      <c r="X41">
        <v>42.2</v>
      </c>
      <c r="Y41">
        <v>100.97</v>
      </c>
      <c r="Z41">
        <v>10.78</v>
      </c>
      <c r="AA41">
        <v>4.92</v>
      </c>
      <c r="AB41">
        <v>126.45</v>
      </c>
      <c r="AC41">
        <v>255.45454545454547</v>
      </c>
      <c r="AD41">
        <v>28.037694013303771</v>
      </c>
      <c r="AE41">
        <v>83.79</v>
      </c>
      <c r="AF41">
        <v>12.08</v>
      </c>
      <c r="AG41">
        <v>1</v>
      </c>
      <c r="AH41">
        <v>-5</v>
      </c>
      <c r="AI41">
        <v>30</v>
      </c>
      <c r="AJ41">
        <v>262.87</v>
      </c>
      <c r="AK41">
        <v>73.52</v>
      </c>
      <c r="AL41" t="s">
        <v>23</v>
      </c>
      <c r="AM41" t="s">
        <v>24</v>
      </c>
      <c r="AN41" t="str">
        <f t="shared" si="0"/>
        <v>Evening</v>
      </c>
      <c r="AO41" t="str">
        <f t="shared" si="1"/>
        <v>Off-Peak</v>
      </c>
      <c r="AP41" t="str">
        <f t="shared" si="2"/>
        <v>High</v>
      </c>
      <c r="AQ41" t="str">
        <f t="shared" si="3"/>
        <v>Low</v>
      </c>
    </row>
    <row r="42" spans="1:43" x14ac:dyDescent="0.3">
      <c r="A42">
        <v>41</v>
      </c>
      <c r="B42" t="s">
        <v>14</v>
      </c>
      <c r="C42" t="s">
        <v>8</v>
      </c>
      <c r="D42" s="1">
        <v>46116</v>
      </c>
      <c r="E42" t="s">
        <v>31</v>
      </c>
      <c r="F42">
        <v>1</v>
      </c>
      <c r="G42">
        <v>18</v>
      </c>
      <c r="H42" t="s">
        <v>51</v>
      </c>
      <c r="I42" t="s">
        <v>39</v>
      </c>
      <c r="J42">
        <v>1.05</v>
      </c>
      <c r="K42" t="s">
        <v>34</v>
      </c>
      <c r="L42">
        <v>1</v>
      </c>
      <c r="M42">
        <v>4.43</v>
      </c>
      <c r="N42">
        <v>108</v>
      </c>
      <c r="O42" t="s">
        <v>13</v>
      </c>
      <c r="P42">
        <v>55</v>
      </c>
      <c r="Q42">
        <v>4.58</v>
      </c>
      <c r="R42">
        <v>45.9</v>
      </c>
      <c r="S42">
        <v>91.21</v>
      </c>
      <c r="T42">
        <v>100</v>
      </c>
      <c r="U42">
        <v>1</v>
      </c>
      <c r="V42">
        <v>0</v>
      </c>
      <c r="W42">
        <v>191.21</v>
      </c>
      <c r="X42">
        <v>35.799999999999997</v>
      </c>
      <c r="Y42">
        <v>104.79</v>
      </c>
      <c r="Z42">
        <v>13.4</v>
      </c>
      <c r="AA42">
        <v>4.96</v>
      </c>
      <c r="AB42">
        <v>172.85</v>
      </c>
      <c r="AC42">
        <v>225.94771241830065</v>
      </c>
      <c r="AD42">
        <v>37.740174672489083</v>
      </c>
      <c r="AE42">
        <v>80.86</v>
      </c>
      <c r="AF42">
        <v>13</v>
      </c>
      <c r="AG42">
        <v>1</v>
      </c>
      <c r="AH42">
        <v>-13.12</v>
      </c>
      <c r="AI42">
        <v>94.88</v>
      </c>
      <c r="AJ42">
        <v>243.02</v>
      </c>
      <c r="AK42">
        <v>79.38</v>
      </c>
      <c r="AL42" t="s">
        <v>14</v>
      </c>
      <c r="AM42" t="s">
        <v>15</v>
      </c>
      <c r="AN42" t="str">
        <f t="shared" si="0"/>
        <v>Night</v>
      </c>
      <c r="AO42" t="str">
        <f t="shared" si="1"/>
        <v>Peak</v>
      </c>
      <c r="AP42" t="str">
        <f t="shared" si="2"/>
        <v>Medium</v>
      </c>
      <c r="AQ42" t="str">
        <f t="shared" si="3"/>
        <v>High</v>
      </c>
    </row>
    <row r="43" spans="1:43" x14ac:dyDescent="0.3">
      <c r="A43">
        <v>42</v>
      </c>
      <c r="B43" t="s">
        <v>16</v>
      </c>
      <c r="C43" t="s">
        <v>17</v>
      </c>
      <c r="D43" s="1">
        <v>46023</v>
      </c>
      <c r="E43" t="s">
        <v>41</v>
      </c>
      <c r="F43">
        <v>0</v>
      </c>
      <c r="G43">
        <v>21</v>
      </c>
      <c r="H43" t="s">
        <v>19</v>
      </c>
      <c r="I43" t="s">
        <v>33</v>
      </c>
      <c r="J43">
        <v>1</v>
      </c>
      <c r="K43" t="s">
        <v>12</v>
      </c>
      <c r="L43">
        <v>0</v>
      </c>
      <c r="M43">
        <v>4.43</v>
      </c>
      <c r="N43">
        <v>77</v>
      </c>
      <c r="O43" t="s">
        <v>13</v>
      </c>
      <c r="P43">
        <v>17</v>
      </c>
      <c r="Q43">
        <v>7</v>
      </c>
      <c r="R43">
        <v>64.5</v>
      </c>
      <c r="S43">
        <v>136.63999999999999</v>
      </c>
      <c r="T43">
        <v>78.14</v>
      </c>
      <c r="U43">
        <v>1.32</v>
      </c>
      <c r="V43">
        <v>43.72</v>
      </c>
      <c r="W43">
        <v>258.5</v>
      </c>
      <c r="X43">
        <v>47.4</v>
      </c>
      <c r="Y43">
        <v>100.5</v>
      </c>
      <c r="Z43">
        <v>14.84</v>
      </c>
      <c r="AA43">
        <v>5.26</v>
      </c>
      <c r="AB43">
        <v>238.4</v>
      </c>
      <c r="AC43">
        <v>221.76744186046514</v>
      </c>
      <c r="AD43">
        <v>34.057142857142857</v>
      </c>
      <c r="AE43">
        <v>72.790000000000006</v>
      </c>
      <c r="AF43">
        <v>18.7</v>
      </c>
      <c r="AG43">
        <v>1</v>
      </c>
      <c r="AH43">
        <v>8.4700000000000006</v>
      </c>
      <c r="AI43">
        <v>85.47</v>
      </c>
      <c r="AJ43">
        <v>239.36</v>
      </c>
      <c r="AK43">
        <v>72.98</v>
      </c>
      <c r="AL43" t="s">
        <v>14</v>
      </c>
      <c r="AM43" t="s">
        <v>15</v>
      </c>
      <c r="AN43" t="str">
        <f t="shared" si="0"/>
        <v>Night</v>
      </c>
      <c r="AO43" t="str">
        <f t="shared" si="1"/>
        <v>Off-Peak</v>
      </c>
      <c r="AP43" t="str">
        <f t="shared" si="2"/>
        <v>Medium</v>
      </c>
      <c r="AQ43" t="str">
        <f t="shared" si="3"/>
        <v>High</v>
      </c>
    </row>
    <row r="44" spans="1:43" x14ac:dyDescent="0.3">
      <c r="A44">
        <v>43</v>
      </c>
      <c r="B44" t="s">
        <v>25</v>
      </c>
      <c r="C44" t="s">
        <v>17</v>
      </c>
      <c r="D44" s="1">
        <v>46025</v>
      </c>
      <c r="E44" t="s">
        <v>31</v>
      </c>
      <c r="F44">
        <v>1</v>
      </c>
      <c r="G44">
        <v>21</v>
      </c>
      <c r="H44" t="s">
        <v>19</v>
      </c>
      <c r="I44" t="s">
        <v>28</v>
      </c>
      <c r="J44">
        <v>1.03</v>
      </c>
      <c r="K44" t="s">
        <v>12</v>
      </c>
      <c r="L44">
        <v>0</v>
      </c>
      <c r="M44">
        <v>4.5599999999999996</v>
      </c>
      <c r="N44">
        <v>76</v>
      </c>
      <c r="O44" t="s">
        <v>13</v>
      </c>
      <c r="P44">
        <v>10</v>
      </c>
      <c r="Q44">
        <v>1.63</v>
      </c>
      <c r="R44">
        <v>29.7</v>
      </c>
      <c r="S44">
        <v>69.819999999999993</v>
      </c>
      <c r="T44">
        <v>98.73</v>
      </c>
      <c r="U44">
        <v>1.2</v>
      </c>
      <c r="V44">
        <v>13.96</v>
      </c>
      <c r="W44">
        <v>182.51</v>
      </c>
      <c r="X44">
        <v>36.700000000000003</v>
      </c>
      <c r="Y44">
        <v>103.95</v>
      </c>
      <c r="Z44">
        <v>4.6100000000000003</v>
      </c>
      <c r="AA44">
        <v>2.17</v>
      </c>
      <c r="AB44">
        <v>175.73</v>
      </c>
      <c r="AC44">
        <v>355.01010101010098</v>
      </c>
      <c r="AD44">
        <v>107.80981595092025</v>
      </c>
      <c r="AE44">
        <v>82.5</v>
      </c>
      <c r="AF44">
        <v>17.16</v>
      </c>
      <c r="AG44">
        <v>1</v>
      </c>
      <c r="AH44">
        <v>-0.25</v>
      </c>
      <c r="AI44">
        <v>75.75</v>
      </c>
      <c r="AJ44">
        <v>361.06</v>
      </c>
      <c r="AK44">
        <v>78.41</v>
      </c>
      <c r="AL44" t="s">
        <v>14</v>
      </c>
      <c r="AM44" t="s">
        <v>15</v>
      </c>
      <c r="AN44" t="str">
        <f t="shared" si="0"/>
        <v>Night</v>
      </c>
      <c r="AO44" t="str">
        <f t="shared" si="1"/>
        <v>Off-Peak</v>
      </c>
      <c r="AP44" t="str">
        <f t="shared" si="2"/>
        <v>High</v>
      </c>
      <c r="AQ44" t="str">
        <f t="shared" si="3"/>
        <v>High</v>
      </c>
    </row>
    <row r="45" spans="1:43" x14ac:dyDescent="0.3">
      <c r="A45">
        <v>44</v>
      </c>
      <c r="B45" t="s">
        <v>48</v>
      </c>
      <c r="C45" t="s">
        <v>30</v>
      </c>
      <c r="D45" s="1">
        <v>46077</v>
      </c>
      <c r="E45" t="s">
        <v>44</v>
      </c>
      <c r="F45">
        <v>0</v>
      </c>
      <c r="G45">
        <v>14</v>
      </c>
      <c r="H45" t="s">
        <v>43</v>
      </c>
      <c r="I45" t="s">
        <v>20</v>
      </c>
      <c r="J45">
        <v>1.25</v>
      </c>
      <c r="K45" t="s">
        <v>12</v>
      </c>
      <c r="L45">
        <v>0</v>
      </c>
      <c r="M45">
        <v>2.34</v>
      </c>
      <c r="N45">
        <v>21</v>
      </c>
      <c r="O45" t="s">
        <v>22</v>
      </c>
      <c r="P45">
        <v>5</v>
      </c>
      <c r="Q45">
        <v>3.36</v>
      </c>
      <c r="R45">
        <v>31.4</v>
      </c>
      <c r="S45">
        <v>81.45</v>
      </c>
      <c r="T45">
        <v>28.04</v>
      </c>
      <c r="U45">
        <v>1</v>
      </c>
      <c r="V45">
        <v>0</v>
      </c>
      <c r="W45">
        <v>109.49</v>
      </c>
      <c r="X45">
        <v>38.299999999999997</v>
      </c>
      <c r="Y45">
        <v>109.15</v>
      </c>
      <c r="Z45">
        <v>9.59</v>
      </c>
      <c r="AA45">
        <v>3.7</v>
      </c>
      <c r="AB45">
        <v>96.2</v>
      </c>
      <c r="AC45">
        <v>183.82165605095543</v>
      </c>
      <c r="AD45">
        <v>28.630952380952383</v>
      </c>
      <c r="AE45">
        <v>70.17</v>
      </c>
      <c r="AF45">
        <v>13.55</v>
      </c>
      <c r="AG45">
        <v>0</v>
      </c>
      <c r="AH45">
        <v>14.86</v>
      </c>
      <c r="AI45">
        <v>35.86</v>
      </c>
      <c r="AJ45">
        <v>186.48</v>
      </c>
      <c r="AK45">
        <v>60</v>
      </c>
      <c r="AL45" t="s">
        <v>14</v>
      </c>
      <c r="AM45" t="s">
        <v>15</v>
      </c>
      <c r="AN45" t="str">
        <f t="shared" si="0"/>
        <v>Afternoon</v>
      </c>
      <c r="AO45" t="str">
        <f t="shared" si="1"/>
        <v>Off-Peak</v>
      </c>
      <c r="AP45" t="str">
        <f t="shared" si="2"/>
        <v>Medium</v>
      </c>
      <c r="AQ45" t="str">
        <f t="shared" si="3"/>
        <v>Low</v>
      </c>
    </row>
    <row r="46" spans="1:43" x14ac:dyDescent="0.3">
      <c r="A46">
        <v>45</v>
      </c>
      <c r="B46" t="s">
        <v>7</v>
      </c>
      <c r="C46" t="s">
        <v>8</v>
      </c>
      <c r="D46" s="1">
        <v>46177</v>
      </c>
      <c r="E46" t="s">
        <v>41</v>
      </c>
      <c r="F46">
        <v>0</v>
      </c>
      <c r="G46">
        <v>22</v>
      </c>
      <c r="H46" t="s">
        <v>51</v>
      </c>
      <c r="I46" t="s">
        <v>11</v>
      </c>
      <c r="J46">
        <v>1.18</v>
      </c>
      <c r="K46" t="s">
        <v>12</v>
      </c>
      <c r="L46">
        <v>0</v>
      </c>
      <c r="M46">
        <v>3.57</v>
      </c>
      <c r="N46">
        <v>28</v>
      </c>
      <c r="O46" t="s">
        <v>22</v>
      </c>
      <c r="P46">
        <v>13</v>
      </c>
      <c r="Q46">
        <v>1</v>
      </c>
      <c r="R46">
        <v>28.5</v>
      </c>
      <c r="S46">
        <v>47.26</v>
      </c>
      <c r="T46">
        <v>28.31</v>
      </c>
      <c r="U46">
        <v>1</v>
      </c>
      <c r="V46">
        <v>0</v>
      </c>
      <c r="W46">
        <v>75.569999999999993</v>
      </c>
      <c r="X46">
        <v>41.9</v>
      </c>
      <c r="Y46">
        <v>102.32</v>
      </c>
      <c r="Z46">
        <v>2.44</v>
      </c>
      <c r="AA46">
        <v>11.95</v>
      </c>
      <c r="AB46">
        <v>61.18</v>
      </c>
      <c r="AC46">
        <v>128.80000000000001</v>
      </c>
      <c r="AD46">
        <v>61.18</v>
      </c>
      <c r="AE46">
        <v>67.540000000000006</v>
      </c>
      <c r="AF46">
        <v>16.11</v>
      </c>
      <c r="AG46">
        <v>0</v>
      </c>
      <c r="AH46">
        <v>-12.18</v>
      </c>
      <c r="AI46">
        <v>15.82</v>
      </c>
      <c r="AJ46">
        <v>121.67</v>
      </c>
      <c r="AK46">
        <v>66.59</v>
      </c>
      <c r="AL46" t="s">
        <v>14</v>
      </c>
      <c r="AM46" t="s">
        <v>15</v>
      </c>
      <c r="AN46" t="str">
        <f t="shared" si="0"/>
        <v>Night</v>
      </c>
      <c r="AO46" t="str">
        <f t="shared" si="1"/>
        <v>Off-Peak</v>
      </c>
      <c r="AP46" t="str">
        <f t="shared" si="2"/>
        <v>Low</v>
      </c>
      <c r="AQ46" t="str">
        <f t="shared" si="3"/>
        <v>Low</v>
      </c>
    </row>
    <row r="47" spans="1:43" x14ac:dyDescent="0.3">
      <c r="A47">
        <v>46</v>
      </c>
      <c r="B47" t="s">
        <v>23</v>
      </c>
      <c r="C47" t="s">
        <v>17</v>
      </c>
      <c r="D47" s="1">
        <v>46253</v>
      </c>
      <c r="E47" t="s">
        <v>18</v>
      </c>
      <c r="F47">
        <v>0</v>
      </c>
      <c r="G47">
        <v>15</v>
      </c>
      <c r="H47" t="s">
        <v>19</v>
      </c>
      <c r="I47" t="s">
        <v>28</v>
      </c>
      <c r="J47">
        <v>1.03</v>
      </c>
      <c r="K47" t="s">
        <v>12</v>
      </c>
      <c r="L47">
        <v>0</v>
      </c>
      <c r="M47">
        <v>3.09</v>
      </c>
      <c r="N47">
        <v>57</v>
      </c>
      <c r="O47" t="s">
        <v>35</v>
      </c>
      <c r="P47">
        <v>9</v>
      </c>
      <c r="Q47">
        <v>6.57</v>
      </c>
      <c r="R47">
        <v>50.9</v>
      </c>
      <c r="S47">
        <v>141.93</v>
      </c>
      <c r="T47">
        <v>61.96</v>
      </c>
      <c r="U47">
        <v>1.0900000000000001</v>
      </c>
      <c r="V47">
        <v>12.77</v>
      </c>
      <c r="W47">
        <v>216.66</v>
      </c>
      <c r="X47">
        <v>37.9</v>
      </c>
      <c r="Y47">
        <v>109.51</v>
      </c>
      <c r="Z47">
        <v>18.98</v>
      </c>
      <c r="AA47">
        <v>4.49</v>
      </c>
      <c r="AB47">
        <v>193.19</v>
      </c>
      <c r="AC47">
        <v>227.72888015717095</v>
      </c>
      <c r="AD47">
        <v>29.404870624048705</v>
      </c>
      <c r="AE47">
        <v>69.64</v>
      </c>
      <c r="AF47">
        <v>14.13</v>
      </c>
      <c r="AG47">
        <v>0</v>
      </c>
      <c r="AH47">
        <v>6.16</v>
      </c>
      <c r="AI47">
        <v>63.16</v>
      </c>
      <c r="AJ47">
        <v>204.62</v>
      </c>
      <c r="AK47">
        <v>74.09</v>
      </c>
      <c r="AL47" t="s">
        <v>23</v>
      </c>
      <c r="AM47" t="s">
        <v>24</v>
      </c>
      <c r="AN47" t="str">
        <f t="shared" si="0"/>
        <v>Evening</v>
      </c>
      <c r="AO47" t="str">
        <f t="shared" si="1"/>
        <v>Off-Peak</v>
      </c>
      <c r="AP47" t="str">
        <f t="shared" si="2"/>
        <v>Medium</v>
      </c>
      <c r="AQ47" t="str">
        <f t="shared" si="3"/>
        <v>Medium</v>
      </c>
    </row>
    <row r="48" spans="1:43" x14ac:dyDescent="0.3">
      <c r="A48">
        <v>47</v>
      </c>
      <c r="B48" t="s">
        <v>29</v>
      </c>
      <c r="C48" t="s">
        <v>30</v>
      </c>
      <c r="D48" s="1">
        <v>46222</v>
      </c>
      <c r="E48" t="s">
        <v>26</v>
      </c>
      <c r="F48">
        <v>1</v>
      </c>
      <c r="G48">
        <v>17</v>
      </c>
      <c r="H48" t="s">
        <v>32</v>
      </c>
      <c r="I48" t="s">
        <v>11</v>
      </c>
      <c r="J48">
        <v>1.18</v>
      </c>
      <c r="K48" t="s">
        <v>12</v>
      </c>
      <c r="L48">
        <v>0</v>
      </c>
      <c r="M48">
        <v>3.1</v>
      </c>
      <c r="N48">
        <v>95</v>
      </c>
      <c r="O48" t="s">
        <v>13</v>
      </c>
      <c r="P48">
        <v>23</v>
      </c>
      <c r="Q48">
        <v>1.86</v>
      </c>
      <c r="R48">
        <v>36.6</v>
      </c>
      <c r="S48">
        <v>62.84</v>
      </c>
      <c r="T48">
        <v>95.62</v>
      </c>
      <c r="U48">
        <v>1</v>
      </c>
      <c r="V48">
        <v>0</v>
      </c>
      <c r="W48">
        <v>158.46</v>
      </c>
      <c r="X48">
        <v>43.1</v>
      </c>
      <c r="Y48">
        <v>101</v>
      </c>
      <c r="Z48">
        <v>4.3600000000000003</v>
      </c>
      <c r="AA48">
        <v>2.2000000000000002</v>
      </c>
      <c r="AB48">
        <v>151.9</v>
      </c>
      <c r="AC48">
        <v>249.01639344262296</v>
      </c>
      <c r="AD48">
        <v>81.666666666666671</v>
      </c>
      <c r="AE48">
        <v>82.17</v>
      </c>
      <c r="AF48">
        <v>14.92</v>
      </c>
      <c r="AG48">
        <v>1</v>
      </c>
      <c r="AH48">
        <v>40.04</v>
      </c>
      <c r="AI48">
        <v>135.04</v>
      </c>
      <c r="AJ48">
        <v>262.25</v>
      </c>
      <c r="AK48">
        <v>73.47</v>
      </c>
      <c r="AL48" t="s">
        <v>23</v>
      </c>
      <c r="AM48" t="s">
        <v>24</v>
      </c>
      <c r="AN48" t="str">
        <f t="shared" si="0"/>
        <v>Evening</v>
      </c>
      <c r="AO48" t="str">
        <f t="shared" si="1"/>
        <v>Peak</v>
      </c>
      <c r="AP48" t="str">
        <f t="shared" si="2"/>
        <v>Medium</v>
      </c>
      <c r="AQ48" t="str">
        <f t="shared" si="3"/>
        <v>High</v>
      </c>
    </row>
    <row r="49" spans="1:43" x14ac:dyDescent="0.3">
      <c r="A49">
        <v>48</v>
      </c>
      <c r="B49" t="s">
        <v>23</v>
      </c>
      <c r="C49" t="s">
        <v>17</v>
      </c>
      <c r="D49" s="1">
        <v>46189</v>
      </c>
      <c r="E49" t="s">
        <v>44</v>
      </c>
      <c r="F49">
        <v>0</v>
      </c>
      <c r="G49">
        <v>16</v>
      </c>
      <c r="H49" t="s">
        <v>19</v>
      </c>
      <c r="I49" t="s">
        <v>20</v>
      </c>
      <c r="J49">
        <v>1.25</v>
      </c>
      <c r="K49" t="s">
        <v>12</v>
      </c>
      <c r="L49">
        <v>0</v>
      </c>
      <c r="M49">
        <v>2.86</v>
      </c>
      <c r="N49">
        <v>47</v>
      </c>
      <c r="O49" t="s">
        <v>35</v>
      </c>
      <c r="P49">
        <v>10</v>
      </c>
      <c r="Q49">
        <v>7.72</v>
      </c>
      <c r="R49">
        <v>56.5</v>
      </c>
      <c r="S49">
        <v>147.74</v>
      </c>
      <c r="T49">
        <v>48.93</v>
      </c>
      <c r="U49">
        <v>1</v>
      </c>
      <c r="V49">
        <v>0</v>
      </c>
      <c r="W49">
        <v>196.67</v>
      </c>
      <c r="X49">
        <v>41.9</v>
      </c>
      <c r="Y49">
        <v>106.65</v>
      </c>
      <c r="Z49">
        <v>19.66</v>
      </c>
      <c r="AA49">
        <v>4.79</v>
      </c>
      <c r="AB49">
        <v>172.22</v>
      </c>
      <c r="AC49">
        <v>182.88849557522124</v>
      </c>
      <c r="AD49">
        <v>22.308290155440414</v>
      </c>
      <c r="AE49">
        <v>77.41</v>
      </c>
      <c r="AF49">
        <v>12.89</v>
      </c>
      <c r="AG49">
        <v>0</v>
      </c>
      <c r="AH49">
        <v>-0.59</v>
      </c>
      <c r="AI49">
        <v>46.41</v>
      </c>
      <c r="AJ49">
        <v>188.22</v>
      </c>
      <c r="AK49">
        <v>80.209999999999994</v>
      </c>
      <c r="AL49" t="s">
        <v>23</v>
      </c>
      <c r="AM49" t="s">
        <v>24</v>
      </c>
      <c r="AN49" t="str">
        <f t="shared" si="0"/>
        <v>Evening</v>
      </c>
      <c r="AO49" t="str">
        <f t="shared" si="1"/>
        <v>Off-Peak</v>
      </c>
      <c r="AP49" t="str">
        <f t="shared" si="2"/>
        <v>Medium</v>
      </c>
      <c r="AQ49" t="str">
        <f t="shared" si="3"/>
        <v>Medium</v>
      </c>
    </row>
    <row r="50" spans="1:43" x14ac:dyDescent="0.3">
      <c r="A50">
        <v>49</v>
      </c>
      <c r="B50" t="s">
        <v>25</v>
      </c>
      <c r="C50" t="s">
        <v>17</v>
      </c>
      <c r="D50" s="1">
        <v>46223</v>
      </c>
      <c r="E50" t="s">
        <v>38</v>
      </c>
      <c r="F50">
        <v>0</v>
      </c>
      <c r="G50">
        <v>22</v>
      </c>
      <c r="H50" t="s">
        <v>19</v>
      </c>
      <c r="I50" t="s">
        <v>50</v>
      </c>
      <c r="J50">
        <v>1.2</v>
      </c>
      <c r="K50" t="s">
        <v>12</v>
      </c>
      <c r="L50">
        <v>0</v>
      </c>
      <c r="M50">
        <v>4.1100000000000003</v>
      </c>
      <c r="N50">
        <v>41</v>
      </c>
      <c r="O50" t="s">
        <v>35</v>
      </c>
      <c r="P50">
        <v>5</v>
      </c>
      <c r="Q50">
        <v>7.9</v>
      </c>
      <c r="R50">
        <v>66.599999999999994</v>
      </c>
      <c r="S50">
        <v>159.57</v>
      </c>
      <c r="T50">
        <v>37.270000000000003</v>
      </c>
      <c r="U50">
        <v>1.04</v>
      </c>
      <c r="V50">
        <v>6.38</v>
      </c>
      <c r="W50">
        <v>203.22</v>
      </c>
      <c r="X50">
        <v>49.3</v>
      </c>
      <c r="Y50">
        <v>109.66</v>
      </c>
      <c r="Z50">
        <v>17.59</v>
      </c>
      <c r="AA50">
        <v>6.08</v>
      </c>
      <c r="AB50">
        <v>179.55</v>
      </c>
      <c r="AC50">
        <v>161.75675675675677</v>
      </c>
      <c r="AD50">
        <v>22.727848101265824</v>
      </c>
      <c r="AE50">
        <v>87.41</v>
      </c>
      <c r="AF50">
        <v>17.420000000000002</v>
      </c>
      <c r="AG50">
        <v>0</v>
      </c>
      <c r="AH50">
        <v>5.8</v>
      </c>
      <c r="AI50">
        <v>46.8</v>
      </c>
      <c r="AJ50">
        <v>157.37</v>
      </c>
      <c r="AK50">
        <v>67.69</v>
      </c>
      <c r="AL50" t="s">
        <v>23</v>
      </c>
      <c r="AM50" t="s">
        <v>24</v>
      </c>
      <c r="AN50" t="str">
        <f t="shared" si="0"/>
        <v>Night</v>
      </c>
      <c r="AO50" t="str">
        <f t="shared" si="1"/>
        <v>Off-Peak</v>
      </c>
      <c r="AP50" t="str">
        <f t="shared" si="2"/>
        <v>Medium</v>
      </c>
      <c r="AQ50" t="str">
        <f t="shared" si="3"/>
        <v>Medium</v>
      </c>
    </row>
    <row r="51" spans="1:43" x14ac:dyDescent="0.3">
      <c r="A51">
        <v>50</v>
      </c>
      <c r="B51" t="s">
        <v>16</v>
      </c>
      <c r="C51" t="s">
        <v>17</v>
      </c>
      <c r="D51" s="1">
        <v>46067</v>
      </c>
      <c r="E51" t="s">
        <v>31</v>
      </c>
      <c r="F51">
        <v>1</v>
      </c>
      <c r="G51">
        <v>18</v>
      </c>
      <c r="H51" t="s">
        <v>40</v>
      </c>
      <c r="I51" t="s">
        <v>28</v>
      </c>
      <c r="J51">
        <v>1.03</v>
      </c>
      <c r="K51" t="s">
        <v>12</v>
      </c>
      <c r="L51">
        <v>0</v>
      </c>
      <c r="M51">
        <v>5</v>
      </c>
      <c r="N51">
        <v>92</v>
      </c>
      <c r="O51" t="s">
        <v>13</v>
      </c>
      <c r="P51">
        <v>23</v>
      </c>
      <c r="Q51">
        <v>3.61</v>
      </c>
      <c r="R51">
        <v>42.5</v>
      </c>
      <c r="S51">
        <v>95.06</v>
      </c>
      <c r="T51">
        <v>100</v>
      </c>
      <c r="U51">
        <v>1.29</v>
      </c>
      <c r="V51">
        <v>27.57</v>
      </c>
      <c r="W51">
        <v>222.63</v>
      </c>
      <c r="X51">
        <v>36.299999999999997</v>
      </c>
      <c r="Y51">
        <v>106.54</v>
      </c>
      <c r="Z51">
        <v>10.6</v>
      </c>
      <c r="AA51">
        <v>7.48</v>
      </c>
      <c r="AB51">
        <v>204.55</v>
      </c>
      <c r="AC51">
        <v>288.77647058823527</v>
      </c>
      <c r="AD51">
        <v>56.662049861495852</v>
      </c>
      <c r="AE51">
        <v>77.040000000000006</v>
      </c>
      <c r="AF51">
        <v>16.88</v>
      </c>
      <c r="AG51">
        <v>1</v>
      </c>
      <c r="AH51">
        <v>-21.92</v>
      </c>
      <c r="AI51">
        <v>70.08</v>
      </c>
      <c r="AJ51">
        <v>312.60000000000002</v>
      </c>
      <c r="AK51">
        <v>73.84</v>
      </c>
      <c r="AL51" t="s">
        <v>23</v>
      </c>
      <c r="AM51" t="s">
        <v>24</v>
      </c>
      <c r="AN51" t="str">
        <f t="shared" si="0"/>
        <v>Night</v>
      </c>
      <c r="AO51" t="str">
        <f t="shared" si="1"/>
        <v>Peak</v>
      </c>
      <c r="AP51" t="str">
        <f t="shared" si="2"/>
        <v>High</v>
      </c>
      <c r="AQ51" t="str">
        <f t="shared" si="3"/>
        <v>High</v>
      </c>
    </row>
    <row r="52" spans="1:43" x14ac:dyDescent="0.3">
      <c r="A52">
        <v>51</v>
      </c>
      <c r="B52" t="s">
        <v>16</v>
      </c>
      <c r="C52" t="s">
        <v>17</v>
      </c>
      <c r="D52" s="1">
        <v>46239</v>
      </c>
      <c r="E52" t="s">
        <v>18</v>
      </c>
      <c r="F52">
        <v>0</v>
      </c>
      <c r="G52">
        <v>8</v>
      </c>
      <c r="H52" t="s">
        <v>27</v>
      </c>
      <c r="I52" t="s">
        <v>42</v>
      </c>
      <c r="J52">
        <v>1.08</v>
      </c>
      <c r="K52" t="s">
        <v>21</v>
      </c>
      <c r="L52">
        <v>0</v>
      </c>
      <c r="M52">
        <v>4.67</v>
      </c>
      <c r="N52">
        <v>57</v>
      </c>
      <c r="O52" t="s">
        <v>35</v>
      </c>
      <c r="P52">
        <v>8</v>
      </c>
      <c r="Q52">
        <v>3.47</v>
      </c>
      <c r="R52">
        <v>38.6</v>
      </c>
      <c r="S52">
        <v>100.74</v>
      </c>
      <c r="T52">
        <v>69.86</v>
      </c>
      <c r="U52">
        <v>1.26</v>
      </c>
      <c r="V52">
        <v>26.19</v>
      </c>
      <c r="W52">
        <v>196.79</v>
      </c>
      <c r="X52">
        <v>43.7</v>
      </c>
      <c r="Y52">
        <v>108.99</v>
      </c>
      <c r="Z52">
        <v>8.67</v>
      </c>
      <c r="AA52">
        <v>2.69</v>
      </c>
      <c r="AB52">
        <v>185.43</v>
      </c>
      <c r="AC52">
        <v>288.23316062176167</v>
      </c>
      <c r="AD52">
        <v>53.438040345821328</v>
      </c>
      <c r="AE52">
        <v>74.099999999999994</v>
      </c>
      <c r="AF52">
        <v>15.32</v>
      </c>
      <c r="AG52">
        <v>1</v>
      </c>
      <c r="AH52">
        <v>-9.7899999999999991</v>
      </c>
      <c r="AI52">
        <v>47.21</v>
      </c>
      <c r="AJ52">
        <v>285.25</v>
      </c>
      <c r="AK52">
        <v>73.510000000000005</v>
      </c>
      <c r="AL52" t="s">
        <v>23</v>
      </c>
      <c r="AM52" t="s">
        <v>24</v>
      </c>
      <c r="AN52" t="str">
        <f t="shared" si="0"/>
        <v>Morning</v>
      </c>
      <c r="AO52" t="str">
        <f t="shared" si="1"/>
        <v>Peak</v>
      </c>
      <c r="AP52" t="str">
        <f t="shared" si="2"/>
        <v>High</v>
      </c>
      <c r="AQ52" t="str">
        <f t="shared" si="3"/>
        <v>Medium</v>
      </c>
    </row>
    <row r="53" spans="1:43" x14ac:dyDescent="0.3">
      <c r="A53">
        <v>52</v>
      </c>
      <c r="B53" t="s">
        <v>14</v>
      </c>
      <c r="C53" t="s">
        <v>8</v>
      </c>
      <c r="D53" s="1">
        <v>46252</v>
      </c>
      <c r="E53" t="s">
        <v>44</v>
      </c>
      <c r="F53">
        <v>0</v>
      </c>
      <c r="G53">
        <v>8</v>
      </c>
      <c r="H53" t="s">
        <v>49</v>
      </c>
      <c r="I53" t="s">
        <v>20</v>
      </c>
      <c r="J53">
        <v>1.25</v>
      </c>
      <c r="K53" t="s">
        <v>21</v>
      </c>
      <c r="L53">
        <v>0</v>
      </c>
      <c r="M53">
        <v>2.0499999999999998</v>
      </c>
      <c r="N53">
        <v>40</v>
      </c>
      <c r="O53" t="s">
        <v>35</v>
      </c>
      <c r="P53">
        <v>10</v>
      </c>
      <c r="Q53">
        <v>1.1399999999999999</v>
      </c>
      <c r="R53">
        <v>20.2</v>
      </c>
      <c r="S53">
        <v>63.01</v>
      </c>
      <c r="T53">
        <v>35.04</v>
      </c>
      <c r="U53">
        <v>1</v>
      </c>
      <c r="V53">
        <v>0</v>
      </c>
      <c r="W53">
        <v>98.05</v>
      </c>
      <c r="X53">
        <v>45.8</v>
      </c>
      <c r="Y53">
        <v>109.91</v>
      </c>
      <c r="Z53">
        <v>2.74</v>
      </c>
      <c r="AA53">
        <v>9.9</v>
      </c>
      <c r="AB53">
        <v>85.41</v>
      </c>
      <c r="AC53">
        <v>253.69306930693068</v>
      </c>
      <c r="AD53">
        <v>74.921052631578945</v>
      </c>
      <c r="AE53">
        <v>86.72</v>
      </c>
      <c r="AF53">
        <v>16.850000000000001</v>
      </c>
      <c r="AG53">
        <v>0</v>
      </c>
      <c r="AH53">
        <v>9.9</v>
      </c>
      <c r="AI53">
        <v>49.9</v>
      </c>
      <c r="AJ53">
        <v>227.1</v>
      </c>
      <c r="AK53">
        <v>69.12</v>
      </c>
      <c r="AL53" t="s">
        <v>14</v>
      </c>
      <c r="AM53" t="s">
        <v>15</v>
      </c>
      <c r="AN53" t="str">
        <f t="shared" si="0"/>
        <v>Morning</v>
      </c>
      <c r="AO53" t="str">
        <f t="shared" si="1"/>
        <v>Peak</v>
      </c>
      <c r="AP53" t="str">
        <f t="shared" si="2"/>
        <v>High</v>
      </c>
      <c r="AQ53" t="str">
        <f t="shared" si="3"/>
        <v>Medium</v>
      </c>
    </row>
    <row r="54" spans="1:43" x14ac:dyDescent="0.3">
      <c r="A54">
        <v>53</v>
      </c>
      <c r="B54" t="s">
        <v>48</v>
      </c>
      <c r="C54" t="s">
        <v>30</v>
      </c>
      <c r="D54" s="1">
        <v>46047</v>
      </c>
      <c r="E54" t="s">
        <v>26</v>
      </c>
      <c r="F54">
        <v>1</v>
      </c>
      <c r="G54">
        <v>13</v>
      </c>
      <c r="H54" t="s">
        <v>43</v>
      </c>
      <c r="I54" t="s">
        <v>45</v>
      </c>
      <c r="J54">
        <v>1</v>
      </c>
      <c r="K54" t="s">
        <v>21</v>
      </c>
      <c r="L54">
        <v>0</v>
      </c>
      <c r="M54">
        <v>3.39</v>
      </c>
      <c r="N54">
        <v>24</v>
      </c>
      <c r="O54" t="s">
        <v>22</v>
      </c>
      <c r="P54">
        <v>4</v>
      </c>
      <c r="Q54">
        <v>4.1500000000000004</v>
      </c>
      <c r="R54">
        <v>34.5</v>
      </c>
      <c r="S54">
        <v>89.03</v>
      </c>
      <c r="T54">
        <v>20.82</v>
      </c>
      <c r="U54">
        <v>1</v>
      </c>
      <c r="V54">
        <v>0</v>
      </c>
      <c r="W54">
        <v>109.85</v>
      </c>
      <c r="X54">
        <v>36.9</v>
      </c>
      <c r="Y54">
        <v>106.42</v>
      </c>
      <c r="Z54">
        <v>11.97</v>
      </c>
      <c r="AA54">
        <v>10.26</v>
      </c>
      <c r="AB54">
        <v>87.62</v>
      </c>
      <c r="AC54">
        <v>152.38260869565218</v>
      </c>
      <c r="AD54">
        <v>21.113253012048194</v>
      </c>
      <c r="AE54">
        <v>81.81</v>
      </c>
      <c r="AF54">
        <v>15.66</v>
      </c>
      <c r="AG54">
        <v>1</v>
      </c>
      <c r="AH54">
        <v>-1.95</v>
      </c>
      <c r="AI54">
        <v>22.05</v>
      </c>
      <c r="AJ54">
        <v>142.09</v>
      </c>
      <c r="AK54">
        <v>70.150000000000006</v>
      </c>
      <c r="AL54" t="s">
        <v>14</v>
      </c>
      <c r="AM54" t="s">
        <v>15</v>
      </c>
      <c r="AN54" t="str">
        <f t="shared" si="0"/>
        <v>Afternoon</v>
      </c>
      <c r="AO54" t="str">
        <f t="shared" si="1"/>
        <v>Off-Peak</v>
      </c>
      <c r="AP54" t="str">
        <f t="shared" si="2"/>
        <v>Medium</v>
      </c>
      <c r="AQ54" t="str">
        <f t="shared" si="3"/>
        <v>Low</v>
      </c>
    </row>
    <row r="55" spans="1:43" x14ac:dyDescent="0.3">
      <c r="A55">
        <v>54</v>
      </c>
      <c r="B55" t="s">
        <v>29</v>
      </c>
      <c r="C55" t="s">
        <v>30</v>
      </c>
      <c r="D55" s="1">
        <v>46144</v>
      </c>
      <c r="E55" t="s">
        <v>31</v>
      </c>
      <c r="F55">
        <v>1</v>
      </c>
      <c r="G55">
        <v>15</v>
      </c>
      <c r="H55" t="s">
        <v>43</v>
      </c>
      <c r="I55" t="s">
        <v>33</v>
      </c>
      <c r="J55">
        <v>1</v>
      </c>
      <c r="K55" t="s">
        <v>21</v>
      </c>
      <c r="L55">
        <v>0</v>
      </c>
      <c r="M55">
        <v>3.68</v>
      </c>
      <c r="N55">
        <v>61</v>
      </c>
      <c r="O55" t="s">
        <v>35</v>
      </c>
      <c r="P55">
        <v>15</v>
      </c>
      <c r="Q55">
        <v>6.96</v>
      </c>
      <c r="R55">
        <v>56.5</v>
      </c>
      <c r="S55">
        <v>110.21</v>
      </c>
      <c r="T55">
        <v>80.95</v>
      </c>
      <c r="U55">
        <v>1</v>
      </c>
      <c r="V55">
        <v>0</v>
      </c>
      <c r="W55">
        <v>191.16</v>
      </c>
      <c r="X55">
        <v>44.5</v>
      </c>
      <c r="Y55">
        <v>107.82</v>
      </c>
      <c r="Z55">
        <v>16.850000000000001</v>
      </c>
      <c r="AA55">
        <v>4.13</v>
      </c>
      <c r="AB55">
        <v>170.18</v>
      </c>
      <c r="AC55">
        <v>180.72212389380533</v>
      </c>
      <c r="AD55">
        <v>24.451149425287358</v>
      </c>
      <c r="AE55">
        <v>78.040000000000006</v>
      </c>
      <c r="AF55">
        <v>13.4</v>
      </c>
      <c r="AG55">
        <v>1</v>
      </c>
      <c r="AH55">
        <v>12.22</v>
      </c>
      <c r="AI55">
        <v>73.22</v>
      </c>
      <c r="AJ55">
        <v>157.74</v>
      </c>
      <c r="AK55">
        <v>70.849999999999994</v>
      </c>
      <c r="AL55" t="s">
        <v>14</v>
      </c>
      <c r="AM55" t="s">
        <v>15</v>
      </c>
      <c r="AN55" t="str">
        <f t="shared" si="0"/>
        <v>Evening</v>
      </c>
      <c r="AO55" t="str">
        <f t="shared" si="1"/>
        <v>Off-Peak</v>
      </c>
      <c r="AP55" t="str">
        <f t="shared" si="2"/>
        <v>Medium</v>
      </c>
      <c r="AQ55" t="str">
        <f t="shared" si="3"/>
        <v>Medium</v>
      </c>
    </row>
    <row r="56" spans="1:43" x14ac:dyDescent="0.3">
      <c r="A56">
        <v>55</v>
      </c>
      <c r="B56" t="s">
        <v>29</v>
      </c>
      <c r="C56" t="s">
        <v>30</v>
      </c>
      <c r="D56" s="1">
        <v>46237</v>
      </c>
      <c r="E56" t="s">
        <v>38</v>
      </c>
      <c r="F56">
        <v>0</v>
      </c>
      <c r="G56">
        <v>17</v>
      </c>
      <c r="H56" t="s">
        <v>32</v>
      </c>
      <c r="I56" t="s">
        <v>37</v>
      </c>
      <c r="J56">
        <v>1.02</v>
      </c>
      <c r="K56" t="s">
        <v>21</v>
      </c>
      <c r="L56">
        <v>0</v>
      </c>
      <c r="M56">
        <v>4.68</v>
      </c>
      <c r="N56">
        <v>70</v>
      </c>
      <c r="O56" t="s">
        <v>35</v>
      </c>
      <c r="P56">
        <v>24</v>
      </c>
      <c r="Q56">
        <v>4.99</v>
      </c>
      <c r="R56">
        <v>47.3</v>
      </c>
      <c r="S56">
        <v>82.62</v>
      </c>
      <c r="T56">
        <v>76.5</v>
      </c>
      <c r="U56">
        <v>1</v>
      </c>
      <c r="V56">
        <v>0</v>
      </c>
      <c r="W56">
        <v>159.12</v>
      </c>
      <c r="X56">
        <v>48</v>
      </c>
      <c r="Y56">
        <v>100.32</v>
      </c>
      <c r="Z56">
        <v>10.44</v>
      </c>
      <c r="AA56">
        <v>9.98</v>
      </c>
      <c r="AB56">
        <v>138.69999999999999</v>
      </c>
      <c r="AC56">
        <v>175.94080338266383</v>
      </c>
      <c r="AD56">
        <v>27.795591182364728</v>
      </c>
      <c r="AE56">
        <v>65.11</v>
      </c>
      <c r="AF56">
        <v>18.28</v>
      </c>
      <c r="AG56">
        <v>1</v>
      </c>
      <c r="AH56">
        <v>9.3699999999999992</v>
      </c>
      <c r="AI56">
        <v>79.37</v>
      </c>
      <c r="AJ56">
        <v>189.19</v>
      </c>
      <c r="AK56">
        <v>82.24</v>
      </c>
      <c r="AL56" t="s">
        <v>23</v>
      </c>
      <c r="AM56" t="s">
        <v>24</v>
      </c>
      <c r="AN56" t="str">
        <f t="shared" si="0"/>
        <v>Evening</v>
      </c>
      <c r="AO56" t="str">
        <f t="shared" si="1"/>
        <v>Peak</v>
      </c>
      <c r="AP56" t="str">
        <f t="shared" si="2"/>
        <v>Medium</v>
      </c>
      <c r="AQ56" t="str">
        <f t="shared" si="3"/>
        <v>Medium</v>
      </c>
    </row>
    <row r="57" spans="1:43" x14ac:dyDescent="0.3">
      <c r="A57">
        <v>56</v>
      </c>
      <c r="B57" t="s">
        <v>7</v>
      </c>
      <c r="C57" t="s">
        <v>8</v>
      </c>
      <c r="D57" s="1">
        <v>46145</v>
      </c>
      <c r="E57" t="s">
        <v>26</v>
      </c>
      <c r="F57">
        <v>1</v>
      </c>
      <c r="G57">
        <v>14</v>
      </c>
      <c r="H57" t="s">
        <v>10</v>
      </c>
      <c r="I57" t="s">
        <v>45</v>
      </c>
      <c r="J57">
        <v>1</v>
      </c>
      <c r="K57" t="s">
        <v>12</v>
      </c>
      <c r="L57">
        <v>0</v>
      </c>
      <c r="M57">
        <v>4.7300000000000004</v>
      </c>
      <c r="N57">
        <v>55</v>
      </c>
      <c r="O57" t="s">
        <v>35</v>
      </c>
      <c r="P57">
        <v>27</v>
      </c>
      <c r="Q57">
        <v>9.8000000000000007</v>
      </c>
      <c r="R57">
        <v>67.7</v>
      </c>
      <c r="S57">
        <v>130.28</v>
      </c>
      <c r="T57">
        <v>66.59</v>
      </c>
      <c r="U57">
        <v>1</v>
      </c>
      <c r="V57">
        <v>0</v>
      </c>
      <c r="W57">
        <v>196.87</v>
      </c>
      <c r="X57">
        <v>46.8</v>
      </c>
      <c r="Y57">
        <v>104.27</v>
      </c>
      <c r="Z57">
        <v>21.83</v>
      </c>
      <c r="AA57">
        <v>5.61</v>
      </c>
      <c r="AB57">
        <v>169.43</v>
      </c>
      <c r="AC57">
        <v>150.15952732644018</v>
      </c>
      <c r="AD57">
        <v>17.288775510204083</v>
      </c>
      <c r="AE57">
        <v>69.91</v>
      </c>
      <c r="AF57">
        <v>17.28</v>
      </c>
      <c r="AG57">
        <v>1</v>
      </c>
      <c r="AH57">
        <v>-16.77</v>
      </c>
      <c r="AI57">
        <v>38.229999999999997</v>
      </c>
      <c r="AJ57">
        <v>146.97999999999999</v>
      </c>
      <c r="AK57">
        <v>67.88</v>
      </c>
      <c r="AL57" t="s">
        <v>14</v>
      </c>
      <c r="AM57" t="s">
        <v>15</v>
      </c>
      <c r="AN57" t="str">
        <f t="shared" si="0"/>
        <v>Afternoon</v>
      </c>
      <c r="AO57" t="str">
        <f t="shared" si="1"/>
        <v>Off-Peak</v>
      </c>
      <c r="AP57" t="str">
        <f t="shared" si="2"/>
        <v>Medium</v>
      </c>
      <c r="AQ57" t="str">
        <f t="shared" si="3"/>
        <v>Medium</v>
      </c>
    </row>
    <row r="58" spans="1:43" x14ac:dyDescent="0.3">
      <c r="A58">
        <v>57</v>
      </c>
      <c r="B58" t="s">
        <v>29</v>
      </c>
      <c r="C58" t="s">
        <v>30</v>
      </c>
      <c r="D58" s="1">
        <v>46239</v>
      </c>
      <c r="E58" t="s">
        <v>18</v>
      </c>
      <c r="F58">
        <v>0</v>
      </c>
      <c r="G58">
        <v>15</v>
      </c>
      <c r="H58" t="s">
        <v>43</v>
      </c>
      <c r="I58" t="s">
        <v>42</v>
      </c>
      <c r="J58">
        <v>1.08</v>
      </c>
      <c r="K58" t="s">
        <v>12</v>
      </c>
      <c r="L58">
        <v>0</v>
      </c>
      <c r="M58">
        <v>3.29</v>
      </c>
      <c r="N58">
        <v>20</v>
      </c>
      <c r="O58" t="s">
        <v>22</v>
      </c>
      <c r="P58">
        <v>7</v>
      </c>
      <c r="Q58">
        <v>3.07</v>
      </c>
      <c r="R58">
        <v>37.5</v>
      </c>
      <c r="S58">
        <v>73.150000000000006</v>
      </c>
      <c r="T58">
        <v>26.36</v>
      </c>
      <c r="U58">
        <v>1</v>
      </c>
      <c r="V58">
        <v>0</v>
      </c>
      <c r="W58">
        <v>99.51</v>
      </c>
      <c r="X58">
        <v>49</v>
      </c>
      <c r="Y58">
        <v>102.88</v>
      </c>
      <c r="Z58">
        <v>6.44</v>
      </c>
      <c r="AA58">
        <v>6.23</v>
      </c>
      <c r="AB58">
        <v>86.84</v>
      </c>
      <c r="AC58">
        <v>138.94400000000002</v>
      </c>
      <c r="AD58">
        <v>28.286644951140069</v>
      </c>
      <c r="AE58">
        <v>65.17</v>
      </c>
      <c r="AF58">
        <v>17.05</v>
      </c>
      <c r="AG58">
        <v>0</v>
      </c>
      <c r="AH58">
        <v>18.23</v>
      </c>
      <c r="AI58">
        <v>38.229999999999997</v>
      </c>
      <c r="AJ58">
        <v>153.83000000000001</v>
      </c>
      <c r="AK58">
        <v>65.069999999999993</v>
      </c>
      <c r="AL58" t="s">
        <v>14</v>
      </c>
      <c r="AM58" t="s">
        <v>15</v>
      </c>
      <c r="AN58" t="str">
        <f t="shared" si="0"/>
        <v>Evening</v>
      </c>
      <c r="AO58" t="str">
        <f t="shared" si="1"/>
        <v>Off-Peak</v>
      </c>
      <c r="AP58" t="str">
        <f t="shared" si="2"/>
        <v>Low</v>
      </c>
      <c r="AQ58" t="str">
        <f t="shared" si="3"/>
        <v>Low</v>
      </c>
    </row>
    <row r="59" spans="1:43" x14ac:dyDescent="0.3">
      <c r="A59">
        <v>58</v>
      </c>
      <c r="B59" t="s">
        <v>14</v>
      </c>
      <c r="C59" t="s">
        <v>8</v>
      </c>
      <c r="D59" s="1">
        <v>46264</v>
      </c>
      <c r="E59" t="s">
        <v>26</v>
      </c>
      <c r="F59">
        <v>1</v>
      </c>
      <c r="G59">
        <v>21</v>
      </c>
      <c r="H59" t="s">
        <v>51</v>
      </c>
      <c r="I59" t="s">
        <v>39</v>
      </c>
      <c r="J59">
        <v>1.05</v>
      </c>
      <c r="K59" t="s">
        <v>12</v>
      </c>
      <c r="L59">
        <v>0</v>
      </c>
      <c r="M59">
        <v>4.04</v>
      </c>
      <c r="N59">
        <v>96</v>
      </c>
      <c r="O59" t="s">
        <v>13</v>
      </c>
      <c r="P59">
        <v>39</v>
      </c>
      <c r="Q59">
        <v>3.07</v>
      </c>
      <c r="R59">
        <v>32.200000000000003</v>
      </c>
      <c r="S59">
        <v>76.98</v>
      </c>
      <c r="T59">
        <v>100</v>
      </c>
      <c r="U59">
        <v>1</v>
      </c>
      <c r="V59">
        <v>0</v>
      </c>
      <c r="W59">
        <v>176.98</v>
      </c>
      <c r="X59">
        <v>45.8</v>
      </c>
      <c r="Y59">
        <v>108.24</v>
      </c>
      <c r="Z59">
        <v>7.25</v>
      </c>
      <c r="AA59">
        <v>11.36</v>
      </c>
      <c r="AB59">
        <v>158.37</v>
      </c>
      <c r="AC59">
        <v>295.09937888198755</v>
      </c>
      <c r="AD59">
        <v>51.586319218241044</v>
      </c>
      <c r="AE59">
        <v>79.97</v>
      </c>
      <c r="AF59">
        <v>12.33</v>
      </c>
      <c r="AG59">
        <v>1</v>
      </c>
      <c r="AH59">
        <v>-15.64</v>
      </c>
      <c r="AI59">
        <v>80.36</v>
      </c>
      <c r="AJ59">
        <v>317.11</v>
      </c>
      <c r="AK59">
        <v>66.03</v>
      </c>
      <c r="AL59" t="s">
        <v>14</v>
      </c>
      <c r="AM59" t="s">
        <v>15</v>
      </c>
      <c r="AN59" t="str">
        <f t="shared" si="0"/>
        <v>Night</v>
      </c>
      <c r="AO59" t="str">
        <f t="shared" si="1"/>
        <v>Off-Peak</v>
      </c>
      <c r="AP59" t="str">
        <f t="shared" si="2"/>
        <v>High</v>
      </c>
      <c r="AQ59" t="str">
        <f t="shared" si="3"/>
        <v>High</v>
      </c>
    </row>
    <row r="60" spans="1:43" x14ac:dyDescent="0.3">
      <c r="A60">
        <v>59</v>
      </c>
      <c r="B60" t="s">
        <v>16</v>
      </c>
      <c r="C60" t="s">
        <v>17</v>
      </c>
      <c r="D60" s="1">
        <v>46145</v>
      </c>
      <c r="E60" t="s">
        <v>26</v>
      </c>
      <c r="F60">
        <v>1</v>
      </c>
      <c r="G60">
        <v>12</v>
      </c>
      <c r="H60" t="s">
        <v>19</v>
      </c>
      <c r="I60" t="s">
        <v>39</v>
      </c>
      <c r="J60">
        <v>1.05</v>
      </c>
      <c r="K60" t="s">
        <v>12</v>
      </c>
      <c r="L60">
        <v>0</v>
      </c>
      <c r="M60">
        <v>2.5099999999999998</v>
      </c>
      <c r="N60">
        <v>40</v>
      </c>
      <c r="O60" t="s">
        <v>35</v>
      </c>
      <c r="P60">
        <v>7</v>
      </c>
      <c r="Q60">
        <v>1.97</v>
      </c>
      <c r="R60">
        <v>30.8</v>
      </c>
      <c r="S60">
        <v>90.13</v>
      </c>
      <c r="T60">
        <v>55.34</v>
      </c>
      <c r="U60">
        <v>1.03</v>
      </c>
      <c r="V60">
        <v>2.7</v>
      </c>
      <c r="W60">
        <v>148.16999999999999</v>
      </c>
      <c r="X60">
        <v>40.9</v>
      </c>
      <c r="Y60">
        <v>106.78</v>
      </c>
      <c r="Z60">
        <v>5.15</v>
      </c>
      <c r="AA60">
        <v>10.92</v>
      </c>
      <c r="AB60">
        <v>132.1</v>
      </c>
      <c r="AC60">
        <v>257.33766233766232</v>
      </c>
      <c r="AD60">
        <v>67.055837563451774</v>
      </c>
      <c r="AE60">
        <v>71.13</v>
      </c>
      <c r="AF60">
        <v>15.99</v>
      </c>
      <c r="AG60">
        <v>1</v>
      </c>
      <c r="AH60">
        <v>-8.4700000000000006</v>
      </c>
      <c r="AI60">
        <v>31.53</v>
      </c>
      <c r="AJ60">
        <v>243.65</v>
      </c>
      <c r="AK60">
        <v>73.91</v>
      </c>
      <c r="AL60" t="s">
        <v>14</v>
      </c>
      <c r="AM60" t="s">
        <v>15</v>
      </c>
      <c r="AN60" t="str">
        <f t="shared" si="0"/>
        <v>Afternoon</v>
      </c>
      <c r="AO60" t="str">
        <f t="shared" si="1"/>
        <v>Off-Peak</v>
      </c>
      <c r="AP60" t="str">
        <f t="shared" si="2"/>
        <v>High</v>
      </c>
      <c r="AQ60" t="str">
        <f t="shared" si="3"/>
        <v>Medium</v>
      </c>
    </row>
    <row r="61" spans="1:43" x14ac:dyDescent="0.3">
      <c r="A61">
        <v>60</v>
      </c>
      <c r="B61" t="s">
        <v>25</v>
      </c>
      <c r="C61" t="s">
        <v>17</v>
      </c>
      <c r="D61" s="1">
        <v>46038</v>
      </c>
      <c r="E61" t="s">
        <v>9</v>
      </c>
      <c r="F61">
        <v>0</v>
      </c>
      <c r="G61">
        <v>14</v>
      </c>
      <c r="H61" t="s">
        <v>19</v>
      </c>
      <c r="I61" t="s">
        <v>11</v>
      </c>
      <c r="J61">
        <v>1.18</v>
      </c>
      <c r="K61" t="s">
        <v>12</v>
      </c>
      <c r="L61">
        <v>0</v>
      </c>
      <c r="M61">
        <v>1.48</v>
      </c>
      <c r="N61">
        <v>35</v>
      </c>
      <c r="O61" t="s">
        <v>22</v>
      </c>
      <c r="P61">
        <v>6</v>
      </c>
      <c r="Q61">
        <v>14.06</v>
      </c>
      <c r="R61">
        <v>74.8</v>
      </c>
      <c r="S61">
        <v>224.3</v>
      </c>
      <c r="T61">
        <v>36.700000000000003</v>
      </c>
      <c r="U61">
        <v>1.1100000000000001</v>
      </c>
      <c r="V61">
        <v>24.67</v>
      </c>
      <c r="W61">
        <v>285.67</v>
      </c>
      <c r="X61">
        <v>48.8</v>
      </c>
      <c r="Y61">
        <v>106.14</v>
      </c>
      <c r="Z61">
        <v>30.57</v>
      </c>
      <c r="AA61">
        <v>5.75</v>
      </c>
      <c r="AB61">
        <v>249.35</v>
      </c>
      <c r="AC61">
        <v>200.01336898395724</v>
      </c>
      <c r="AD61">
        <v>17.734708392603128</v>
      </c>
      <c r="AE61">
        <v>87.62</v>
      </c>
      <c r="AF61">
        <v>17.34</v>
      </c>
      <c r="AG61">
        <v>0</v>
      </c>
      <c r="AH61">
        <v>6.44</v>
      </c>
      <c r="AI61">
        <v>41.44</v>
      </c>
      <c r="AJ61">
        <v>187.92</v>
      </c>
      <c r="AK61">
        <v>75.41</v>
      </c>
      <c r="AL61" t="s">
        <v>14</v>
      </c>
      <c r="AM61" t="s">
        <v>15</v>
      </c>
      <c r="AN61" t="str">
        <f t="shared" si="0"/>
        <v>Afternoon</v>
      </c>
      <c r="AO61" t="str">
        <f t="shared" si="1"/>
        <v>Off-Peak</v>
      </c>
      <c r="AP61" t="str">
        <f t="shared" si="2"/>
        <v>Medium</v>
      </c>
      <c r="AQ61" t="str">
        <f t="shared" si="3"/>
        <v>Low</v>
      </c>
    </row>
    <row r="62" spans="1:43" x14ac:dyDescent="0.3">
      <c r="A62">
        <v>61</v>
      </c>
      <c r="B62" t="s">
        <v>23</v>
      </c>
      <c r="C62" t="s">
        <v>17</v>
      </c>
      <c r="D62" s="1">
        <v>46110</v>
      </c>
      <c r="E62" t="s">
        <v>26</v>
      </c>
      <c r="F62">
        <v>1</v>
      </c>
      <c r="G62">
        <v>15</v>
      </c>
      <c r="H62" t="s">
        <v>19</v>
      </c>
      <c r="I62" t="s">
        <v>42</v>
      </c>
      <c r="J62">
        <v>1.08</v>
      </c>
      <c r="K62" t="s">
        <v>34</v>
      </c>
      <c r="L62">
        <v>1</v>
      </c>
      <c r="M62">
        <v>3.77</v>
      </c>
      <c r="N62">
        <v>52</v>
      </c>
      <c r="O62" t="s">
        <v>35</v>
      </c>
      <c r="P62">
        <v>7</v>
      </c>
      <c r="Q62">
        <v>1.1299999999999999</v>
      </c>
      <c r="R62">
        <v>34</v>
      </c>
      <c r="S62">
        <v>72.89</v>
      </c>
      <c r="T62">
        <v>61.39</v>
      </c>
      <c r="U62">
        <v>1.1200000000000001</v>
      </c>
      <c r="V62">
        <v>8.75</v>
      </c>
      <c r="W62">
        <v>143.03</v>
      </c>
      <c r="X62">
        <v>38.4</v>
      </c>
      <c r="Y62">
        <v>109.32</v>
      </c>
      <c r="Z62">
        <v>3.22</v>
      </c>
      <c r="AA62">
        <v>6.88</v>
      </c>
      <c r="AB62">
        <v>132.93</v>
      </c>
      <c r="AC62">
        <v>234.58235294117648</v>
      </c>
      <c r="AD62">
        <v>117.63716814159294</v>
      </c>
      <c r="AE62">
        <v>63.59</v>
      </c>
      <c r="AF62">
        <v>13.31</v>
      </c>
      <c r="AG62">
        <v>1</v>
      </c>
      <c r="AH62">
        <v>26.51</v>
      </c>
      <c r="AI62">
        <v>78.510000000000005</v>
      </c>
      <c r="AJ62">
        <v>247.77</v>
      </c>
      <c r="AK62">
        <v>60.99</v>
      </c>
      <c r="AL62" t="s">
        <v>23</v>
      </c>
      <c r="AM62" t="s">
        <v>24</v>
      </c>
      <c r="AN62" t="str">
        <f t="shared" si="0"/>
        <v>Evening</v>
      </c>
      <c r="AO62" t="str">
        <f t="shared" si="1"/>
        <v>Off-Peak</v>
      </c>
      <c r="AP62" t="str">
        <f t="shared" si="2"/>
        <v>Medium</v>
      </c>
      <c r="AQ62" t="str">
        <f t="shared" si="3"/>
        <v>Medium</v>
      </c>
    </row>
    <row r="63" spans="1:43" x14ac:dyDescent="0.3">
      <c r="A63">
        <v>62</v>
      </c>
      <c r="B63" t="s">
        <v>16</v>
      </c>
      <c r="C63" t="s">
        <v>17</v>
      </c>
      <c r="D63" s="1">
        <v>46078</v>
      </c>
      <c r="E63" t="s">
        <v>18</v>
      </c>
      <c r="F63">
        <v>0</v>
      </c>
      <c r="G63">
        <v>14</v>
      </c>
      <c r="H63" t="s">
        <v>19</v>
      </c>
      <c r="I63" t="s">
        <v>28</v>
      </c>
      <c r="J63">
        <v>1.03</v>
      </c>
      <c r="K63" t="s">
        <v>21</v>
      </c>
      <c r="L63">
        <v>0</v>
      </c>
      <c r="M63">
        <v>3.15</v>
      </c>
      <c r="N63">
        <v>7</v>
      </c>
      <c r="O63" t="s">
        <v>22</v>
      </c>
      <c r="P63">
        <v>2</v>
      </c>
      <c r="Q63">
        <v>6.63</v>
      </c>
      <c r="R63">
        <v>48.5</v>
      </c>
      <c r="S63">
        <v>139.41</v>
      </c>
      <c r="T63">
        <v>13.62</v>
      </c>
      <c r="U63">
        <v>1</v>
      </c>
      <c r="V63">
        <v>0</v>
      </c>
      <c r="W63">
        <v>153.03</v>
      </c>
      <c r="X63">
        <v>43.8</v>
      </c>
      <c r="Y63">
        <v>100.89</v>
      </c>
      <c r="Z63">
        <v>15.28</v>
      </c>
      <c r="AA63">
        <v>4.87</v>
      </c>
      <c r="AB63">
        <v>132.88</v>
      </c>
      <c r="AC63">
        <v>164.38762886597937</v>
      </c>
      <c r="AD63">
        <v>20.042232277526395</v>
      </c>
      <c r="AE63">
        <v>63.27</v>
      </c>
      <c r="AF63">
        <v>17.190000000000001</v>
      </c>
      <c r="AG63">
        <v>0</v>
      </c>
      <c r="AH63">
        <v>-12.06</v>
      </c>
      <c r="AI63">
        <v>5</v>
      </c>
      <c r="AJ63">
        <v>179.22</v>
      </c>
      <c r="AK63">
        <v>62.18</v>
      </c>
      <c r="AL63" t="s">
        <v>14</v>
      </c>
      <c r="AM63" t="s">
        <v>15</v>
      </c>
      <c r="AN63" t="str">
        <f t="shared" si="0"/>
        <v>Afternoon</v>
      </c>
      <c r="AO63" t="str">
        <f t="shared" si="1"/>
        <v>Off-Peak</v>
      </c>
      <c r="AP63" t="str">
        <f t="shared" si="2"/>
        <v>Medium</v>
      </c>
      <c r="AQ63" t="str">
        <f t="shared" si="3"/>
        <v>Low</v>
      </c>
    </row>
    <row r="64" spans="1:43" x14ac:dyDescent="0.3">
      <c r="A64">
        <v>63</v>
      </c>
      <c r="B64" t="s">
        <v>48</v>
      </c>
      <c r="C64" t="s">
        <v>30</v>
      </c>
      <c r="D64" s="1">
        <v>46145</v>
      </c>
      <c r="E64" t="s">
        <v>26</v>
      </c>
      <c r="F64">
        <v>1</v>
      </c>
      <c r="G64">
        <v>22</v>
      </c>
      <c r="H64" t="s">
        <v>36</v>
      </c>
      <c r="I64" t="s">
        <v>20</v>
      </c>
      <c r="J64">
        <v>1.25</v>
      </c>
      <c r="K64" t="s">
        <v>12</v>
      </c>
      <c r="L64">
        <v>0</v>
      </c>
      <c r="M64">
        <v>3.45</v>
      </c>
      <c r="N64">
        <v>47</v>
      </c>
      <c r="O64" t="s">
        <v>35</v>
      </c>
      <c r="P64">
        <v>12</v>
      </c>
      <c r="Q64">
        <v>7.06</v>
      </c>
      <c r="R64">
        <v>56.7</v>
      </c>
      <c r="S64">
        <v>116.27</v>
      </c>
      <c r="T64">
        <v>58.66</v>
      </c>
      <c r="U64">
        <v>1</v>
      </c>
      <c r="V64">
        <v>0</v>
      </c>
      <c r="W64">
        <v>174.93</v>
      </c>
      <c r="X64">
        <v>46.5</v>
      </c>
      <c r="Y64">
        <v>109.54</v>
      </c>
      <c r="Z64">
        <v>16.63</v>
      </c>
      <c r="AA64">
        <v>7.15</v>
      </c>
      <c r="AB64">
        <v>151.15</v>
      </c>
      <c r="AC64">
        <v>159.94708994708995</v>
      </c>
      <c r="AD64">
        <v>21.409348441926348</v>
      </c>
      <c r="AE64">
        <v>77.72</v>
      </c>
      <c r="AF64">
        <v>13.95</v>
      </c>
      <c r="AG64">
        <v>1</v>
      </c>
      <c r="AH64">
        <v>5.22</v>
      </c>
      <c r="AI64">
        <v>52.22</v>
      </c>
      <c r="AJ64">
        <v>129.77000000000001</v>
      </c>
      <c r="AK64">
        <v>74.77</v>
      </c>
      <c r="AL64" t="s">
        <v>14</v>
      </c>
      <c r="AM64" t="s">
        <v>15</v>
      </c>
      <c r="AN64" t="str">
        <f t="shared" si="0"/>
        <v>Night</v>
      </c>
      <c r="AO64" t="str">
        <f t="shared" si="1"/>
        <v>Off-Peak</v>
      </c>
      <c r="AP64" t="str">
        <f t="shared" si="2"/>
        <v>Medium</v>
      </c>
      <c r="AQ64" t="str">
        <f t="shared" si="3"/>
        <v>Medium</v>
      </c>
    </row>
    <row r="65" spans="1:43" x14ac:dyDescent="0.3">
      <c r="A65">
        <v>64</v>
      </c>
      <c r="B65" t="s">
        <v>23</v>
      </c>
      <c r="C65" t="s">
        <v>17</v>
      </c>
      <c r="D65" s="1">
        <v>46174</v>
      </c>
      <c r="E65" t="s">
        <v>38</v>
      </c>
      <c r="F65">
        <v>0</v>
      </c>
      <c r="G65">
        <v>22</v>
      </c>
      <c r="H65" t="s">
        <v>19</v>
      </c>
      <c r="I65" t="s">
        <v>11</v>
      </c>
      <c r="J65">
        <v>1.18</v>
      </c>
      <c r="K65" t="s">
        <v>12</v>
      </c>
      <c r="L65">
        <v>0</v>
      </c>
      <c r="M65">
        <v>1.93</v>
      </c>
      <c r="N65">
        <v>26</v>
      </c>
      <c r="O65" t="s">
        <v>22</v>
      </c>
      <c r="P65">
        <v>5</v>
      </c>
      <c r="Q65">
        <v>6.86</v>
      </c>
      <c r="R65">
        <v>47.5</v>
      </c>
      <c r="S65">
        <v>143.88999999999999</v>
      </c>
      <c r="T65">
        <v>32.65</v>
      </c>
      <c r="U65">
        <v>1.1299999999999999</v>
      </c>
      <c r="V65">
        <v>18.71</v>
      </c>
      <c r="W65">
        <v>195.25</v>
      </c>
      <c r="X65">
        <v>48.1</v>
      </c>
      <c r="Y65">
        <v>101.01</v>
      </c>
      <c r="Z65">
        <v>14.4</v>
      </c>
      <c r="AA65">
        <v>8.82</v>
      </c>
      <c r="AB65">
        <v>172.03</v>
      </c>
      <c r="AC65">
        <v>217.30105263157895</v>
      </c>
      <c r="AD65">
        <v>25.077259475218657</v>
      </c>
      <c r="AE65">
        <v>78.25</v>
      </c>
      <c r="AF65">
        <v>19.36</v>
      </c>
      <c r="AG65">
        <v>0</v>
      </c>
      <c r="AH65">
        <v>5.34</v>
      </c>
      <c r="AI65">
        <v>31.34</v>
      </c>
      <c r="AJ65">
        <v>221.66</v>
      </c>
      <c r="AK65">
        <v>69.84</v>
      </c>
      <c r="AL65" t="s">
        <v>23</v>
      </c>
      <c r="AM65" t="s">
        <v>24</v>
      </c>
      <c r="AN65" t="str">
        <f t="shared" si="0"/>
        <v>Night</v>
      </c>
      <c r="AO65" t="str">
        <f t="shared" si="1"/>
        <v>Off-Peak</v>
      </c>
      <c r="AP65" t="str">
        <f t="shared" si="2"/>
        <v>Medium</v>
      </c>
      <c r="AQ65" t="str">
        <f t="shared" si="3"/>
        <v>Low</v>
      </c>
    </row>
    <row r="66" spans="1:43" x14ac:dyDescent="0.3">
      <c r="A66">
        <v>65</v>
      </c>
      <c r="B66" t="s">
        <v>48</v>
      </c>
      <c r="C66" t="s">
        <v>30</v>
      </c>
      <c r="D66" s="1">
        <v>46142</v>
      </c>
      <c r="E66" t="s">
        <v>41</v>
      </c>
      <c r="F66">
        <v>0</v>
      </c>
      <c r="G66">
        <v>15</v>
      </c>
      <c r="H66" t="s">
        <v>43</v>
      </c>
      <c r="I66" t="s">
        <v>42</v>
      </c>
      <c r="J66">
        <v>1.08</v>
      </c>
      <c r="K66" t="s">
        <v>12</v>
      </c>
      <c r="L66">
        <v>0</v>
      </c>
      <c r="M66">
        <v>3.52</v>
      </c>
      <c r="N66">
        <v>20</v>
      </c>
      <c r="O66" t="s">
        <v>22</v>
      </c>
      <c r="P66">
        <v>5</v>
      </c>
      <c r="Q66">
        <v>2.11</v>
      </c>
      <c r="R66">
        <v>35.299999999999997</v>
      </c>
      <c r="S66">
        <v>71.67</v>
      </c>
      <c r="T66">
        <v>33.94</v>
      </c>
      <c r="U66">
        <v>1</v>
      </c>
      <c r="V66">
        <v>0</v>
      </c>
      <c r="W66">
        <v>105.61</v>
      </c>
      <c r="X66">
        <v>48.7</v>
      </c>
      <c r="Y66">
        <v>103.47</v>
      </c>
      <c r="Z66">
        <v>4.49</v>
      </c>
      <c r="AA66">
        <v>2.93</v>
      </c>
      <c r="AB66">
        <v>98.19</v>
      </c>
      <c r="AC66">
        <v>166.89518413597736</v>
      </c>
      <c r="AD66">
        <v>46.535545023696685</v>
      </c>
      <c r="AE66">
        <v>52.9</v>
      </c>
      <c r="AF66">
        <v>19.05</v>
      </c>
      <c r="AG66">
        <v>0</v>
      </c>
      <c r="AH66">
        <v>12.86</v>
      </c>
      <c r="AI66">
        <v>32.86</v>
      </c>
      <c r="AJ66">
        <v>133.94999999999999</v>
      </c>
      <c r="AK66">
        <v>67.72</v>
      </c>
      <c r="AL66" t="s">
        <v>14</v>
      </c>
      <c r="AM66" t="s">
        <v>15</v>
      </c>
      <c r="AN66" t="str">
        <f t="shared" si="0"/>
        <v>Evening</v>
      </c>
      <c r="AO66" t="str">
        <f t="shared" si="1"/>
        <v>Off-Peak</v>
      </c>
      <c r="AP66" t="str">
        <f t="shared" si="2"/>
        <v>Medium</v>
      </c>
      <c r="AQ66" t="str">
        <f t="shared" si="3"/>
        <v>Low</v>
      </c>
    </row>
    <row r="67" spans="1:43" x14ac:dyDescent="0.3">
      <c r="A67">
        <v>66</v>
      </c>
      <c r="B67" t="s">
        <v>48</v>
      </c>
      <c r="C67" t="s">
        <v>30</v>
      </c>
      <c r="D67" s="1">
        <v>46073</v>
      </c>
      <c r="E67" t="s">
        <v>9</v>
      </c>
      <c r="F67">
        <v>0</v>
      </c>
      <c r="G67">
        <v>14</v>
      </c>
      <c r="H67" t="s">
        <v>43</v>
      </c>
      <c r="I67" t="s">
        <v>45</v>
      </c>
      <c r="J67">
        <v>1</v>
      </c>
      <c r="K67" t="s">
        <v>21</v>
      </c>
      <c r="L67">
        <v>0</v>
      </c>
      <c r="M67">
        <v>4.6399999999999997</v>
      </c>
      <c r="N67">
        <v>37</v>
      </c>
      <c r="O67" t="s">
        <v>35</v>
      </c>
      <c r="P67">
        <v>12</v>
      </c>
      <c r="Q67">
        <v>3.61</v>
      </c>
      <c r="R67">
        <v>43.4</v>
      </c>
      <c r="S67">
        <v>85.04</v>
      </c>
      <c r="T67">
        <v>38.86</v>
      </c>
      <c r="U67">
        <v>1</v>
      </c>
      <c r="V67">
        <v>0</v>
      </c>
      <c r="W67">
        <v>123.9</v>
      </c>
      <c r="X67">
        <v>36.299999999999997</v>
      </c>
      <c r="Y67">
        <v>106.3</v>
      </c>
      <c r="Z67">
        <v>10.58</v>
      </c>
      <c r="AA67">
        <v>11.2</v>
      </c>
      <c r="AB67">
        <v>102.12</v>
      </c>
      <c r="AC67">
        <v>141.17972350230417</v>
      </c>
      <c r="AD67">
        <v>28.288088642659282</v>
      </c>
      <c r="AE67">
        <v>61.08</v>
      </c>
      <c r="AF67">
        <v>18.23</v>
      </c>
      <c r="AG67">
        <v>0</v>
      </c>
      <c r="AH67">
        <v>20.76</v>
      </c>
      <c r="AI67">
        <v>57.76</v>
      </c>
      <c r="AJ67">
        <v>133.03</v>
      </c>
      <c r="AK67">
        <v>64.099999999999994</v>
      </c>
      <c r="AL67" t="s">
        <v>14</v>
      </c>
      <c r="AM67" t="s">
        <v>15</v>
      </c>
      <c r="AN67" t="str">
        <f t="shared" ref="AN67:AN130" si="4">IF(G67&lt;11,"Morning",IF(G67&lt;15,"Afternoon",IF(G67&lt;18,"Evening","Night")))</f>
        <v>Afternoon</v>
      </c>
      <c r="AO67" t="str">
        <f t="shared" ref="AO67:AO130" si="5">IF(OR(AND(G67&gt;=7,G67&lt;=10),AND(G67&gt;=17,G67&lt;=20)),"Peak","Off-Peak")</f>
        <v>Off-Peak</v>
      </c>
      <c r="AP67" t="str">
        <f t="shared" ref="AP67:AP130" si="6">IF(AC67&lt;150,"Low",IF(AC67&lt;=250,"Medium","High"))</f>
        <v>Low</v>
      </c>
      <c r="AQ67" t="str">
        <f t="shared" ref="AQ67:AQ130" si="7">IF(N67&lt;=35,"Low",IF(N67&lt;=70,"Medium","High"))</f>
        <v>Medium</v>
      </c>
    </row>
    <row r="68" spans="1:43" x14ac:dyDescent="0.3">
      <c r="A68">
        <v>67</v>
      </c>
      <c r="B68" t="s">
        <v>23</v>
      </c>
      <c r="C68" t="s">
        <v>17</v>
      </c>
      <c r="D68" s="1">
        <v>46100</v>
      </c>
      <c r="E68" t="s">
        <v>41</v>
      </c>
      <c r="F68">
        <v>0</v>
      </c>
      <c r="G68">
        <v>16</v>
      </c>
      <c r="H68" t="s">
        <v>19</v>
      </c>
      <c r="I68" t="s">
        <v>45</v>
      </c>
      <c r="J68">
        <v>1</v>
      </c>
      <c r="K68" t="s">
        <v>21</v>
      </c>
      <c r="L68">
        <v>0</v>
      </c>
      <c r="M68">
        <v>3.06</v>
      </c>
      <c r="N68">
        <v>12</v>
      </c>
      <c r="O68" t="s">
        <v>22</v>
      </c>
      <c r="P68">
        <v>2</v>
      </c>
      <c r="Q68">
        <v>6</v>
      </c>
      <c r="R68">
        <v>38.9</v>
      </c>
      <c r="S68">
        <v>130.53</v>
      </c>
      <c r="T68">
        <v>7.63</v>
      </c>
      <c r="U68">
        <v>1.1000000000000001</v>
      </c>
      <c r="V68">
        <v>13.05</v>
      </c>
      <c r="W68">
        <v>151.21</v>
      </c>
      <c r="X68">
        <v>45.9</v>
      </c>
      <c r="Y68">
        <v>103.41</v>
      </c>
      <c r="Z68">
        <v>13.52</v>
      </c>
      <c r="AA68">
        <v>9.19</v>
      </c>
      <c r="AB68">
        <v>128.5</v>
      </c>
      <c r="AC68">
        <v>198.20051413881748</v>
      </c>
      <c r="AD68">
        <v>21.416666666666668</v>
      </c>
      <c r="AE68">
        <v>70.849999999999994</v>
      </c>
      <c r="AF68">
        <v>13.72</v>
      </c>
      <c r="AG68">
        <v>0</v>
      </c>
      <c r="AH68">
        <v>-3.06</v>
      </c>
      <c r="AI68">
        <v>8.94</v>
      </c>
      <c r="AJ68">
        <v>214.41</v>
      </c>
      <c r="AK68">
        <v>76.03</v>
      </c>
      <c r="AL68" t="s">
        <v>23</v>
      </c>
      <c r="AM68" t="s">
        <v>24</v>
      </c>
      <c r="AN68" t="str">
        <f t="shared" si="4"/>
        <v>Evening</v>
      </c>
      <c r="AO68" t="str">
        <f t="shared" si="5"/>
        <v>Off-Peak</v>
      </c>
      <c r="AP68" t="str">
        <f t="shared" si="6"/>
        <v>Medium</v>
      </c>
      <c r="AQ68" t="str">
        <f t="shared" si="7"/>
        <v>Low</v>
      </c>
    </row>
    <row r="69" spans="1:43" x14ac:dyDescent="0.3">
      <c r="A69">
        <v>68</v>
      </c>
      <c r="B69" t="s">
        <v>48</v>
      </c>
      <c r="C69" t="s">
        <v>30</v>
      </c>
      <c r="D69" s="1">
        <v>46198</v>
      </c>
      <c r="E69" t="s">
        <v>41</v>
      </c>
      <c r="F69">
        <v>0</v>
      </c>
      <c r="G69">
        <v>9</v>
      </c>
      <c r="H69" t="s">
        <v>47</v>
      </c>
      <c r="I69" t="s">
        <v>50</v>
      </c>
      <c r="J69">
        <v>1.2</v>
      </c>
      <c r="K69" t="s">
        <v>12</v>
      </c>
      <c r="L69">
        <v>0</v>
      </c>
      <c r="M69">
        <v>2.95</v>
      </c>
      <c r="N69">
        <v>30</v>
      </c>
      <c r="O69" t="s">
        <v>22</v>
      </c>
      <c r="P69">
        <v>9</v>
      </c>
      <c r="Q69">
        <v>2.52</v>
      </c>
      <c r="R69">
        <v>36.200000000000003</v>
      </c>
      <c r="S69">
        <v>71.72</v>
      </c>
      <c r="T69">
        <v>30.56</v>
      </c>
      <c r="U69">
        <v>1</v>
      </c>
      <c r="V69">
        <v>0</v>
      </c>
      <c r="W69">
        <v>102.28</v>
      </c>
      <c r="X69">
        <v>38.1</v>
      </c>
      <c r="Y69">
        <v>106.83</v>
      </c>
      <c r="Z69">
        <v>7.07</v>
      </c>
      <c r="AA69">
        <v>2.97</v>
      </c>
      <c r="AB69">
        <v>92.24</v>
      </c>
      <c r="AC69">
        <v>152.88397790055245</v>
      </c>
      <c r="AD69">
        <v>36.603174603174601</v>
      </c>
      <c r="AE69">
        <v>85.25</v>
      </c>
      <c r="AF69">
        <v>13.4</v>
      </c>
      <c r="AG69">
        <v>0</v>
      </c>
      <c r="AH69">
        <v>18.18</v>
      </c>
      <c r="AI69">
        <v>48.18</v>
      </c>
      <c r="AJ69">
        <v>198.12</v>
      </c>
      <c r="AK69">
        <v>62.55</v>
      </c>
      <c r="AL69" t="s">
        <v>23</v>
      </c>
      <c r="AM69" t="s">
        <v>24</v>
      </c>
      <c r="AN69" t="str">
        <f t="shared" si="4"/>
        <v>Morning</v>
      </c>
      <c r="AO69" t="str">
        <f t="shared" si="5"/>
        <v>Peak</v>
      </c>
      <c r="AP69" t="str">
        <f t="shared" si="6"/>
        <v>Medium</v>
      </c>
      <c r="AQ69" t="str">
        <f t="shared" si="7"/>
        <v>Low</v>
      </c>
    </row>
    <row r="70" spans="1:43" x14ac:dyDescent="0.3">
      <c r="A70">
        <v>69</v>
      </c>
      <c r="B70" t="s">
        <v>7</v>
      </c>
      <c r="C70" t="s">
        <v>8</v>
      </c>
      <c r="D70" s="1">
        <v>46029</v>
      </c>
      <c r="E70" t="s">
        <v>18</v>
      </c>
      <c r="F70">
        <v>0</v>
      </c>
      <c r="G70">
        <v>13</v>
      </c>
      <c r="H70" t="s">
        <v>10</v>
      </c>
      <c r="I70" t="s">
        <v>28</v>
      </c>
      <c r="J70">
        <v>1.03</v>
      </c>
      <c r="K70" t="s">
        <v>12</v>
      </c>
      <c r="L70">
        <v>0</v>
      </c>
      <c r="M70">
        <v>4.3499999999999996</v>
      </c>
      <c r="N70">
        <v>68</v>
      </c>
      <c r="O70" t="s">
        <v>35</v>
      </c>
      <c r="P70">
        <v>31</v>
      </c>
      <c r="Q70">
        <v>3.24</v>
      </c>
      <c r="R70">
        <v>39.5</v>
      </c>
      <c r="S70">
        <v>64.59</v>
      </c>
      <c r="T70">
        <v>85.74</v>
      </c>
      <c r="U70">
        <v>1</v>
      </c>
      <c r="V70">
        <v>0</v>
      </c>
      <c r="W70">
        <v>150.33000000000001</v>
      </c>
      <c r="X70">
        <v>46.7</v>
      </c>
      <c r="Y70">
        <v>107.75</v>
      </c>
      <c r="Z70">
        <v>7.48</v>
      </c>
      <c r="AA70">
        <v>10.69</v>
      </c>
      <c r="AB70">
        <v>132.16</v>
      </c>
      <c r="AC70">
        <v>200.74936708860758</v>
      </c>
      <c r="AD70">
        <v>40.79012345679012</v>
      </c>
      <c r="AE70">
        <v>92.54</v>
      </c>
      <c r="AF70">
        <v>17.63</v>
      </c>
      <c r="AG70">
        <v>1</v>
      </c>
      <c r="AH70">
        <v>22.95</v>
      </c>
      <c r="AI70">
        <v>90.95</v>
      </c>
      <c r="AJ70">
        <v>204.97</v>
      </c>
      <c r="AK70">
        <v>79.790000000000006</v>
      </c>
      <c r="AL70" t="s">
        <v>14</v>
      </c>
      <c r="AM70" t="s">
        <v>15</v>
      </c>
      <c r="AN70" t="str">
        <f t="shared" si="4"/>
        <v>Afternoon</v>
      </c>
      <c r="AO70" t="str">
        <f t="shared" si="5"/>
        <v>Off-Peak</v>
      </c>
      <c r="AP70" t="str">
        <f t="shared" si="6"/>
        <v>Medium</v>
      </c>
      <c r="AQ70" t="str">
        <f t="shared" si="7"/>
        <v>Medium</v>
      </c>
    </row>
    <row r="71" spans="1:43" x14ac:dyDescent="0.3">
      <c r="A71">
        <v>70</v>
      </c>
      <c r="B71" t="s">
        <v>29</v>
      </c>
      <c r="C71" t="s">
        <v>30</v>
      </c>
      <c r="D71" s="1">
        <v>46078</v>
      </c>
      <c r="E71" t="s">
        <v>18</v>
      </c>
      <c r="F71">
        <v>0</v>
      </c>
      <c r="G71">
        <v>10</v>
      </c>
      <c r="H71" t="s">
        <v>47</v>
      </c>
      <c r="I71" t="s">
        <v>45</v>
      </c>
      <c r="J71">
        <v>1</v>
      </c>
      <c r="K71" t="s">
        <v>12</v>
      </c>
      <c r="L71">
        <v>0</v>
      </c>
      <c r="M71">
        <v>4.63</v>
      </c>
      <c r="N71">
        <v>5</v>
      </c>
      <c r="O71" t="s">
        <v>22</v>
      </c>
      <c r="P71">
        <v>2</v>
      </c>
      <c r="Q71">
        <v>2.5499999999999998</v>
      </c>
      <c r="R71">
        <v>41.9</v>
      </c>
      <c r="S71">
        <v>75.89</v>
      </c>
      <c r="T71">
        <v>0</v>
      </c>
      <c r="U71">
        <v>1</v>
      </c>
      <c r="V71">
        <v>0</v>
      </c>
      <c r="W71">
        <v>75.89</v>
      </c>
      <c r="X71">
        <v>45.5</v>
      </c>
      <c r="Y71">
        <v>108.29</v>
      </c>
      <c r="Z71">
        <v>6.08</v>
      </c>
      <c r="AA71">
        <v>9.44</v>
      </c>
      <c r="AB71">
        <v>60.37</v>
      </c>
      <c r="AC71">
        <v>86.448687350835314</v>
      </c>
      <c r="AD71">
        <v>23.67450980392157</v>
      </c>
      <c r="AE71">
        <v>69.08</v>
      </c>
      <c r="AF71">
        <v>16.04</v>
      </c>
      <c r="AG71">
        <v>0</v>
      </c>
      <c r="AH71">
        <v>29.76</v>
      </c>
      <c r="AI71">
        <v>34.76</v>
      </c>
      <c r="AJ71">
        <v>67.650000000000006</v>
      </c>
      <c r="AK71">
        <v>61.81</v>
      </c>
      <c r="AL71" t="s">
        <v>14</v>
      </c>
      <c r="AM71" t="s">
        <v>15</v>
      </c>
      <c r="AN71" t="str">
        <f t="shared" si="4"/>
        <v>Morning</v>
      </c>
      <c r="AO71" t="str">
        <f t="shared" si="5"/>
        <v>Peak</v>
      </c>
      <c r="AP71" t="str">
        <f t="shared" si="6"/>
        <v>Low</v>
      </c>
      <c r="AQ71" t="str">
        <f t="shared" si="7"/>
        <v>Low</v>
      </c>
    </row>
    <row r="72" spans="1:43" x14ac:dyDescent="0.3">
      <c r="A72">
        <v>71</v>
      </c>
      <c r="B72" t="s">
        <v>16</v>
      </c>
      <c r="C72" t="s">
        <v>17</v>
      </c>
      <c r="D72" s="1">
        <v>46253</v>
      </c>
      <c r="E72" t="s">
        <v>18</v>
      </c>
      <c r="F72">
        <v>0</v>
      </c>
      <c r="G72">
        <v>9</v>
      </c>
      <c r="H72" t="s">
        <v>27</v>
      </c>
      <c r="I72" t="s">
        <v>50</v>
      </c>
      <c r="J72">
        <v>1.2</v>
      </c>
      <c r="K72" t="s">
        <v>12</v>
      </c>
      <c r="L72">
        <v>0</v>
      </c>
      <c r="M72">
        <v>3.28</v>
      </c>
      <c r="N72">
        <v>56</v>
      </c>
      <c r="O72" t="s">
        <v>35</v>
      </c>
      <c r="P72">
        <v>7</v>
      </c>
      <c r="Q72">
        <v>4.3600000000000003</v>
      </c>
      <c r="R72">
        <v>44.2</v>
      </c>
      <c r="S72">
        <v>108.51</v>
      </c>
      <c r="T72">
        <v>49.59</v>
      </c>
      <c r="U72">
        <v>1.22</v>
      </c>
      <c r="V72">
        <v>23.87</v>
      </c>
      <c r="W72">
        <v>181.97</v>
      </c>
      <c r="X72">
        <v>37.700000000000003</v>
      </c>
      <c r="Y72">
        <v>101.79</v>
      </c>
      <c r="Z72">
        <v>11.76</v>
      </c>
      <c r="AA72">
        <v>5.13</v>
      </c>
      <c r="AB72">
        <v>165.08</v>
      </c>
      <c r="AC72">
        <v>224.09049773755657</v>
      </c>
      <c r="AD72">
        <v>37.862385321100916</v>
      </c>
      <c r="AE72">
        <v>75.11</v>
      </c>
      <c r="AF72">
        <v>12.3</v>
      </c>
      <c r="AG72">
        <v>1</v>
      </c>
      <c r="AH72">
        <v>10.53</v>
      </c>
      <c r="AI72">
        <v>66.53</v>
      </c>
      <c r="AJ72">
        <v>224.43</v>
      </c>
      <c r="AK72">
        <v>75.52</v>
      </c>
      <c r="AL72" t="s">
        <v>23</v>
      </c>
      <c r="AM72" t="s">
        <v>24</v>
      </c>
      <c r="AN72" t="str">
        <f t="shared" si="4"/>
        <v>Morning</v>
      </c>
      <c r="AO72" t="str">
        <f t="shared" si="5"/>
        <v>Peak</v>
      </c>
      <c r="AP72" t="str">
        <f t="shared" si="6"/>
        <v>Medium</v>
      </c>
      <c r="AQ72" t="str">
        <f t="shared" si="7"/>
        <v>Medium</v>
      </c>
    </row>
    <row r="73" spans="1:43" x14ac:dyDescent="0.3">
      <c r="A73">
        <v>72</v>
      </c>
      <c r="B73" t="s">
        <v>14</v>
      </c>
      <c r="C73" t="s">
        <v>8</v>
      </c>
      <c r="D73" s="1">
        <v>46048</v>
      </c>
      <c r="E73" t="s">
        <v>38</v>
      </c>
      <c r="F73">
        <v>0</v>
      </c>
      <c r="G73">
        <v>8</v>
      </c>
      <c r="H73" t="s">
        <v>49</v>
      </c>
      <c r="I73" t="s">
        <v>46</v>
      </c>
      <c r="J73">
        <v>1.1499999999999999</v>
      </c>
      <c r="K73" t="s">
        <v>34</v>
      </c>
      <c r="L73">
        <v>1</v>
      </c>
      <c r="M73">
        <v>3.66</v>
      </c>
      <c r="N73">
        <v>43</v>
      </c>
      <c r="O73" t="s">
        <v>35</v>
      </c>
      <c r="P73">
        <v>13</v>
      </c>
      <c r="Q73">
        <v>4.16</v>
      </c>
      <c r="R73">
        <v>37.5</v>
      </c>
      <c r="S73">
        <v>74.8</v>
      </c>
      <c r="T73">
        <v>52.88</v>
      </c>
      <c r="U73">
        <v>1</v>
      </c>
      <c r="V73">
        <v>0</v>
      </c>
      <c r="W73">
        <v>127.68</v>
      </c>
      <c r="X73">
        <v>47.5</v>
      </c>
      <c r="Y73">
        <v>101.82</v>
      </c>
      <c r="Z73">
        <v>8.91</v>
      </c>
      <c r="AA73">
        <v>7.21</v>
      </c>
      <c r="AB73">
        <v>111.56</v>
      </c>
      <c r="AC73">
        <v>178.49600000000001</v>
      </c>
      <c r="AD73">
        <v>26.817307692307693</v>
      </c>
      <c r="AE73">
        <v>68.75</v>
      </c>
      <c r="AF73">
        <v>16.010000000000002</v>
      </c>
      <c r="AG73">
        <v>0</v>
      </c>
      <c r="AH73">
        <v>5.36</v>
      </c>
      <c r="AI73">
        <v>48.36</v>
      </c>
      <c r="AJ73">
        <v>184.55</v>
      </c>
      <c r="AK73">
        <v>68.14</v>
      </c>
      <c r="AL73" t="s">
        <v>23</v>
      </c>
      <c r="AM73" t="s">
        <v>24</v>
      </c>
      <c r="AN73" t="str">
        <f t="shared" si="4"/>
        <v>Morning</v>
      </c>
      <c r="AO73" t="str">
        <f t="shared" si="5"/>
        <v>Peak</v>
      </c>
      <c r="AP73" t="str">
        <f t="shared" si="6"/>
        <v>Medium</v>
      </c>
      <c r="AQ73" t="str">
        <f t="shared" si="7"/>
        <v>Medium</v>
      </c>
    </row>
    <row r="74" spans="1:43" x14ac:dyDescent="0.3">
      <c r="A74">
        <v>73</v>
      </c>
      <c r="B74" t="s">
        <v>29</v>
      </c>
      <c r="C74" t="s">
        <v>30</v>
      </c>
      <c r="D74" s="1">
        <v>46130</v>
      </c>
      <c r="E74" t="s">
        <v>31</v>
      </c>
      <c r="F74">
        <v>1</v>
      </c>
      <c r="G74">
        <v>16</v>
      </c>
      <c r="H74" t="s">
        <v>32</v>
      </c>
      <c r="I74" t="s">
        <v>28</v>
      </c>
      <c r="J74">
        <v>1.03</v>
      </c>
      <c r="K74" t="s">
        <v>21</v>
      </c>
      <c r="L74">
        <v>0</v>
      </c>
      <c r="M74">
        <v>2.36</v>
      </c>
      <c r="N74">
        <v>66</v>
      </c>
      <c r="O74" t="s">
        <v>35</v>
      </c>
      <c r="P74">
        <v>17</v>
      </c>
      <c r="Q74">
        <v>10.94</v>
      </c>
      <c r="R74">
        <v>62.1</v>
      </c>
      <c r="S74">
        <v>143.04</v>
      </c>
      <c r="T74">
        <v>87.6</v>
      </c>
      <c r="U74">
        <v>1</v>
      </c>
      <c r="V74">
        <v>0</v>
      </c>
      <c r="W74">
        <v>230.64</v>
      </c>
      <c r="X74">
        <v>41.9</v>
      </c>
      <c r="Y74">
        <v>100.52</v>
      </c>
      <c r="Z74">
        <v>26.23</v>
      </c>
      <c r="AA74">
        <v>10.6</v>
      </c>
      <c r="AB74">
        <v>193.81</v>
      </c>
      <c r="AC74">
        <v>187.25603864734302</v>
      </c>
      <c r="AD74">
        <v>17.715722120658135</v>
      </c>
      <c r="AE74">
        <v>82.35</v>
      </c>
      <c r="AF74">
        <v>13.5</v>
      </c>
      <c r="AG74">
        <v>1</v>
      </c>
      <c r="AH74">
        <v>-4.12</v>
      </c>
      <c r="AI74">
        <v>61.88</v>
      </c>
      <c r="AJ74">
        <v>177.19</v>
      </c>
      <c r="AK74">
        <v>79.89</v>
      </c>
      <c r="AL74" t="s">
        <v>14</v>
      </c>
      <c r="AM74" t="s">
        <v>15</v>
      </c>
      <c r="AN74" t="str">
        <f t="shared" si="4"/>
        <v>Evening</v>
      </c>
      <c r="AO74" t="str">
        <f t="shared" si="5"/>
        <v>Off-Peak</v>
      </c>
      <c r="AP74" t="str">
        <f t="shared" si="6"/>
        <v>Medium</v>
      </c>
      <c r="AQ74" t="str">
        <f t="shared" si="7"/>
        <v>Medium</v>
      </c>
    </row>
    <row r="75" spans="1:43" x14ac:dyDescent="0.3">
      <c r="A75">
        <v>74</v>
      </c>
      <c r="B75" t="s">
        <v>7</v>
      </c>
      <c r="C75" t="s">
        <v>8</v>
      </c>
      <c r="D75" s="1">
        <v>46076</v>
      </c>
      <c r="E75" t="s">
        <v>38</v>
      </c>
      <c r="F75">
        <v>0</v>
      </c>
      <c r="G75">
        <v>7</v>
      </c>
      <c r="H75" t="s">
        <v>49</v>
      </c>
      <c r="I75" t="s">
        <v>37</v>
      </c>
      <c r="J75">
        <v>1.02</v>
      </c>
      <c r="K75" t="s">
        <v>12</v>
      </c>
      <c r="L75">
        <v>0</v>
      </c>
      <c r="M75">
        <v>2.56</v>
      </c>
      <c r="N75">
        <v>29</v>
      </c>
      <c r="O75" t="s">
        <v>22</v>
      </c>
      <c r="P75">
        <v>15</v>
      </c>
      <c r="Q75">
        <v>6.09</v>
      </c>
      <c r="R75">
        <v>48.9</v>
      </c>
      <c r="S75">
        <v>106.74</v>
      </c>
      <c r="T75">
        <v>18.45</v>
      </c>
      <c r="U75">
        <v>1</v>
      </c>
      <c r="V75">
        <v>0</v>
      </c>
      <c r="W75">
        <v>125.19</v>
      </c>
      <c r="X75">
        <v>43.2</v>
      </c>
      <c r="Y75">
        <v>104.91</v>
      </c>
      <c r="Z75">
        <v>14.8</v>
      </c>
      <c r="AA75">
        <v>11.68</v>
      </c>
      <c r="AB75">
        <v>98.71</v>
      </c>
      <c r="AC75">
        <v>121.11656441717791</v>
      </c>
      <c r="AD75">
        <v>16.208538587848931</v>
      </c>
      <c r="AE75">
        <v>86.55</v>
      </c>
      <c r="AF75">
        <v>15.59</v>
      </c>
      <c r="AG75">
        <v>0</v>
      </c>
      <c r="AH75">
        <v>-18.88</v>
      </c>
      <c r="AI75">
        <v>10.119999999999999</v>
      </c>
      <c r="AJ75">
        <v>107.17</v>
      </c>
      <c r="AK75">
        <v>67.209999999999994</v>
      </c>
      <c r="AL75" t="s">
        <v>14</v>
      </c>
      <c r="AM75" t="s">
        <v>15</v>
      </c>
      <c r="AN75" t="str">
        <f t="shared" si="4"/>
        <v>Morning</v>
      </c>
      <c r="AO75" t="str">
        <f t="shared" si="5"/>
        <v>Peak</v>
      </c>
      <c r="AP75" t="str">
        <f t="shared" si="6"/>
        <v>Low</v>
      </c>
      <c r="AQ75" t="str">
        <f t="shared" si="7"/>
        <v>Low</v>
      </c>
    </row>
    <row r="76" spans="1:43" x14ac:dyDescent="0.3">
      <c r="A76">
        <v>75</v>
      </c>
      <c r="B76" t="s">
        <v>25</v>
      </c>
      <c r="C76" t="s">
        <v>17</v>
      </c>
      <c r="D76" s="1">
        <v>46049</v>
      </c>
      <c r="E76" t="s">
        <v>44</v>
      </c>
      <c r="F76">
        <v>0</v>
      </c>
      <c r="G76">
        <v>17</v>
      </c>
      <c r="H76" t="s">
        <v>40</v>
      </c>
      <c r="I76" t="s">
        <v>33</v>
      </c>
      <c r="J76">
        <v>1</v>
      </c>
      <c r="K76" t="s">
        <v>12</v>
      </c>
      <c r="L76">
        <v>0</v>
      </c>
      <c r="M76">
        <v>4.0599999999999996</v>
      </c>
      <c r="N76">
        <v>46</v>
      </c>
      <c r="O76" t="s">
        <v>35</v>
      </c>
      <c r="P76">
        <v>12</v>
      </c>
      <c r="Q76">
        <v>1.4</v>
      </c>
      <c r="R76">
        <v>29</v>
      </c>
      <c r="S76">
        <v>68.95</v>
      </c>
      <c r="T76">
        <v>59.4</v>
      </c>
      <c r="U76">
        <v>1.34</v>
      </c>
      <c r="V76">
        <v>23.44</v>
      </c>
      <c r="W76">
        <v>151.79</v>
      </c>
      <c r="X76">
        <v>49.6</v>
      </c>
      <c r="Y76">
        <v>101.38</v>
      </c>
      <c r="Z76">
        <v>2.85</v>
      </c>
      <c r="AA76">
        <v>4.8099999999999996</v>
      </c>
      <c r="AB76">
        <v>144.13</v>
      </c>
      <c r="AC76">
        <v>298.2</v>
      </c>
      <c r="AD76">
        <v>102.95</v>
      </c>
      <c r="AE76">
        <v>85.73</v>
      </c>
      <c r="AF76">
        <v>15.6</v>
      </c>
      <c r="AG76">
        <v>1</v>
      </c>
      <c r="AH76">
        <v>-1.17</v>
      </c>
      <c r="AI76">
        <v>44.83</v>
      </c>
      <c r="AJ76">
        <v>299.73</v>
      </c>
      <c r="AK76">
        <v>65.95</v>
      </c>
      <c r="AL76" t="s">
        <v>23</v>
      </c>
      <c r="AM76" t="s">
        <v>24</v>
      </c>
      <c r="AN76" t="str">
        <f t="shared" si="4"/>
        <v>Evening</v>
      </c>
      <c r="AO76" t="str">
        <f t="shared" si="5"/>
        <v>Peak</v>
      </c>
      <c r="AP76" t="str">
        <f t="shared" si="6"/>
        <v>High</v>
      </c>
      <c r="AQ76" t="str">
        <f t="shared" si="7"/>
        <v>Medium</v>
      </c>
    </row>
    <row r="77" spans="1:43" x14ac:dyDescent="0.3">
      <c r="A77">
        <v>76</v>
      </c>
      <c r="B77" t="s">
        <v>29</v>
      </c>
      <c r="C77" t="s">
        <v>30</v>
      </c>
      <c r="D77" s="1">
        <v>46132</v>
      </c>
      <c r="E77" t="s">
        <v>38</v>
      </c>
      <c r="F77">
        <v>0</v>
      </c>
      <c r="G77">
        <v>13</v>
      </c>
      <c r="H77" t="s">
        <v>43</v>
      </c>
      <c r="I77" t="s">
        <v>33</v>
      </c>
      <c r="J77">
        <v>1</v>
      </c>
      <c r="K77" t="s">
        <v>12</v>
      </c>
      <c r="L77">
        <v>0</v>
      </c>
      <c r="M77">
        <v>4.08</v>
      </c>
      <c r="N77">
        <v>5</v>
      </c>
      <c r="O77" t="s">
        <v>22</v>
      </c>
      <c r="P77">
        <v>1</v>
      </c>
      <c r="Q77">
        <v>1.5</v>
      </c>
      <c r="R77">
        <v>35.700000000000003</v>
      </c>
      <c r="S77">
        <v>71.16</v>
      </c>
      <c r="T77">
        <v>5.5</v>
      </c>
      <c r="U77">
        <v>1</v>
      </c>
      <c r="V77">
        <v>0</v>
      </c>
      <c r="W77">
        <v>76.66</v>
      </c>
      <c r="X77">
        <v>44.8</v>
      </c>
      <c r="Y77">
        <v>103.19</v>
      </c>
      <c r="Z77">
        <v>3.45</v>
      </c>
      <c r="AA77">
        <v>8.51</v>
      </c>
      <c r="AB77">
        <v>64.7</v>
      </c>
      <c r="AC77">
        <v>108.73949579831931</v>
      </c>
      <c r="AD77">
        <v>43.133333333333333</v>
      </c>
      <c r="AE77">
        <v>72.17</v>
      </c>
      <c r="AF77">
        <v>19.78</v>
      </c>
      <c r="AG77">
        <v>0</v>
      </c>
      <c r="AH77">
        <v>4.6900000000000004</v>
      </c>
      <c r="AI77">
        <v>9.69</v>
      </c>
      <c r="AJ77">
        <v>114.53</v>
      </c>
      <c r="AK77">
        <v>61.26</v>
      </c>
      <c r="AL77" t="s">
        <v>14</v>
      </c>
      <c r="AM77" t="s">
        <v>15</v>
      </c>
      <c r="AN77" t="str">
        <f t="shared" si="4"/>
        <v>Afternoon</v>
      </c>
      <c r="AO77" t="str">
        <f t="shared" si="5"/>
        <v>Off-Peak</v>
      </c>
      <c r="AP77" t="str">
        <f t="shared" si="6"/>
        <v>Low</v>
      </c>
      <c r="AQ77" t="str">
        <f t="shared" si="7"/>
        <v>Low</v>
      </c>
    </row>
    <row r="78" spans="1:43" x14ac:dyDescent="0.3">
      <c r="A78">
        <v>77</v>
      </c>
      <c r="B78" t="s">
        <v>48</v>
      </c>
      <c r="C78" t="s">
        <v>30</v>
      </c>
      <c r="D78" s="1">
        <v>46157</v>
      </c>
      <c r="E78" t="s">
        <v>9</v>
      </c>
      <c r="F78">
        <v>0</v>
      </c>
      <c r="G78">
        <v>12</v>
      </c>
      <c r="H78" t="s">
        <v>43</v>
      </c>
      <c r="I78" t="s">
        <v>37</v>
      </c>
      <c r="J78">
        <v>1.02</v>
      </c>
      <c r="K78" t="s">
        <v>12</v>
      </c>
      <c r="L78">
        <v>0</v>
      </c>
      <c r="M78">
        <v>4.4400000000000004</v>
      </c>
      <c r="N78">
        <v>31</v>
      </c>
      <c r="O78" t="s">
        <v>22</v>
      </c>
      <c r="P78">
        <v>6</v>
      </c>
      <c r="Q78">
        <v>6.71</v>
      </c>
      <c r="R78">
        <v>55.1</v>
      </c>
      <c r="S78">
        <v>90.9</v>
      </c>
      <c r="T78">
        <v>30.29</v>
      </c>
      <c r="U78">
        <v>1</v>
      </c>
      <c r="V78">
        <v>0</v>
      </c>
      <c r="W78">
        <v>121.19</v>
      </c>
      <c r="X78">
        <v>43.8</v>
      </c>
      <c r="Y78">
        <v>108.4</v>
      </c>
      <c r="Z78">
        <v>16.59</v>
      </c>
      <c r="AA78">
        <v>10.6</v>
      </c>
      <c r="AB78">
        <v>94</v>
      </c>
      <c r="AC78">
        <v>102.35934664246824</v>
      </c>
      <c r="AD78">
        <v>14.008941877794337</v>
      </c>
      <c r="AE78">
        <v>67.77</v>
      </c>
      <c r="AF78">
        <v>15.85</v>
      </c>
      <c r="AG78">
        <v>0</v>
      </c>
      <c r="AH78">
        <v>1.36</v>
      </c>
      <c r="AI78">
        <v>32.36</v>
      </c>
      <c r="AJ78">
        <v>99.9</v>
      </c>
      <c r="AK78">
        <v>73.540000000000006</v>
      </c>
      <c r="AL78" t="s">
        <v>14</v>
      </c>
      <c r="AM78" t="s">
        <v>15</v>
      </c>
      <c r="AN78" t="str">
        <f t="shared" si="4"/>
        <v>Afternoon</v>
      </c>
      <c r="AO78" t="str">
        <f t="shared" si="5"/>
        <v>Off-Peak</v>
      </c>
      <c r="AP78" t="str">
        <f t="shared" si="6"/>
        <v>Low</v>
      </c>
      <c r="AQ78" t="str">
        <f t="shared" si="7"/>
        <v>Low</v>
      </c>
    </row>
    <row r="79" spans="1:43" x14ac:dyDescent="0.3">
      <c r="A79">
        <v>78</v>
      </c>
      <c r="B79" t="s">
        <v>14</v>
      </c>
      <c r="C79" t="s">
        <v>8</v>
      </c>
      <c r="D79" s="1">
        <v>46068</v>
      </c>
      <c r="E79" t="s">
        <v>26</v>
      </c>
      <c r="F79">
        <v>1</v>
      </c>
      <c r="G79">
        <v>19</v>
      </c>
      <c r="H79" t="s">
        <v>51</v>
      </c>
      <c r="I79" t="s">
        <v>33</v>
      </c>
      <c r="J79">
        <v>1</v>
      </c>
      <c r="K79" t="s">
        <v>12</v>
      </c>
      <c r="L79">
        <v>0</v>
      </c>
      <c r="M79">
        <v>4.46</v>
      </c>
      <c r="N79">
        <v>86</v>
      </c>
      <c r="O79" t="s">
        <v>13</v>
      </c>
      <c r="P79">
        <v>26</v>
      </c>
      <c r="Q79">
        <v>4.12</v>
      </c>
      <c r="R79">
        <v>49.5</v>
      </c>
      <c r="S79">
        <v>80.19</v>
      </c>
      <c r="T79">
        <v>100</v>
      </c>
      <c r="U79">
        <v>1</v>
      </c>
      <c r="V79">
        <v>0</v>
      </c>
      <c r="W79">
        <v>180.19</v>
      </c>
      <c r="X79">
        <v>35.299999999999997</v>
      </c>
      <c r="Y79">
        <v>109.49</v>
      </c>
      <c r="Z79">
        <v>12.81</v>
      </c>
      <c r="AA79">
        <v>11.88</v>
      </c>
      <c r="AB79">
        <v>155.5</v>
      </c>
      <c r="AC79">
        <v>188.4848484848485</v>
      </c>
      <c r="AD79">
        <v>37.742718446601941</v>
      </c>
      <c r="AE79">
        <v>78.95</v>
      </c>
      <c r="AF79">
        <v>16.93</v>
      </c>
      <c r="AG79">
        <v>1</v>
      </c>
      <c r="AH79">
        <v>11.97</v>
      </c>
      <c r="AI79">
        <v>97.97</v>
      </c>
      <c r="AJ79">
        <v>183.23</v>
      </c>
      <c r="AK79">
        <v>75.58</v>
      </c>
      <c r="AL79" t="s">
        <v>14</v>
      </c>
      <c r="AM79" t="s">
        <v>15</v>
      </c>
      <c r="AN79" t="str">
        <f t="shared" si="4"/>
        <v>Night</v>
      </c>
      <c r="AO79" t="str">
        <f t="shared" si="5"/>
        <v>Peak</v>
      </c>
      <c r="AP79" t="str">
        <f t="shared" si="6"/>
        <v>Medium</v>
      </c>
      <c r="AQ79" t="str">
        <f t="shared" si="7"/>
        <v>High</v>
      </c>
    </row>
    <row r="80" spans="1:43" x14ac:dyDescent="0.3">
      <c r="A80">
        <v>79</v>
      </c>
      <c r="B80" t="s">
        <v>29</v>
      </c>
      <c r="C80" t="s">
        <v>30</v>
      </c>
      <c r="D80" s="1">
        <v>46043</v>
      </c>
      <c r="E80" t="s">
        <v>18</v>
      </c>
      <c r="F80">
        <v>0</v>
      </c>
      <c r="G80">
        <v>15</v>
      </c>
      <c r="H80" t="s">
        <v>43</v>
      </c>
      <c r="I80" t="s">
        <v>45</v>
      </c>
      <c r="J80">
        <v>1</v>
      </c>
      <c r="K80" t="s">
        <v>12</v>
      </c>
      <c r="L80">
        <v>0</v>
      </c>
      <c r="M80">
        <v>2.7</v>
      </c>
      <c r="N80">
        <v>36</v>
      </c>
      <c r="O80" t="s">
        <v>35</v>
      </c>
      <c r="P80">
        <v>11</v>
      </c>
      <c r="Q80">
        <v>13.53</v>
      </c>
      <c r="R80">
        <v>81.8</v>
      </c>
      <c r="S80">
        <v>173.11</v>
      </c>
      <c r="T80">
        <v>24.47</v>
      </c>
      <c r="U80">
        <v>1</v>
      </c>
      <c r="V80">
        <v>0</v>
      </c>
      <c r="W80">
        <v>197.58</v>
      </c>
      <c r="X80">
        <v>38</v>
      </c>
      <c r="Y80">
        <v>108.22</v>
      </c>
      <c r="Z80">
        <v>38.54</v>
      </c>
      <c r="AA80">
        <v>2.71</v>
      </c>
      <c r="AB80">
        <v>156.33000000000001</v>
      </c>
      <c r="AC80">
        <v>114.6674816625917</v>
      </c>
      <c r="AD80">
        <v>11.554323725055434</v>
      </c>
      <c r="AE80">
        <v>85.93</v>
      </c>
      <c r="AF80">
        <v>15.22</v>
      </c>
      <c r="AG80">
        <v>0</v>
      </c>
      <c r="AH80">
        <v>-18.809999999999999</v>
      </c>
      <c r="AI80">
        <v>17.190000000000001</v>
      </c>
      <c r="AJ80">
        <v>104.64</v>
      </c>
      <c r="AK80">
        <v>63.81</v>
      </c>
      <c r="AL80" t="s">
        <v>14</v>
      </c>
      <c r="AM80" t="s">
        <v>15</v>
      </c>
      <c r="AN80" t="str">
        <f t="shared" si="4"/>
        <v>Evening</v>
      </c>
      <c r="AO80" t="str">
        <f t="shared" si="5"/>
        <v>Off-Peak</v>
      </c>
      <c r="AP80" t="str">
        <f t="shared" si="6"/>
        <v>Low</v>
      </c>
      <c r="AQ80" t="str">
        <f t="shared" si="7"/>
        <v>Medium</v>
      </c>
    </row>
    <row r="81" spans="1:43" x14ac:dyDescent="0.3">
      <c r="A81">
        <v>80</v>
      </c>
      <c r="B81" t="s">
        <v>25</v>
      </c>
      <c r="C81" t="s">
        <v>17</v>
      </c>
      <c r="D81" s="1">
        <v>46057</v>
      </c>
      <c r="E81" t="s">
        <v>18</v>
      </c>
      <c r="F81">
        <v>0</v>
      </c>
      <c r="G81">
        <v>18</v>
      </c>
      <c r="H81" t="s">
        <v>40</v>
      </c>
      <c r="I81" t="s">
        <v>11</v>
      </c>
      <c r="J81">
        <v>1.18</v>
      </c>
      <c r="K81" t="s">
        <v>34</v>
      </c>
      <c r="L81">
        <v>1</v>
      </c>
      <c r="M81">
        <v>5</v>
      </c>
      <c r="N81">
        <v>78</v>
      </c>
      <c r="O81" t="s">
        <v>13</v>
      </c>
      <c r="P81">
        <v>12</v>
      </c>
      <c r="Q81">
        <v>13.5</v>
      </c>
      <c r="R81">
        <v>90.2</v>
      </c>
      <c r="S81">
        <v>211.24</v>
      </c>
      <c r="T81">
        <v>76.13</v>
      </c>
      <c r="U81">
        <v>1.41</v>
      </c>
      <c r="V81">
        <v>86.61</v>
      </c>
      <c r="W81">
        <v>373.98</v>
      </c>
      <c r="X81">
        <v>35.4</v>
      </c>
      <c r="Y81">
        <v>100.01</v>
      </c>
      <c r="Z81">
        <v>38.15</v>
      </c>
      <c r="AA81">
        <v>7.04</v>
      </c>
      <c r="AB81">
        <v>328.79</v>
      </c>
      <c r="AC81">
        <v>218.70731707317074</v>
      </c>
      <c r="AD81">
        <v>24.354814814814816</v>
      </c>
      <c r="AE81">
        <v>75.040000000000006</v>
      </c>
      <c r="AF81">
        <v>17.97</v>
      </c>
      <c r="AG81">
        <v>1</v>
      </c>
      <c r="AH81">
        <v>0.27</v>
      </c>
      <c r="AI81">
        <v>78.27</v>
      </c>
      <c r="AJ81">
        <v>225.49</v>
      </c>
      <c r="AK81">
        <v>83.91</v>
      </c>
      <c r="AL81" t="s">
        <v>23</v>
      </c>
      <c r="AM81" t="s">
        <v>24</v>
      </c>
      <c r="AN81" t="str">
        <f t="shared" si="4"/>
        <v>Night</v>
      </c>
      <c r="AO81" t="str">
        <f t="shared" si="5"/>
        <v>Peak</v>
      </c>
      <c r="AP81" t="str">
        <f t="shared" si="6"/>
        <v>Medium</v>
      </c>
      <c r="AQ81" t="str">
        <f t="shared" si="7"/>
        <v>High</v>
      </c>
    </row>
    <row r="82" spans="1:43" x14ac:dyDescent="0.3">
      <c r="A82">
        <v>81</v>
      </c>
      <c r="B82" t="s">
        <v>23</v>
      </c>
      <c r="C82" t="s">
        <v>17</v>
      </c>
      <c r="D82" s="1">
        <v>46191</v>
      </c>
      <c r="E82" t="s">
        <v>41</v>
      </c>
      <c r="F82">
        <v>0</v>
      </c>
      <c r="G82">
        <v>18</v>
      </c>
      <c r="H82" t="s">
        <v>40</v>
      </c>
      <c r="I82" t="s">
        <v>33</v>
      </c>
      <c r="J82">
        <v>1</v>
      </c>
      <c r="K82" t="s">
        <v>12</v>
      </c>
      <c r="L82">
        <v>0</v>
      </c>
      <c r="M82">
        <v>3.76</v>
      </c>
      <c r="N82">
        <v>71</v>
      </c>
      <c r="O82" t="s">
        <v>13</v>
      </c>
      <c r="P82">
        <v>14</v>
      </c>
      <c r="Q82">
        <v>1.96</v>
      </c>
      <c r="R82">
        <v>30</v>
      </c>
      <c r="S82">
        <v>80.209999999999994</v>
      </c>
      <c r="T82">
        <v>77.89</v>
      </c>
      <c r="U82">
        <v>1.2</v>
      </c>
      <c r="V82">
        <v>16.04</v>
      </c>
      <c r="W82">
        <v>174.14</v>
      </c>
      <c r="X82">
        <v>40</v>
      </c>
      <c r="Y82">
        <v>105.68</v>
      </c>
      <c r="Z82">
        <v>5.18</v>
      </c>
      <c r="AA82">
        <v>10.74</v>
      </c>
      <c r="AB82">
        <v>158.22</v>
      </c>
      <c r="AC82">
        <v>316.44</v>
      </c>
      <c r="AD82">
        <v>80.724489795918373</v>
      </c>
      <c r="AE82">
        <v>63.16</v>
      </c>
      <c r="AF82">
        <v>17.52</v>
      </c>
      <c r="AG82">
        <v>1</v>
      </c>
      <c r="AH82">
        <v>32.92</v>
      </c>
      <c r="AI82">
        <v>103.92</v>
      </c>
      <c r="AJ82">
        <v>309.54000000000002</v>
      </c>
      <c r="AK82">
        <v>61.95</v>
      </c>
      <c r="AL82" t="s">
        <v>23</v>
      </c>
      <c r="AM82" t="s">
        <v>24</v>
      </c>
      <c r="AN82" t="str">
        <f t="shared" si="4"/>
        <v>Night</v>
      </c>
      <c r="AO82" t="str">
        <f t="shared" si="5"/>
        <v>Peak</v>
      </c>
      <c r="AP82" t="str">
        <f t="shared" si="6"/>
        <v>High</v>
      </c>
      <c r="AQ82" t="str">
        <f t="shared" si="7"/>
        <v>High</v>
      </c>
    </row>
    <row r="83" spans="1:43" x14ac:dyDescent="0.3">
      <c r="A83">
        <v>82</v>
      </c>
      <c r="B83" t="s">
        <v>29</v>
      </c>
      <c r="C83" t="s">
        <v>30</v>
      </c>
      <c r="D83" s="1">
        <v>46244</v>
      </c>
      <c r="E83" t="s">
        <v>38</v>
      </c>
      <c r="F83">
        <v>0</v>
      </c>
      <c r="G83">
        <v>7</v>
      </c>
      <c r="H83" t="s">
        <v>47</v>
      </c>
      <c r="I83" t="s">
        <v>33</v>
      </c>
      <c r="J83">
        <v>1</v>
      </c>
      <c r="K83" t="s">
        <v>12</v>
      </c>
      <c r="L83">
        <v>0</v>
      </c>
      <c r="M83">
        <v>2.54</v>
      </c>
      <c r="N83">
        <v>32</v>
      </c>
      <c r="O83" t="s">
        <v>22</v>
      </c>
      <c r="P83">
        <v>11</v>
      </c>
      <c r="Q83">
        <v>5.04</v>
      </c>
      <c r="R83">
        <v>42</v>
      </c>
      <c r="S83">
        <v>97.7</v>
      </c>
      <c r="T83">
        <v>32.35</v>
      </c>
      <c r="U83">
        <v>1</v>
      </c>
      <c r="V83">
        <v>0</v>
      </c>
      <c r="W83">
        <v>130.05000000000001</v>
      </c>
      <c r="X83">
        <v>40.200000000000003</v>
      </c>
      <c r="Y83">
        <v>101.67</v>
      </c>
      <c r="Z83">
        <v>12.77</v>
      </c>
      <c r="AA83">
        <v>2.0299999999999998</v>
      </c>
      <c r="AB83">
        <v>115.25</v>
      </c>
      <c r="AC83">
        <v>164.64285714285717</v>
      </c>
      <c r="AD83">
        <v>22.86706349206349</v>
      </c>
      <c r="AE83">
        <v>71.680000000000007</v>
      </c>
      <c r="AF83">
        <v>13.78</v>
      </c>
      <c r="AG83">
        <v>0</v>
      </c>
      <c r="AH83">
        <v>17.93</v>
      </c>
      <c r="AI83">
        <v>49.93</v>
      </c>
      <c r="AJ83">
        <v>153.88999999999999</v>
      </c>
      <c r="AK83">
        <v>63.81</v>
      </c>
      <c r="AL83" t="s">
        <v>23</v>
      </c>
      <c r="AM83" t="s">
        <v>24</v>
      </c>
      <c r="AN83" t="str">
        <f t="shared" si="4"/>
        <v>Morning</v>
      </c>
      <c r="AO83" t="str">
        <f t="shared" si="5"/>
        <v>Peak</v>
      </c>
      <c r="AP83" t="str">
        <f t="shared" si="6"/>
        <v>Medium</v>
      </c>
      <c r="AQ83" t="str">
        <f t="shared" si="7"/>
        <v>Low</v>
      </c>
    </row>
    <row r="84" spans="1:43" x14ac:dyDescent="0.3">
      <c r="A84">
        <v>83</v>
      </c>
      <c r="B84" t="s">
        <v>14</v>
      </c>
      <c r="C84" t="s">
        <v>8</v>
      </c>
      <c r="D84" s="1">
        <v>46069</v>
      </c>
      <c r="E84" t="s">
        <v>38</v>
      </c>
      <c r="F84">
        <v>0</v>
      </c>
      <c r="G84">
        <v>10</v>
      </c>
      <c r="H84" t="s">
        <v>49</v>
      </c>
      <c r="I84" t="s">
        <v>50</v>
      </c>
      <c r="J84">
        <v>1.2</v>
      </c>
      <c r="K84" t="s">
        <v>12</v>
      </c>
      <c r="L84">
        <v>0</v>
      </c>
      <c r="M84">
        <v>1.58</v>
      </c>
      <c r="N84">
        <v>21</v>
      </c>
      <c r="O84" t="s">
        <v>22</v>
      </c>
      <c r="P84">
        <v>8</v>
      </c>
      <c r="Q84">
        <v>1.52</v>
      </c>
      <c r="R84">
        <v>27.1</v>
      </c>
      <c r="S84">
        <v>50.13</v>
      </c>
      <c r="T84">
        <v>12.64</v>
      </c>
      <c r="U84">
        <v>1</v>
      </c>
      <c r="V84">
        <v>0</v>
      </c>
      <c r="W84">
        <v>62.77</v>
      </c>
      <c r="X84">
        <v>43</v>
      </c>
      <c r="Y84">
        <v>103.76</v>
      </c>
      <c r="Z84">
        <v>3.67</v>
      </c>
      <c r="AA84">
        <v>6.37</v>
      </c>
      <c r="AB84">
        <v>52.73</v>
      </c>
      <c r="AC84">
        <v>116.74538745387451</v>
      </c>
      <c r="AD84">
        <v>34.690789473684205</v>
      </c>
      <c r="AE84">
        <v>71.45</v>
      </c>
      <c r="AF84">
        <v>12.31</v>
      </c>
      <c r="AG84">
        <v>0</v>
      </c>
      <c r="AH84">
        <v>12.24</v>
      </c>
      <c r="AI84">
        <v>33.24</v>
      </c>
      <c r="AJ84">
        <v>126.34</v>
      </c>
      <c r="AK84">
        <v>63.67</v>
      </c>
      <c r="AL84" t="s">
        <v>14</v>
      </c>
      <c r="AM84" t="s">
        <v>15</v>
      </c>
      <c r="AN84" t="str">
        <f t="shared" si="4"/>
        <v>Morning</v>
      </c>
      <c r="AO84" t="str">
        <f t="shared" si="5"/>
        <v>Peak</v>
      </c>
      <c r="AP84" t="str">
        <f t="shared" si="6"/>
        <v>Low</v>
      </c>
      <c r="AQ84" t="str">
        <f t="shared" si="7"/>
        <v>Low</v>
      </c>
    </row>
    <row r="85" spans="1:43" x14ac:dyDescent="0.3">
      <c r="A85">
        <v>84</v>
      </c>
      <c r="B85" t="s">
        <v>16</v>
      </c>
      <c r="C85" t="s">
        <v>17</v>
      </c>
      <c r="D85" s="1">
        <v>46105</v>
      </c>
      <c r="E85" t="s">
        <v>44</v>
      </c>
      <c r="F85">
        <v>0</v>
      </c>
      <c r="G85">
        <v>16</v>
      </c>
      <c r="H85" t="s">
        <v>19</v>
      </c>
      <c r="I85" t="s">
        <v>11</v>
      </c>
      <c r="J85">
        <v>1.18</v>
      </c>
      <c r="K85" t="s">
        <v>12</v>
      </c>
      <c r="L85">
        <v>0</v>
      </c>
      <c r="M85">
        <v>4.12</v>
      </c>
      <c r="N85">
        <v>21</v>
      </c>
      <c r="O85" t="s">
        <v>22</v>
      </c>
      <c r="P85">
        <v>4</v>
      </c>
      <c r="Q85">
        <v>6.63</v>
      </c>
      <c r="R85">
        <v>54</v>
      </c>
      <c r="S85">
        <v>135.44999999999999</v>
      </c>
      <c r="T85">
        <v>31.8</v>
      </c>
      <c r="U85">
        <v>1.1000000000000001</v>
      </c>
      <c r="V85">
        <v>13.55</v>
      </c>
      <c r="W85">
        <v>180.8</v>
      </c>
      <c r="X85">
        <v>45.3</v>
      </c>
      <c r="Y85">
        <v>104.28</v>
      </c>
      <c r="Z85">
        <v>15.25</v>
      </c>
      <c r="AA85">
        <v>7.84</v>
      </c>
      <c r="AB85">
        <v>157.71</v>
      </c>
      <c r="AC85">
        <v>175.23333333333335</v>
      </c>
      <c r="AD85">
        <v>23.787330316742082</v>
      </c>
      <c r="AE85">
        <v>59.11</v>
      </c>
      <c r="AF85">
        <v>14.06</v>
      </c>
      <c r="AG85">
        <v>0</v>
      </c>
      <c r="AH85">
        <v>8.86</v>
      </c>
      <c r="AI85">
        <v>29.86</v>
      </c>
      <c r="AJ85">
        <v>171.66</v>
      </c>
      <c r="AK85">
        <v>69.650000000000006</v>
      </c>
      <c r="AL85" t="s">
        <v>23</v>
      </c>
      <c r="AM85" t="s">
        <v>24</v>
      </c>
      <c r="AN85" t="str">
        <f t="shared" si="4"/>
        <v>Evening</v>
      </c>
      <c r="AO85" t="str">
        <f t="shared" si="5"/>
        <v>Off-Peak</v>
      </c>
      <c r="AP85" t="str">
        <f t="shared" si="6"/>
        <v>Medium</v>
      </c>
      <c r="AQ85" t="str">
        <f t="shared" si="7"/>
        <v>Low</v>
      </c>
    </row>
    <row r="86" spans="1:43" x14ac:dyDescent="0.3">
      <c r="A86">
        <v>85</v>
      </c>
      <c r="B86" t="s">
        <v>25</v>
      </c>
      <c r="C86" t="s">
        <v>17</v>
      </c>
      <c r="D86" s="1">
        <v>46111</v>
      </c>
      <c r="E86" t="s">
        <v>38</v>
      </c>
      <c r="F86">
        <v>0</v>
      </c>
      <c r="G86">
        <v>22</v>
      </c>
      <c r="H86" t="s">
        <v>19</v>
      </c>
      <c r="I86" t="s">
        <v>50</v>
      </c>
      <c r="J86">
        <v>1.2</v>
      </c>
      <c r="K86" t="s">
        <v>21</v>
      </c>
      <c r="L86">
        <v>0</v>
      </c>
      <c r="M86">
        <v>3.77</v>
      </c>
      <c r="N86">
        <v>27</v>
      </c>
      <c r="O86" t="s">
        <v>22</v>
      </c>
      <c r="P86">
        <v>3</v>
      </c>
      <c r="Q86">
        <v>11.96</v>
      </c>
      <c r="R86">
        <v>79.599999999999994</v>
      </c>
      <c r="S86">
        <v>196.99</v>
      </c>
      <c r="T86">
        <v>25.12</v>
      </c>
      <c r="U86">
        <v>1.03</v>
      </c>
      <c r="V86">
        <v>5.91</v>
      </c>
      <c r="W86">
        <v>228.02</v>
      </c>
      <c r="X86">
        <v>37.700000000000003</v>
      </c>
      <c r="Y86">
        <v>109.43</v>
      </c>
      <c r="Z86">
        <v>34.72</v>
      </c>
      <c r="AA86">
        <v>7.26</v>
      </c>
      <c r="AB86">
        <v>186.04</v>
      </c>
      <c r="AC86">
        <v>140.23115577889448</v>
      </c>
      <c r="AD86">
        <v>15.555183946488292</v>
      </c>
      <c r="AE86">
        <v>76.02</v>
      </c>
      <c r="AF86">
        <v>12.68</v>
      </c>
      <c r="AG86">
        <v>0</v>
      </c>
      <c r="AH86">
        <v>-2.48</v>
      </c>
      <c r="AI86">
        <v>24.52</v>
      </c>
      <c r="AJ86">
        <v>113.99</v>
      </c>
      <c r="AK86">
        <v>64.180000000000007</v>
      </c>
      <c r="AL86" t="s">
        <v>23</v>
      </c>
      <c r="AM86" t="s">
        <v>24</v>
      </c>
      <c r="AN86" t="str">
        <f t="shared" si="4"/>
        <v>Night</v>
      </c>
      <c r="AO86" t="str">
        <f t="shared" si="5"/>
        <v>Off-Peak</v>
      </c>
      <c r="AP86" t="str">
        <f t="shared" si="6"/>
        <v>Low</v>
      </c>
      <c r="AQ86" t="str">
        <f t="shared" si="7"/>
        <v>Low</v>
      </c>
    </row>
    <row r="87" spans="1:43" x14ac:dyDescent="0.3">
      <c r="A87">
        <v>86</v>
      </c>
      <c r="B87" t="s">
        <v>25</v>
      </c>
      <c r="C87" t="s">
        <v>17</v>
      </c>
      <c r="D87" s="1">
        <v>46116</v>
      </c>
      <c r="E87" t="s">
        <v>31</v>
      </c>
      <c r="F87">
        <v>1</v>
      </c>
      <c r="G87">
        <v>9</v>
      </c>
      <c r="H87" t="s">
        <v>27</v>
      </c>
      <c r="I87" t="s">
        <v>45</v>
      </c>
      <c r="J87">
        <v>1</v>
      </c>
      <c r="K87" t="s">
        <v>12</v>
      </c>
      <c r="L87">
        <v>0</v>
      </c>
      <c r="M87">
        <v>5</v>
      </c>
      <c r="N87">
        <v>94</v>
      </c>
      <c r="O87" t="s">
        <v>13</v>
      </c>
      <c r="P87">
        <v>15</v>
      </c>
      <c r="Q87">
        <v>4.5599999999999996</v>
      </c>
      <c r="R87">
        <v>48.8</v>
      </c>
      <c r="S87">
        <v>128.22</v>
      </c>
      <c r="T87">
        <v>100</v>
      </c>
      <c r="U87">
        <v>1.24</v>
      </c>
      <c r="V87">
        <v>30.77</v>
      </c>
      <c r="W87">
        <v>258.99</v>
      </c>
      <c r="X87">
        <v>44</v>
      </c>
      <c r="Y87">
        <v>106.34</v>
      </c>
      <c r="Z87">
        <v>11.02</v>
      </c>
      <c r="AA87">
        <v>9.33</v>
      </c>
      <c r="AB87">
        <v>238.64</v>
      </c>
      <c r="AC87">
        <v>293.40983606557381</v>
      </c>
      <c r="AD87">
        <v>52.333333333333336</v>
      </c>
      <c r="AE87">
        <v>83.57</v>
      </c>
      <c r="AF87">
        <v>15.86</v>
      </c>
      <c r="AG87">
        <v>1</v>
      </c>
      <c r="AH87">
        <v>-23.31</v>
      </c>
      <c r="AI87">
        <v>70.69</v>
      </c>
      <c r="AJ87">
        <v>317.01</v>
      </c>
      <c r="AK87">
        <v>70.790000000000006</v>
      </c>
      <c r="AL87" t="s">
        <v>23</v>
      </c>
      <c r="AM87" t="s">
        <v>24</v>
      </c>
      <c r="AN87" t="str">
        <f t="shared" si="4"/>
        <v>Morning</v>
      </c>
      <c r="AO87" t="str">
        <f t="shared" si="5"/>
        <v>Peak</v>
      </c>
      <c r="AP87" t="str">
        <f t="shared" si="6"/>
        <v>High</v>
      </c>
      <c r="AQ87" t="str">
        <f t="shared" si="7"/>
        <v>High</v>
      </c>
    </row>
    <row r="88" spans="1:43" x14ac:dyDescent="0.3">
      <c r="A88">
        <v>87</v>
      </c>
      <c r="B88" t="s">
        <v>7</v>
      </c>
      <c r="C88" t="s">
        <v>8</v>
      </c>
      <c r="D88" s="1">
        <v>46086</v>
      </c>
      <c r="E88" t="s">
        <v>41</v>
      </c>
      <c r="F88">
        <v>0</v>
      </c>
      <c r="G88">
        <v>8</v>
      </c>
      <c r="H88" t="s">
        <v>49</v>
      </c>
      <c r="I88" t="s">
        <v>28</v>
      </c>
      <c r="J88">
        <v>1.03</v>
      </c>
      <c r="K88" t="s">
        <v>21</v>
      </c>
      <c r="L88">
        <v>0</v>
      </c>
      <c r="M88">
        <v>1.89</v>
      </c>
      <c r="N88">
        <v>22</v>
      </c>
      <c r="O88" t="s">
        <v>22</v>
      </c>
      <c r="P88">
        <v>10</v>
      </c>
      <c r="Q88">
        <v>2.99</v>
      </c>
      <c r="R88">
        <v>29.6</v>
      </c>
      <c r="S88">
        <v>63.25</v>
      </c>
      <c r="T88">
        <v>27.63</v>
      </c>
      <c r="U88">
        <v>1</v>
      </c>
      <c r="V88">
        <v>0</v>
      </c>
      <c r="W88">
        <v>90.88</v>
      </c>
      <c r="X88">
        <v>48.8</v>
      </c>
      <c r="Y88">
        <v>102.68</v>
      </c>
      <c r="Z88">
        <v>6.29</v>
      </c>
      <c r="AA88">
        <v>2.66</v>
      </c>
      <c r="AB88">
        <v>81.93</v>
      </c>
      <c r="AC88">
        <v>166.07432432432432</v>
      </c>
      <c r="AD88">
        <v>27.401337792642142</v>
      </c>
      <c r="AE88">
        <v>88.64</v>
      </c>
      <c r="AF88">
        <v>13.85</v>
      </c>
      <c r="AG88">
        <v>0</v>
      </c>
      <c r="AH88">
        <v>9.86</v>
      </c>
      <c r="AI88">
        <v>31.86</v>
      </c>
      <c r="AJ88">
        <v>172.22</v>
      </c>
      <c r="AK88">
        <v>60.46</v>
      </c>
      <c r="AL88" t="s">
        <v>14</v>
      </c>
      <c r="AM88" t="s">
        <v>15</v>
      </c>
      <c r="AN88" t="str">
        <f t="shared" si="4"/>
        <v>Morning</v>
      </c>
      <c r="AO88" t="str">
        <f t="shared" si="5"/>
        <v>Peak</v>
      </c>
      <c r="AP88" t="str">
        <f t="shared" si="6"/>
        <v>Medium</v>
      </c>
      <c r="AQ88" t="str">
        <f t="shared" si="7"/>
        <v>Low</v>
      </c>
    </row>
    <row r="89" spans="1:43" x14ac:dyDescent="0.3">
      <c r="A89">
        <v>88</v>
      </c>
      <c r="B89" t="s">
        <v>48</v>
      </c>
      <c r="C89" t="s">
        <v>30</v>
      </c>
      <c r="D89" s="1">
        <v>46037</v>
      </c>
      <c r="E89" t="s">
        <v>41</v>
      </c>
      <c r="F89">
        <v>0</v>
      </c>
      <c r="G89">
        <v>22</v>
      </c>
      <c r="H89" t="s">
        <v>36</v>
      </c>
      <c r="I89" t="s">
        <v>42</v>
      </c>
      <c r="J89">
        <v>1.08</v>
      </c>
      <c r="K89" t="s">
        <v>21</v>
      </c>
      <c r="L89">
        <v>0</v>
      </c>
      <c r="M89">
        <v>4.17</v>
      </c>
      <c r="N89">
        <v>35</v>
      </c>
      <c r="O89" t="s">
        <v>22</v>
      </c>
      <c r="P89">
        <v>8</v>
      </c>
      <c r="Q89">
        <v>5.41</v>
      </c>
      <c r="R89">
        <v>57.6</v>
      </c>
      <c r="S89">
        <v>95.6</v>
      </c>
      <c r="T89">
        <v>35.21</v>
      </c>
      <c r="U89">
        <v>1</v>
      </c>
      <c r="V89">
        <v>0</v>
      </c>
      <c r="W89">
        <v>130.81</v>
      </c>
      <c r="X89">
        <v>37.799999999999997</v>
      </c>
      <c r="Y89">
        <v>106.43</v>
      </c>
      <c r="Z89">
        <v>15.24</v>
      </c>
      <c r="AA89">
        <v>9.85</v>
      </c>
      <c r="AB89">
        <v>105.72</v>
      </c>
      <c r="AC89">
        <v>110.12499999999999</v>
      </c>
      <c r="AD89">
        <v>19.541589648798521</v>
      </c>
      <c r="AE89">
        <v>64.14</v>
      </c>
      <c r="AF89">
        <v>14.85</v>
      </c>
      <c r="AG89">
        <v>0</v>
      </c>
      <c r="AH89">
        <v>-33.729999999999997</v>
      </c>
      <c r="AI89">
        <v>5</v>
      </c>
      <c r="AJ89">
        <v>89.33</v>
      </c>
      <c r="AK89">
        <v>60</v>
      </c>
      <c r="AL89" t="s">
        <v>14</v>
      </c>
      <c r="AM89" t="s">
        <v>15</v>
      </c>
      <c r="AN89" t="str">
        <f t="shared" si="4"/>
        <v>Night</v>
      </c>
      <c r="AO89" t="str">
        <f t="shared" si="5"/>
        <v>Off-Peak</v>
      </c>
      <c r="AP89" t="str">
        <f t="shared" si="6"/>
        <v>Low</v>
      </c>
      <c r="AQ89" t="str">
        <f t="shared" si="7"/>
        <v>Low</v>
      </c>
    </row>
    <row r="90" spans="1:43" x14ac:dyDescent="0.3">
      <c r="A90">
        <v>89</v>
      </c>
      <c r="B90" t="s">
        <v>16</v>
      </c>
      <c r="C90" t="s">
        <v>17</v>
      </c>
      <c r="D90" s="1">
        <v>46158</v>
      </c>
      <c r="E90" t="s">
        <v>31</v>
      </c>
      <c r="F90">
        <v>1</v>
      </c>
      <c r="G90">
        <v>22</v>
      </c>
      <c r="H90" t="s">
        <v>19</v>
      </c>
      <c r="I90" t="s">
        <v>46</v>
      </c>
      <c r="J90">
        <v>1.1499999999999999</v>
      </c>
      <c r="K90" t="s">
        <v>12</v>
      </c>
      <c r="L90">
        <v>0</v>
      </c>
      <c r="M90">
        <v>3.06</v>
      </c>
      <c r="N90">
        <v>40</v>
      </c>
      <c r="O90" t="s">
        <v>35</v>
      </c>
      <c r="P90">
        <v>6</v>
      </c>
      <c r="Q90">
        <v>7.56</v>
      </c>
      <c r="R90">
        <v>60.3</v>
      </c>
      <c r="S90">
        <v>138.71</v>
      </c>
      <c r="T90">
        <v>57.37</v>
      </c>
      <c r="U90">
        <v>1</v>
      </c>
      <c r="V90">
        <v>0</v>
      </c>
      <c r="W90">
        <v>196.08</v>
      </c>
      <c r="X90">
        <v>44.9</v>
      </c>
      <c r="Y90">
        <v>109.52</v>
      </c>
      <c r="Z90">
        <v>18.46</v>
      </c>
      <c r="AA90">
        <v>4.83</v>
      </c>
      <c r="AB90">
        <v>172.79</v>
      </c>
      <c r="AC90">
        <v>171.93034825870649</v>
      </c>
      <c r="AD90">
        <v>22.855820105820104</v>
      </c>
      <c r="AE90">
        <v>81.040000000000006</v>
      </c>
      <c r="AF90">
        <v>13.44</v>
      </c>
      <c r="AG90">
        <v>1</v>
      </c>
      <c r="AH90">
        <v>-1.88</v>
      </c>
      <c r="AI90">
        <v>38.119999999999997</v>
      </c>
      <c r="AJ90">
        <v>166.52</v>
      </c>
      <c r="AK90">
        <v>76.14</v>
      </c>
      <c r="AL90" t="s">
        <v>23</v>
      </c>
      <c r="AM90" t="s">
        <v>24</v>
      </c>
      <c r="AN90" t="str">
        <f t="shared" si="4"/>
        <v>Night</v>
      </c>
      <c r="AO90" t="str">
        <f t="shared" si="5"/>
        <v>Off-Peak</v>
      </c>
      <c r="AP90" t="str">
        <f t="shared" si="6"/>
        <v>Medium</v>
      </c>
      <c r="AQ90" t="str">
        <f t="shared" si="7"/>
        <v>Medium</v>
      </c>
    </row>
    <row r="91" spans="1:43" x14ac:dyDescent="0.3">
      <c r="A91">
        <v>90</v>
      </c>
      <c r="B91" t="s">
        <v>16</v>
      </c>
      <c r="C91" t="s">
        <v>17</v>
      </c>
      <c r="D91" s="1">
        <v>46115</v>
      </c>
      <c r="E91" t="s">
        <v>9</v>
      </c>
      <c r="F91">
        <v>0</v>
      </c>
      <c r="G91">
        <v>9</v>
      </c>
      <c r="H91" t="s">
        <v>27</v>
      </c>
      <c r="I91" t="s">
        <v>37</v>
      </c>
      <c r="J91">
        <v>1.02</v>
      </c>
      <c r="K91" t="s">
        <v>12</v>
      </c>
      <c r="L91">
        <v>0</v>
      </c>
      <c r="M91">
        <v>4.74</v>
      </c>
      <c r="N91">
        <v>51</v>
      </c>
      <c r="O91" t="s">
        <v>35</v>
      </c>
      <c r="P91">
        <v>7</v>
      </c>
      <c r="Q91">
        <v>7.6</v>
      </c>
      <c r="R91">
        <v>61.6</v>
      </c>
      <c r="S91">
        <v>138.34</v>
      </c>
      <c r="T91">
        <v>53.57</v>
      </c>
      <c r="U91">
        <v>1.34</v>
      </c>
      <c r="V91">
        <v>47.04</v>
      </c>
      <c r="W91">
        <v>238.95</v>
      </c>
      <c r="X91">
        <v>35.700000000000003</v>
      </c>
      <c r="Y91">
        <v>100.59</v>
      </c>
      <c r="Z91">
        <v>21.42</v>
      </c>
      <c r="AA91">
        <v>10.24</v>
      </c>
      <c r="AB91">
        <v>207.29</v>
      </c>
      <c r="AC91">
        <v>201.90584415584416</v>
      </c>
      <c r="AD91">
        <v>27.274999999999999</v>
      </c>
      <c r="AE91">
        <v>83.81</v>
      </c>
      <c r="AF91">
        <v>20</v>
      </c>
      <c r="AG91">
        <v>1</v>
      </c>
      <c r="AH91">
        <v>2.95</v>
      </c>
      <c r="AI91">
        <v>53.95</v>
      </c>
      <c r="AJ91">
        <v>198.13</v>
      </c>
      <c r="AK91">
        <v>77.430000000000007</v>
      </c>
      <c r="AL91" t="s">
        <v>23</v>
      </c>
      <c r="AM91" t="s">
        <v>24</v>
      </c>
      <c r="AN91" t="str">
        <f t="shared" si="4"/>
        <v>Morning</v>
      </c>
      <c r="AO91" t="str">
        <f t="shared" si="5"/>
        <v>Peak</v>
      </c>
      <c r="AP91" t="str">
        <f t="shared" si="6"/>
        <v>Medium</v>
      </c>
      <c r="AQ91" t="str">
        <f t="shared" si="7"/>
        <v>Medium</v>
      </c>
    </row>
    <row r="92" spans="1:43" x14ac:dyDescent="0.3">
      <c r="A92">
        <v>91</v>
      </c>
      <c r="B92" t="s">
        <v>29</v>
      </c>
      <c r="C92" t="s">
        <v>30</v>
      </c>
      <c r="D92" s="1">
        <v>46111</v>
      </c>
      <c r="E92" t="s">
        <v>38</v>
      </c>
      <c r="F92">
        <v>0</v>
      </c>
      <c r="G92">
        <v>13</v>
      </c>
      <c r="H92" t="s">
        <v>43</v>
      </c>
      <c r="I92" t="s">
        <v>42</v>
      </c>
      <c r="J92">
        <v>1.08</v>
      </c>
      <c r="K92" t="s">
        <v>34</v>
      </c>
      <c r="L92">
        <v>1</v>
      </c>
      <c r="M92">
        <v>2.1800000000000002</v>
      </c>
      <c r="N92">
        <v>65</v>
      </c>
      <c r="O92" t="s">
        <v>35</v>
      </c>
      <c r="P92">
        <v>12</v>
      </c>
      <c r="Q92">
        <v>3.01</v>
      </c>
      <c r="R92">
        <v>31.4</v>
      </c>
      <c r="S92">
        <v>83.99</v>
      </c>
      <c r="T92">
        <v>49.53</v>
      </c>
      <c r="U92">
        <v>1</v>
      </c>
      <c r="V92">
        <v>0</v>
      </c>
      <c r="W92">
        <v>133.52000000000001</v>
      </c>
      <c r="X92">
        <v>43</v>
      </c>
      <c r="Y92">
        <v>108.16</v>
      </c>
      <c r="Z92">
        <v>7.58</v>
      </c>
      <c r="AA92">
        <v>6.19</v>
      </c>
      <c r="AB92">
        <v>119.75</v>
      </c>
      <c r="AC92">
        <v>228.82165605095543</v>
      </c>
      <c r="AD92">
        <v>39.784053156146179</v>
      </c>
      <c r="AE92">
        <v>81.36</v>
      </c>
      <c r="AF92">
        <v>14.75</v>
      </c>
      <c r="AG92">
        <v>0</v>
      </c>
      <c r="AH92">
        <v>-3.71</v>
      </c>
      <c r="AI92">
        <v>61.29</v>
      </c>
      <c r="AJ92">
        <v>244.29</v>
      </c>
      <c r="AK92">
        <v>73.36</v>
      </c>
      <c r="AL92" t="s">
        <v>14</v>
      </c>
      <c r="AM92" t="s">
        <v>15</v>
      </c>
      <c r="AN92" t="str">
        <f t="shared" si="4"/>
        <v>Afternoon</v>
      </c>
      <c r="AO92" t="str">
        <f t="shared" si="5"/>
        <v>Off-Peak</v>
      </c>
      <c r="AP92" t="str">
        <f t="shared" si="6"/>
        <v>Medium</v>
      </c>
      <c r="AQ92" t="str">
        <f t="shared" si="7"/>
        <v>Medium</v>
      </c>
    </row>
    <row r="93" spans="1:43" x14ac:dyDescent="0.3">
      <c r="A93">
        <v>92</v>
      </c>
      <c r="B93" t="s">
        <v>16</v>
      </c>
      <c r="C93" t="s">
        <v>17</v>
      </c>
      <c r="D93" s="1">
        <v>46091</v>
      </c>
      <c r="E93" t="s">
        <v>44</v>
      </c>
      <c r="F93">
        <v>0</v>
      </c>
      <c r="G93">
        <v>17</v>
      </c>
      <c r="H93" t="s">
        <v>40</v>
      </c>
      <c r="I93" t="s">
        <v>11</v>
      </c>
      <c r="J93">
        <v>1.18</v>
      </c>
      <c r="K93" t="s">
        <v>12</v>
      </c>
      <c r="L93">
        <v>0</v>
      </c>
      <c r="M93">
        <v>5</v>
      </c>
      <c r="N93">
        <v>64</v>
      </c>
      <c r="O93" t="s">
        <v>35</v>
      </c>
      <c r="P93">
        <v>14</v>
      </c>
      <c r="Q93">
        <v>2.4700000000000002</v>
      </c>
      <c r="R93">
        <v>35.6</v>
      </c>
      <c r="S93">
        <v>89.34</v>
      </c>
      <c r="T93">
        <v>71.5</v>
      </c>
      <c r="U93">
        <v>1.19</v>
      </c>
      <c r="V93">
        <v>16.97</v>
      </c>
      <c r="W93">
        <v>177.81</v>
      </c>
      <c r="X93">
        <v>46.1</v>
      </c>
      <c r="Y93">
        <v>102.17</v>
      </c>
      <c r="Z93">
        <v>5.47</v>
      </c>
      <c r="AA93">
        <v>2.4300000000000002</v>
      </c>
      <c r="AB93">
        <v>169.91</v>
      </c>
      <c r="AC93">
        <v>286.36516853932579</v>
      </c>
      <c r="AD93">
        <v>68.78947368421052</v>
      </c>
      <c r="AE93">
        <v>69.069999999999993</v>
      </c>
      <c r="AF93">
        <v>14.74</v>
      </c>
      <c r="AG93">
        <v>1</v>
      </c>
      <c r="AH93">
        <v>35.57</v>
      </c>
      <c r="AI93">
        <v>99.57</v>
      </c>
      <c r="AJ93">
        <v>288.8</v>
      </c>
      <c r="AK93">
        <v>65.510000000000005</v>
      </c>
      <c r="AL93" t="s">
        <v>23</v>
      </c>
      <c r="AM93" t="s">
        <v>24</v>
      </c>
      <c r="AN93" t="str">
        <f t="shared" si="4"/>
        <v>Evening</v>
      </c>
      <c r="AO93" t="str">
        <f t="shared" si="5"/>
        <v>Peak</v>
      </c>
      <c r="AP93" t="str">
        <f t="shared" si="6"/>
        <v>High</v>
      </c>
      <c r="AQ93" t="str">
        <f t="shared" si="7"/>
        <v>Medium</v>
      </c>
    </row>
    <row r="94" spans="1:43" x14ac:dyDescent="0.3">
      <c r="A94">
        <v>93</v>
      </c>
      <c r="B94" t="s">
        <v>16</v>
      </c>
      <c r="C94" t="s">
        <v>17</v>
      </c>
      <c r="D94" s="1">
        <v>46262</v>
      </c>
      <c r="E94" t="s">
        <v>9</v>
      </c>
      <c r="F94">
        <v>0</v>
      </c>
      <c r="G94">
        <v>10</v>
      </c>
      <c r="H94" t="s">
        <v>19</v>
      </c>
      <c r="I94" t="s">
        <v>20</v>
      </c>
      <c r="J94">
        <v>1.25</v>
      </c>
      <c r="K94" t="s">
        <v>12</v>
      </c>
      <c r="L94">
        <v>0</v>
      </c>
      <c r="M94">
        <v>3.63</v>
      </c>
      <c r="N94">
        <v>21</v>
      </c>
      <c r="O94" t="s">
        <v>22</v>
      </c>
      <c r="P94">
        <v>4</v>
      </c>
      <c r="Q94">
        <v>4.8600000000000003</v>
      </c>
      <c r="R94">
        <v>43.5</v>
      </c>
      <c r="S94">
        <v>111.53</v>
      </c>
      <c r="T94">
        <v>24.5</v>
      </c>
      <c r="U94">
        <v>1.04</v>
      </c>
      <c r="V94">
        <v>4.46</v>
      </c>
      <c r="W94">
        <v>140.49</v>
      </c>
      <c r="X94">
        <v>35.5</v>
      </c>
      <c r="Y94">
        <v>101.53</v>
      </c>
      <c r="Z94">
        <v>13.89</v>
      </c>
      <c r="AA94">
        <v>11.64</v>
      </c>
      <c r="AB94">
        <v>114.96</v>
      </c>
      <c r="AC94">
        <v>158.5655172413793</v>
      </c>
      <c r="AD94">
        <v>23.654320987654319</v>
      </c>
      <c r="AE94">
        <v>65.16</v>
      </c>
      <c r="AF94">
        <v>15.82</v>
      </c>
      <c r="AG94">
        <v>0</v>
      </c>
      <c r="AH94">
        <v>30.37</v>
      </c>
      <c r="AI94">
        <v>51.37</v>
      </c>
      <c r="AJ94">
        <v>157.44999999999999</v>
      </c>
      <c r="AK94">
        <v>60</v>
      </c>
      <c r="AL94" t="s">
        <v>23</v>
      </c>
      <c r="AM94" t="s">
        <v>24</v>
      </c>
      <c r="AN94" t="str">
        <f t="shared" si="4"/>
        <v>Morning</v>
      </c>
      <c r="AO94" t="str">
        <f t="shared" si="5"/>
        <v>Peak</v>
      </c>
      <c r="AP94" t="str">
        <f t="shared" si="6"/>
        <v>Medium</v>
      </c>
      <c r="AQ94" t="str">
        <f t="shared" si="7"/>
        <v>Low</v>
      </c>
    </row>
    <row r="95" spans="1:43" x14ac:dyDescent="0.3">
      <c r="A95">
        <v>94</v>
      </c>
      <c r="B95" t="s">
        <v>48</v>
      </c>
      <c r="C95" t="s">
        <v>30</v>
      </c>
      <c r="D95" s="1">
        <v>46180</v>
      </c>
      <c r="E95" t="s">
        <v>26</v>
      </c>
      <c r="F95">
        <v>1</v>
      </c>
      <c r="G95">
        <v>12</v>
      </c>
      <c r="H95" t="s">
        <v>43</v>
      </c>
      <c r="I95" t="s">
        <v>45</v>
      </c>
      <c r="J95">
        <v>1</v>
      </c>
      <c r="K95" t="s">
        <v>34</v>
      </c>
      <c r="L95">
        <v>1</v>
      </c>
      <c r="M95">
        <v>3.47</v>
      </c>
      <c r="N95">
        <v>59</v>
      </c>
      <c r="O95" t="s">
        <v>35</v>
      </c>
      <c r="P95">
        <v>16</v>
      </c>
      <c r="Q95">
        <v>3.17</v>
      </c>
      <c r="R95">
        <v>37.700000000000003</v>
      </c>
      <c r="S95">
        <v>76.73</v>
      </c>
      <c r="T95">
        <v>53.69</v>
      </c>
      <c r="U95">
        <v>1</v>
      </c>
      <c r="V95">
        <v>0</v>
      </c>
      <c r="W95">
        <v>130.41999999999999</v>
      </c>
      <c r="X95">
        <v>40</v>
      </c>
      <c r="Y95">
        <v>108.99</v>
      </c>
      <c r="Z95">
        <v>8.6300000000000008</v>
      </c>
      <c r="AA95">
        <v>9.81</v>
      </c>
      <c r="AB95">
        <v>111.98</v>
      </c>
      <c r="AC95">
        <v>178.21750663129973</v>
      </c>
      <c r="AD95">
        <v>35.32492113564669</v>
      </c>
      <c r="AE95">
        <v>77.5</v>
      </c>
      <c r="AF95">
        <v>15.95</v>
      </c>
      <c r="AG95">
        <v>1</v>
      </c>
      <c r="AH95">
        <v>18.489999999999998</v>
      </c>
      <c r="AI95">
        <v>77.489999999999995</v>
      </c>
      <c r="AJ95">
        <v>180.45</v>
      </c>
      <c r="AK95">
        <v>74.900000000000006</v>
      </c>
      <c r="AL95" t="s">
        <v>14</v>
      </c>
      <c r="AM95" t="s">
        <v>15</v>
      </c>
      <c r="AN95" t="str">
        <f t="shared" si="4"/>
        <v>Afternoon</v>
      </c>
      <c r="AO95" t="str">
        <f t="shared" si="5"/>
        <v>Off-Peak</v>
      </c>
      <c r="AP95" t="str">
        <f t="shared" si="6"/>
        <v>Medium</v>
      </c>
      <c r="AQ95" t="str">
        <f t="shared" si="7"/>
        <v>Medium</v>
      </c>
    </row>
    <row r="96" spans="1:43" x14ac:dyDescent="0.3">
      <c r="A96">
        <v>95</v>
      </c>
      <c r="B96" t="s">
        <v>23</v>
      </c>
      <c r="C96" t="s">
        <v>17</v>
      </c>
      <c r="D96" s="1">
        <v>46131</v>
      </c>
      <c r="E96" t="s">
        <v>26</v>
      </c>
      <c r="F96">
        <v>1</v>
      </c>
      <c r="G96">
        <v>13</v>
      </c>
      <c r="H96" t="s">
        <v>19</v>
      </c>
      <c r="I96" t="s">
        <v>28</v>
      </c>
      <c r="J96">
        <v>1.03</v>
      </c>
      <c r="K96" t="s">
        <v>34</v>
      </c>
      <c r="L96">
        <v>1</v>
      </c>
      <c r="M96">
        <v>4.0199999999999996</v>
      </c>
      <c r="N96">
        <v>61</v>
      </c>
      <c r="O96" t="s">
        <v>35</v>
      </c>
      <c r="P96">
        <v>12</v>
      </c>
      <c r="Q96">
        <v>9.09</v>
      </c>
      <c r="R96">
        <v>69.2</v>
      </c>
      <c r="S96">
        <v>154.02000000000001</v>
      </c>
      <c r="T96">
        <v>54.02</v>
      </c>
      <c r="U96">
        <v>1.17</v>
      </c>
      <c r="V96">
        <v>26.18</v>
      </c>
      <c r="W96">
        <v>234.22</v>
      </c>
      <c r="X96">
        <v>48.2</v>
      </c>
      <c r="Y96">
        <v>100.02</v>
      </c>
      <c r="Z96">
        <v>18.87</v>
      </c>
      <c r="AA96">
        <v>5.48</v>
      </c>
      <c r="AB96">
        <v>209.87</v>
      </c>
      <c r="AC96">
        <v>181.96820809248555</v>
      </c>
      <c r="AD96">
        <v>23.08800880088009</v>
      </c>
      <c r="AE96">
        <v>77.599999999999994</v>
      </c>
      <c r="AF96">
        <v>14.64</v>
      </c>
      <c r="AG96">
        <v>1</v>
      </c>
      <c r="AH96">
        <v>-10.88</v>
      </c>
      <c r="AI96">
        <v>50.12</v>
      </c>
      <c r="AJ96">
        <v>164.73</v>
      </c>
      <c r="AK96">
        <v>72.28</v>
      </c>
      <c r="AL96" t="s">
        <v>14</v>
      </c>
      <c r="AM96" t="s">
        <v>15</v>
      </c>
      <c r="AN96" t="str">
        <f t="shared" si="4"/>
        <v>Afternoon</v>
      </c>
      <c r="AO96" t="str">
        <f t="shared" si="5"/>
        <v>Off-Peak</v>
      </c>
      <c r="AP96" t="str">
        <f t="shared" si="6"/>
        <v>Medium</v>
      </c>
      <c r="AQ96" t="str">
        <f t="shared" si="7"/>
        <v>Medium</v>
      </c>
    </row>
    <row r="97" spans="1:43" x14ac:dyDescent="0.3">
      <c r="A97">
        <v>96</v>
      </c>
      <c r="B97" t="s">
        <v>48</v>
      </c>
      <c r="C97" t="s">
        <v>30</v>
      </c>
      <c r="D97" s="1">
        <v>46075</v>
      </c>
      <c r="E97" t="s">
        <v>26</v>
      </c>
      <c r="F97">
        <v>1</v>
      </c>
      <c r="G97">
        <v>17</v>
      </c>
      <c r="H97" t="s">
        <v>32</v>
      </c>
      <c r="I97" t="s">
        <v>39</v>
      </c>
      <c r="J97">
        <v>1.05</v>
      </c>
      <c r="K97" t="s">
        <v>12</v>
      </c>
      <c r="L97">
        <v>0</v>
      </c>
      <c r="M97">
        <v>3.49</v>
      </c>
      <c r="N97">
        <v>83</v>
      </c>
      <c r="O97" t="s">
        <v>13</v>
      </c>
      <c r="P97">
        <v>16</v>
      </c>
      <c r="Q97">
        <v>3.14</v>
      </c>
      <c r="R97">
        <v>39.799999999999997</v>
      </c>
      <c r="S97">
        <v>76.81</v>
      </c>
      <c r="T97">
        <v>100</v>
      </c>
      <c r="U97">
        <v>1</v>
      </c>
      <c r="V97">
        <v>0</v>
      </c>
      <c r="W97">
        <v>176.81</v>
      </c>
      <c r="X97">
        <v>38.4</v>
      </c>
      <c r="Y97">
        <v>107.41</v>
      </c>
      <c r="Z97">
        <v>8.7899999999999991</v>
      </c>
      <c r="AA97">
        <v>4.7</v>
      </c>
      <c r="AB97">
        <v>163.32</v>
      </c>
      <c r="AC97">
        <v>246.2110552763819</v>
      </c>
      <c r="AD97">
        <v>52.01273885350318</v>
      </c>
      <c r="AE97">
        <v>74.16</v>
      </c>
      <c r="AF97">
        <v>12.71</v>
      </c>
      <c r="AG97">
        <v>1</v>
      </c>
      <c r="AH97">
        <v>31.82</v>
      </c>
      <c r="AI97">
        <v>114.82</v>
      </c>
      <c r="AJ97">
        <v>275.12</v>
      </c>
      <c r="AK97">
        <v>60</v>
      </c>
      <c r="AL97" t="s">
        <v>23</v>
      </c>
      <c r="AM97" t="s">
        <v>24</v>
      </c>
      <c r="AN97" t="str">
        <f t="shared" si="4"/>
        <v>Evening</v>
      </c>
      <c r="AO97" t="str">
        <f t="shared" si="5"/>
        <v>Peak</v>
      </c>
      <c r="AP97" t="str">
        <f t="shared" si="6"/>
        <v>Medium</v>
      </c>
      <c r="AQ97" t="str">
        <f t="shared" si="7"/>
        <v>High</v>
      </c>
    </row>
    <row r="98" spans="1:43" x14ac:dyDescent="0.3">
      <c r="A98">
        <v>97</v>
      </c>
      <c r="B98" t="s">
        <v>14</v>
      </c>
      <c r="C98" t="s">
        <v>8</v>
      </c>
      <c r="D98" s="1">
        <v>46229</v>
      </c>
      <c r="E98" t="s">
        <v>26</v>
      </c>
      <c r="F98">
        <v>1</v>
      </c>
      <c r="G98">
        <v>11</v>
      </c>
      <c r="H98" t="s">
        <v>10</v>
      </c>
      <c r="I98" t="s">
        <v>42</v>
      </c>
      <c r="J98">
        <v>1.08</v>
      </c>
      <c r="K98" t="s">
        <v>12</v>
      </c>
      <c r="L98">
        <v>0</v>
      </c>
      <c r="M98">
        <v>2.54</v>
      </c>
      <c r="N98">
        <v>44</v>
      </c>
      <c r="O98" t="s">
        <v>35</v>
      </c>
      <c r="P98">
        <v>18</v>
      </c>
      <c r="Q98">
        <v>4.33</v>
      </c>
      <c r="R98">
        <v>32.1</v>
      </c>
      <c r="S98">
        <v>75.78</v>
      </c>
      <c r="T98">
        <v>45.02</v>
      </c>
      <c r="U98">
        <v>1</v>
      </c>
      <c r="V98">
        <v>0</v>
      </c>
      <c r="W98">
        <v>120.8</v>
      </c>
      <c r="X98">
        <v>45.8</v>
      </c>
      <c r="Y98">
        <v>100.87</v>
      </c>
      <c r="Z98">
        <v>9.5299999999999994</v>
      </c>
      <c r="AA98">
        <v>7.89</v>
      </c>
      <c r="AB98">
        <v>103.38</v>
      </c>
      <c r="AC98">
        <v>193.23364485981307</v>
      </c>
      <c r="AD98">
        <v>23.875288683602768</v>
      </c>
      <c r="AE98">
        <v>85.85</v>
      </c>
      <c r="AF98">
        <v>13.59</v>
      </c>
      <c r="AG98">
        <v>1</v>
      </c>
      <c r="AH98">
        <v>12.28</v>
      </c>
      <c r="AI98">
        <v>56.28</v>
      </c>
      <c r="AJ98">
        <v>203.28</v>
      </c>
      <c r="AK98">
        <v>73.27</v>
      </c>
      <c r="AL98" t="s">
        <v>14</v>
      </c>
      <c r="AM98" t="s">
        <v>15</v>
      </c>
      <c r="AN98" t="str">
        <f t="shared" si="4"/>
        <v>Afternoon</v>
      </c>
      <c r="AO98" t="str">
        <f t="shared" si="5"/>
        <v>Off-Peak</v>
      </c>
      <c r="AP98" t="str">
        <f t="shared" si="6"/>
        <v>Medium</v>
      </c>
      <c r="AQ98" t="str">
        <f t="shared" si="7"/>
        <v>Medium</v>
      </c>
    </row>
    <row r="99" spans="1:43" x14ac:dyDescent="0.3">
      <c r="A99">
        <v>98</v>
      </c>
      <c r="B99" t="s">
        <v>25</v>
      </c>
      <c r="C99" t="s">
        <v>17</v>
      </c>
      <c r="D99" s="1">
        <v>46252</v>
      </c>
      <c r="E99" t="s">
        <v>44</v>
      </c>
      <c r="F99">
        <v>0</v>
      </c>
      <c r="G99">
        <v>13</v>
      </c>
      <c r="H99" t="s">
        <v>19</v>
      </c>
      <c r="I99" t="s">
        <v>37</v>
      </c>
      <c r="J99">
        <v>1.02</v>
      </c>
      <c r="K99" t="s">
        <v>12</v>
      </c>
      <c r="L99">
        <v>0</v>
      </c>
      <c r="M99">
        <v>2.63</v>
      </c>
      <c r="N99">
        <v>22</v>
      </c>
      <c r="O99" t="s">
        <v>22</v>
      </c>
      <c r="P99">
        <v>3</v>
      </c>
      <c r="Q99">
        <v>5.32</v>
      </c>
      <c r="R99">
        <v>47.3</v>
      </c>
      <c r="S99">
        <v>121.67</v>
      </c>
      <c r="T99">
        <v>10.27</v>
      </c>
      <c r="U99">
        <v>1</v>
      </c>
      <c r="V99">
        <v>0</v>
      </c>
      <c r="W99">
        <v>131.94</v>
      </c>
      <c r="X99">
        <v>44.2</v>
      </c>
      <c r="Y99">
        <v>106.18</v>
      </c>
      <c r="Z99">
        <v>12.78</v>
      </c>
      <c r="AA99">
        <v>11.87</v>
      </c>
      <c r="AB99">
        <v>107.29</v>
      </c>
      <c r="AC99">
        <v>136.0972515856237</v>
      </c>
      <c r="AD99">
        <v>20.167293233082706</v>
      </c>
      <c r="AE99">
        <v>70.55</v>
      </c>
      <c r="AF99">
        <v>17.36</v>
      </c>
      <c r="AG99">
        <v>0</v>
      </c>
      <c r="AH99">
        <v>-11.13</v>
      </c>
      <c r="AI99">
        <v>10.87</v>
      </c>
      <c r="AJ99">
        <v>124.82</v>
      </c>
      <c r="AK99">
        <v>65.010000000000005</v>
      </c>
      <c r="AL99" t="s">
        <v>14</v>
      </c>
      <c r="AM99" t="s">
        <v>15</v>
      </c>
      <c r="AN99" t="str">
        <f t="shared" si="4"/>
        <v>Afternoon</v>
      </c>
      <c r="AO99" t="str">
        <f t="shared" si="5"/>
        <v>Off-Peak</v>
      </c>
      <c r="AP99" t="str">
        <f t="shared" si="6"/>
        <v>Low</v>
      </c>
      <c r="AQ99" t="str">
        <f t="shared" si="7"/>
        <v>Low</v>
      </c>
    </row>
    <row r="100" spans="1:43" x14ac:dyDescent="0.3">
      <c r="A100">
        <v>99</v>
      </c>
      <c r="B100" t="s">
        <v>25</v>
      </c>
      <c r="C100" t="s">
        <v>17</v>
      </c>
      <c r="D100" s="1">
        <v>46031</v>
      </c>
      <c r="E100" t="s">
        <v>9</v>
      </c>
      <c r="F100">
        <v>0</v>
      </c>
      <c r="G100">
        <v>11</v>
      </c>
      <c r="H100" t="s">
        <v>19</v>
      </c>
      <c r="I100" t="s">
        <v>39</v>
      </c>
      <c r="J100">
        <v>1.05</v>
      </c>
      <c r="K100" t="s">
        <v>21</v>
      </c>
      <c r="L100">
        <v>0</v>
      </c>
      <c r="M100">
        <v>1.52</v>
      </c>
      <c r="N100">
        <v>25</v>
      </c>
      <c r="O100" t="s">
        <v>22</v>
      </c>
      <c r="P100">
        <v>6</v>
      </c>
      <c r="Q100">
        <v>1.17</v>
      </c>
      <c r="R100">
        <v>18.899999999999999</v>
      </c>
      <c r="S100">
        <v>75.38</v>
      </c>
      <c r="T100">
        <v>37.15</v>
      </c>
      <c r="U100">
        <v>1.01</v>
      </c>
      <c r="V100">
        <v>0.75</v>
      </c>
      <c r="W100">
        <v>113.28</v>
      </c>
      <c r="X100">
        <v>37.5</v>
      </c>
      <c r="Y100">
        <v>106.21</v>
      </c>
      <c r="Z100">
        <v>3.32</v>
      </c>
      <c r="AA100">
        <v>4.9000000000000004</v>
      </c>
      <c r="AB100">
        <v>105.06</v>
      </c>
      <c r="AC100">
        <v>333.52380952380952</v>
      </c>
      <c r="AD100">
        <v>89.794871794871796</v>
      </c>
      <c r="AE100">
        <v>58.85</v>
      </c>
      <c r="AF100">
        <v>15.76</v>
      </c>
      <c r="AG100">
        <v>0</v>
      </c>
      <c r="AH100">
        <v>3.49</v>
      </c>
      <c r="AI100">
        <v>28.49</v>
      </c>
      <c r="AJ100">
        <v>336.39</v>
      </c>
      <c r="AK100">
        <v>69.260000000000005</v>
      </c>
      <c r="AL100" t="s">
        <v>23</v>
      </c>
      <c r="AM100" t="s">
        <v>24</v>
      </c>
      <c r="AN100" t="str">
        <f t="shared" si="4"/>
        <v>Afternoon</v>
      </c>
      <c r="AO100" t="str">
        <f t="shared" si="5"/>
        <v>Off-Peak</v>
      </c>
      <c r="AP100" t="str">
        <f t="shared" si="6"/>
        <v>High</v>
      </c>
      <c r="AQ100" t="str">
        <f t="shared" si="7"/>
        <v>Low</v>
      </c>
    </row>
    <row r="101" spans="1:43" x14ac:dyDescent="0.3">
      <c r="A101">
        <v>100</v>
      </c>
      <c r="B101" t="s">
        <v>7</v>
      </c>
      <c r="C101" t="s">
        <v>8</v>
      </c>
      <c r="D101" s="1">
        <v>46262</v>
      </c>
      <c r="E101" t="s">
        <v>9</v>
      </c>
      <c r="F101">
        <v>0</v>
      </c>
      <c r="G101">
        <v>19</v>
      </c>
      <c r="H101" t="s">
        <v>51</v>
      </c>
      <c r="I101" t="s">
        <v>45</v>
      </c>
      <c r="J101">
        <v>1</v>
      </c>
      <c r="K101" t="s">
        <v>12</v>
      </c>
      <c r="L101">
        <v>0</v>
      </c>
      <c r="M101">
        <v>4.79</v>
      </c>
      <c r="N101">
        <v>39</v>
      </c>
      <c r="O101" t="s">
        <v>35</v>
      </c>
      <c r="P101">
        <v>10</v>
      </c>
      <c r="Q101">
        <v>2.64</v>
      </c>
      <c r="R101">
        <v>34.1</v>
      </c>
      <c r="S101">
        <v>63.8</v>
      </c>
      <c r="T101">
        <v>45.78</v>
      </c>
      <c r="U101">
        <v>1</v>
      </c>
      <c r="V101">
        <v>0</v>
      </c>
      <c r="W101">
        <v>109.58</v>
      </c>
      <c r="X101">
        <v>46.1</v>
      </c>
      <c r="Y101">
        <v>108.63</v>
      </c>
      <c r="Z101">
        <v>6.21</v>
      </c>
      <c r="AA101">
        <v>11.48</v>
      </c>
      <c r="AB101">
        <v>91.89</v>
      </c>
      <c r="AC101">
        <v>161.68328445747801</v>
      </c>
      <c r="AD101">
        <v>34.80681818181818</v>
      </c>
      <c r="AE101">
        <v>73.33</v>
      </c>
      <c r="AF101">
        <v>16.350000000000001</v>
      </c>
      <c r="AG101">
        <v>1</v>
      </c>
      <c r="AH101">
        <v>17.38</v>
      </c>
      <c r="AI101">
        <v>56.38</v>
      </c>
      <c r="AJ101">
        <v>184.32</v>
      </c>
      <c r="AK101">
        <v>68.239999999999995</v>
      </c>
      <c r="AL101" t="s">
        <v>14</v>
      </c>
      <c r="AM101" t="s">
        <v>15</v>
      </c>
      <c r="AN101" t="str">
        <f t="shared" si="4"/>
        <v>Night</v>
      </c>
      <c r="AO101" t="str">
        <f t="shared" si="5"/>
        <v>Peak</v>
      </c>
      <c r="AP101" t="str">
        <f t="shared" si="6"/>
        <v>Medium</v>
      </c>
      <c r="AQ101" t="str">
        <f t="shared" si="7"/>
        <v>Medium</v>
      </c>
    </row>
    <row r="102" spans="1:43" x14ac:dyDescent="0.3">
      <c r="A102">
        <v>101</v>
      </c>
      <c r="B102" t="s">
        <v>16</v>
      </c>
      <c r="C102" t="s">
        <v>17</v>
      </c>
      <c r="D102" s="1">
        <v>46203</v>
      </c>
      <c r="E102" t="s">
        <v>44</v>
      </c>
      <c r="F102">
        <v>0</v>
      </c>
      <c r="G102">
        <v>9</v>
      </c>
      <c r="H102" t="s">
        <v>27</v>
      </c>
      <c r="I102" t="s">
        <v>33</v>
      </c>
      <c r="J102">
        <v>1</v>
      </c>
      <c r="K102" t="s">
        <v>12</v>
      </c>
      <c r="L102">
        <v>0</v>
      </c>
      <c r="M102">
        <v>5</v>
      </c>
      <c r="N102">
        <v>90</v>
      </c>
      <c r="O102" t="s">
        <v>13</v>
      </c>
      <c r="P102">
        <v>16</v>
      </c>
      <c r="Q102">
        <v>13.15</v>
      </c>
      <c r="R102">
        <v>93.9</v>
      </c>
      <c r="S102">
        <v>207.72</v>
      </c>
      <c r="T102">
        <v>100</v>
      </c>
      <c r="U102">
        <v>1.32</v>
      </c>
      <c r="V102">
        <v>66.47</v>
      </c>
      <c r="W102">
        <v>374.19</v>
      </c>
      <c r="X102">
        <v>43</v>
      </c>
      <c r="Y102">
        <v>108.23</v>
      </c>
      <c r="Z102">
        <v>33.11</v>
      </c>
      <c r="AA102">
        <v>5.3</v>
      </c>
      <c r="AB102">
        <v>335.78</v>
      </c>
      <c r="AC102">
        <v>214.55591054313095</v>
      </c>
      <c r="AD102">
        <v>25.534600760456271</v>
      </c>
      <c r="AE102">
        <v>83.04</v>
      </c>
      <c r="AF102">
        <v>17.27</v>
      </c>
      <c r="AG102">
        <v>1</v>
      </c>
      <c r="AH102">
        <v>-5.98</v>
      </c>
      <c r="AI102">
        <v>84.02</v>
      </c>
      <c r="AJ102">
        <v>223.51</v>
      </c>
      <c r="AK102">
        <v>73.41</v>
      </c>
      <c r="AL102" t="s">
        <v>23</v>
      </c>
      <c r="AM102" t="s">
        <v>24</v>
      </c>
      <c r="AN102" t="str">
        <f t="shared" si="4"/>
        <v>Morning</v>
      </c>
      <c r="AO102" t="str">
        <f t="shared" si="5"/>
        <v>Peak</v>
      </c>
      <c r="AP102" t="str">
        <f t="shared" si="6"/>
        <v>Medium</v>
      </c>
      <c r="AQ102" t="str">
        <f t="shared" si="7"/>
        <v>High</v>
      </c>
    </row>
    <row r="103" spans="1:43" x14ac:dyDescent="0.3">
      <c r="A103">
        <v>102</v>
      </c>
      <c r="B103" t="s">
        <v>14</v>
      </c>
      <c r="C103" t="s">
        <v>8</v>
      </c>
      <c r="D103" s="1">
        <v>46048</v>
      </c>
      <c r="E103" t="s">
        <v>38</v>
      </c>
      <c r="F103">
        <v>0</v>
      </c>
      <c r="G103">
        <v>10</v>
      </c>
      <c r="H103" t="s">
        <v>49</v>
      </c>
      <c r="I103" t="s">
        <v>20</v>
      </c>
      <c r="J103">
        <v>1.25</v>
      </c>
      <c r="K103" t="s">
        <v>21</v>
      </c>
      <c r="L103">
        <v>0</v>
      </c>
      <c r="M103">
        <v>2.44</v>
      </c>
      <c r="N103">
        <v>26</v>
      </c>
      <c r="O103" t="s">
        <v>22</v>
      </c>
      <c r="P103">
        <v>7</v>
      </c>
      <c r="Q103">
        <v>7.35</v>
      </c>
      <c r="R103">
        <v>58.2</v>
      </c>
      <c r="S103">
        <v>110.51</v>
      </c>
      <c r="T103">
        <v>28.68</v>
      </c>
      <c r="U103">
        <v>1</v>
      </c>
      <c r="V103">
        <v>0</v>
      </c>
      <c r="W103">
        <v>139.19</v>
      </c>
      <c r="X103">
        <v>36.700000000000003</v>
      </c>
      <c r="Y103">
        <v>106.85</v>
      </c>
      <c r="Z103">
        <v>21.42</v>
      </c>
      <c r="AA103">
        <v>9.0399999999999991</v>
      </c>
      <c r="AB103">
        <v>108.73</v>
      </c>
      <c r="AC103">
        <v>112.09278350515463</v>
      </c>
      <c r="AD103">
        <v>14.793197278911565</v>
      </c>
      <c r="AE103">
        <v>76.819999999999993</v>
      </c>
      <c r="AF103">
        <v>14.74</v>
      </c>
      <c r="AG103">
        <v>0</v>
      </c>
      <c r="AH103">
        <v>5.1100000000000003</v>
      </c>
      <c r="AI103">
        <v>31.11</v>
      </c>
      <c r="AJ103">
        <v>135.51</v>
      </c>
      <c r="AK103">
        <v>70.150000000000006</v>
      </c>
      <c r="AL103" t="s">
        <v>14</v>
      </c>
      <c r="AM103" t="s">
        <v>15</v>
      </c>
      <c r="AN103" t="str">
        <f t="shared" si="4"/>
        <v>Morning</v>
      </c>
      <c r="AO103" t="str">
        <f t="shared" si="5"/>
        <v>Peak</v>
      </c>
      <c r="AP103" t="str">
        <f t="shared" si="6"/>
        <v>Low</v>
      </c>
      <c r="AQ103" t="str">
        <f t="shared" si="7"/>
        <v>Low</v>
      </c>
    </row>
    <row r="104" spans="1:43" x14ac:dyDescent="0.3">
      <c r="A104">
        <v>103</v>
      </c>
      <c r="B104" t="s">
        <v>16</v>
      </c>
      <c r="C104" t="s">
        <v>17</v>
      </c>
      <c r="D104" s="1">
        <v>46217</v>
      </c>
      <c r="E104" t="s">
        <v>44</v>
      </c>
      <c r="F104">
        <v>0</v>
      </c>
      <c r="G104">
        <v>10</v>
      </c>
      <c r="H104" t="s">
        <v>19</v>
      </c>
      <c r="I104" t="s">
        <v>37</v>
      </c>
      <c r="J104">
        <v>1.02</v>
      </c>
      <c r="K104" t="s">
        <v>34</v>
      </c>
      <c r="L104">
        <v>1</v>
      </c>
      <c r="M104">
        <v>3.78</v>
      </c>
      <c r="N104">
        <v>47</v>
      </c>
      <c r="O104" t="s">
        <v>35</v>
      </c>
      <c r="P104">
        <v>11</v>
      </c>
      <c r="Q104">
        <v>3.11</v>
      </c>
      <c r="R104">
        <v>38.4</v>
      </c>
      <c r="S104">
        <v>92.29</v>
      </c>
      <c r="T104">
        <v>50.25</v>
      </c>
      <c r="U104">
        <v>1.17</v>
      </c>
      <c r="V104">
        <v>15.69</v>
      </c>
      <c r="W104">
        <v>158.22999999999999</v>
      </c>
      <c r="X104">
        <v>49.2</v>
      </c>
      <c r="Y104">
        <v>103.81</v>
      </c>
      <c r="Z104">
        <v>6.55</v>
      </c>
      <c r="AA104">
        <v>5.82</v>
      </c>
      <c r="AB104">
        <v>145.86000000000001</v>
      </c>
      <c r="AC104">
        <v>227.90625000000003</v>
      </c>
      <c r="AD104">
        <v>46.900321543408367</v>
      </c>
      <c r="AE104">
        <v>78.430000000000007</v>
      </c>
      <c r="AF104">
        <v>14.01</v>
      </c>
      <c r="AG104">
        <v>0</v>
      </c>
      <c r="AH104">
        <v>7.75</v>
      </c>
      <c r="AI104">
        <v>54.75</v>
      </c>
      <c r="AJ104">
        <v>276.56</v>
      </c>
      <c r="AK104">
        <v>74.09</v>
      </c>
      <c r="AL104" t="s">
        <v>23</v>
      </c>
      <c r="AM104" t="s">
        <v>24</v>
      </c>
      <c r="AN104" t="str">
        <f t="shared" si="4"/>
        <v>Morning</v>
      </c>
      <c r="AO104" t="str">
        <f t="shared" si="5"/>
        <v>Peak</v>
      </c>
      <c r="AP104" t="str">
        <f t="shared" si="6"/>
        <v>Medium</v>
      </c>
      <c r="AQ104" t="str">
        <f t="shared" si="7"/>
        <v>Medium</v>
      </c>
    </row>
    <row r="105" spans="1:43" x14ac:dyDescent="0.3">
      <c r="A105">
        <v>104</v>
      </c>
      <c r="B105" t="s">
        <v>7</v>
      </c>
      <c r="C105" t="s">
        <v>8</v>
      </c>
      <c r="D105" s="1">
        <v>46050</v>
      </c>
      <c r="E105" t="s">
        <v>18</v>
      </c>
      <c r="F105">
        <v>0</v>
      </c>
      <c r="G105">
        <v>21</v>
      </c>
      <c r="H105" t="s">
        <v>51</v>
      </c>
      <c r="I105" t="s">
        <v>11</v>
      </c>
      <c r="J105">
        <v>1.18</v>
      </c>
      <c r="K105" t="s">
        <v>21</v>
      </c>
      <c r="L105">
        <v>0</v>
      </c>
      <c r="M105">
        <v>3.89</v>
      </c>
      <c r="N105">
        <v>54</v>
      </c>
      <c r="O105" t="s">
        <v>35</v>
      </c>
      <c r="P105">
        <v>16</v>
      </c>
      <c r="Q105">
        <v>6.65</v>
      </c>
      <c r="R105">
        <v>57</v>
      </c>
      <c r="S105">
        <v>100.19</v>
      </c>
      <c r="T105">
        <v>63.49</v>
      </c>
      <c r="U105">
        <v>1</v>
      </c>
      <c r="V105">
        <v>0</v>
      </c>
      <c r="W105">
        <v>163.68</v>
      </c>
      <c r="X105">
        <v>42.4</v>
      </c>
      <c r="Y105">
        <v>101.66</v>
      </c>
      <c r="Z105">
        <v>15.95</v>
      </c>
      <c r="AA105">
        <v>2.85</v>
      </c>
      <c r="AB105">
        <v>144.88</v>
      </c>
      <c r="AC105">
        <v>152.50526315789475</v>
      </c>
      <c r="AD105">
        <v>21.786466165413533</v>
      </c>
      <c r="AE105">
        <v>88.27</v>
      </c>
      <c r="AF105">
        <v>15.35</v>
      </c>
      <c r="AG105">
        <v>1</v>
      </c>
      <c r="AH105">
        <v>-13.51</v>
      </c>
      <c r="AI105">
        <v>40.49</v>
      </c>
      <c r="AJ105">
        <v>158.56</v>
      </c>
      <c r="AK105">
        <v>72.150000000000006</v>
      </c>
      <c r="AL105" t="s">
        <v>14</v>
      </c>
      <c r="AM105" t="s">
        <v>15</v>
      </c>
      <c r="AN105" t="str">
        <f t="shared" si="4"/>
        <v>Night</v>
      </c>
      <c r="AO105" t="str">
        <f t="shared" si="5"/>
        <v>Off-Peak</v>
      </c>
      <c r="AP105" t="str">
        <f t="shared" si="6"/>
        <v>Medium</v>
      </c>
      <c r="AQ105" t="str">
        <f t="shared" si="7"/>
        <v>Medium</v>
      </c>
    </row>
    <row r="106" spans="1:43" x14ac:dyDescent="0.3">
      <c r="A106">
        <v>105</v>
      </c>
      <c r="B106" t="s">
        <v>16</v>
      </c>
      <c r="C106" t="s">
        <v>17</v>
      </c>
      <c r="D106" s="1">
        <v>46036</v>
      </c>
      <c r="E106" t="s">
        <v>18</v>
      </c>
      <c r="F106">
        <v>0</v>
      </c>
      <c r="G106">
        <v>22</v>
      </c>
      <c r="H106" t="s">
        <v>19</v>
      </c>
      <c r="I106" t="s">
        <v>37</v>
      </c>
      <c r="J106">
        <v>1.02</v>
      </c>
      <c r="K106" t="s">
        <v>12</v>
      </c>
      <c r="L106">
        <v>0</v>
      </c>
      <c r="M106">
        <v>3.26</v>
      </c>
      <c r="N106">
        <v>17</v>
      </c>
      <c r="O106" t="s">
        <v>22</v>
      </c>
      <c r="P106">
        <v>4</v>
      </c>
      <c r="Q106">
        <v>8.99</v>
      </c>
      <c r="R106">
        <v>65.3</v>
      </c>
      <c r="S106">
        <v>176</v>
      </c>
      <c r="T106">
        <v>0</v>
      </c>
      <c r="U106">
        <v>1.1000000000000001</v>
      </c>
      <c r="V106">
        <v>17.600000000000001</v>
      </c>
      <c r="W106">
        <v>193.6</v>
      </c>
      <c r="X106">
        <v>46.2</v>
      </c>
      <c r="Y106">
        <v>106.36</v>
      </c>
      <c r="Z106">
        <v>20.71</v>
      </c>
      <c r="AA106">
        <v>11.36</v>
      </c>
      <c r="AB106">
        <v>161.53</v>
      </c>
      <c r="AC106">
        <v>148.41960183767227</v>
      </c>
      <c r="AD106">
        <v>17.967741935483872</v>
      </c>
      <c r="AE106">
        <v>64.44</v>
      </c>
      <c r="AF106">
        <v>13.77</v>
      </c>
      <c r="AG106">
        <v>0</v>
      </c>
      <c r="AH106">
        <v>-1.05</v>
      </c>
      <c r="AI106">
        <v>15.95</v>
      </c>
      <c r="AJ106">
        <v>139.58000000000001</v>
      </c>
      <c r="AK106">
        <v>67.73</v>
      </c>
      <c r="AL106" t="s">
        <v>23</v>
      </c>
      <c r="AM106" t="s">
        <v>24</v>
      </c>
      <c r="AN106" t="str">
        <f t="shared" si="4"/>
        <v>Night</v>
      </c>
      <c r="AO106" t="str">
        <f t="shared" si="5"/>
        <v>Off-Peak</v>
      </c>
      <c r="AP106" t="str">
        <f t="shared" si="6"/>
        <v>Low</v>
      </c>
      <c r="AQ106" t="str">
        <f t="shared" si="7"/>
        <v>Low</v>
      </c>
    </row>
    <row r="107" spans="1:43" x14ac:dyDescent="0.3">
      <c r="A107">
        <v>106</v>
      </c>
      <c r="B107" t="s">
        <v>16</v>
      </c>
      <c r="C107" t="s">
        <v>17</v>
      </c>
      <c r="D107" s="1">
        <v>46052</v>
      </c>
      <c r="E107" t="s">
        <v>9</v>
      </c>
      <c r="F107">
        <v>0</v>
      </c>
      <c r="G107">
        <v>15</v>
      </c>
      <c r="H107" t="s">
        <v>19</v>
      </c>
      <c r="I107" t="s">
        <v>37</v>
      </c>
      <c r="J107">
        <v>1.02</v>
      </c>
      <c r="K107" t="s">
        <v>12</v>
      </c>
      <c r="L107">
        <v>0</v>
      </c>
      <c r="M107">
        <v>2.5</v>
      </c>
      <c r="N107">
        <v>14</v>
      </c>
      <c r="O107" t="s">
        <v>22</v>
      </c>
      <c r="P107">
        <v>2</v>
      </c>
      <c r="Q107">
        <v>3.49</v>
      </c>
      <c r="R107">
        <v>40.700000000000003</v>
      </c>
      <c r="S107">
        <v>115.2</v>
      </c>
      <c r="T107">
        <v>6.23</v>
      </c>
      <c r="U107">
        <v>1</v>
      </c>
      <c r="V107">
        <v>0</v>
      </c>
      <c r="W107">
        <v>121.43</v>
      </c>
      <c r="X107">
        <v>38.299999999999997</v>
      </c>
      <c r="Y107">
        <v>104.97</v>
      </c>
      <c r="Z107">
        <v>9.56</v>
      </c>
      <c r="AA107">
        <v>3.64</v>
      </c>
      <c r="AB107">
        <v>108.23</v>
      </c>
      <c r="AC107">
        <v>159.55282555282557</v>
      </c>
      <c r="AD107">
        <v>31.011461318051577</v>
      </c>
      <c r="AE107">
        <v>69.73</v>
      </c>
      <c r="AF107">
        <v>17.579999999999998</v>
      </c>
      <c r="AG107">
        <v>0</v>
      </c>
      <c r="AH107">
        <v>-12.38</v>
      </c>
      <c r="AI107">
        <v>5</v>
      </c>
      <c r="AJ107">
        <v>144.87</v>
      </c>
      <c r="AK107">
        <v>69.12</v>
      </c>
      <c r="AL107" t="s">
        <v>23</v>
      </c>
      <c r="AM107" t="s">
        <v>24</v>
      </c>
      <c r="AN107" t="str">
        <f t="shared" si="4"/>
        <v>Evening</v>
      </c>
      <c r="AO107" t="str">
        <f t="shared" si="5"/>
        <v>Off-Peak</v>
      </c>
      <c r="AP107" t="str">
        <f t="shared" si="6"/>
        <v>Medium</v>
      </c>
      <c r="AQ107" t="str">
        <f t="shared" si="7"/>
        <v>Low</v>
      </c>
    </row>
    <row r="108" spans="1:43" x14ac:dyDescent="0.3">
      <c r="A108">
        <v>107</v>
      </c>
      <c r="B108" t="s">
        <v>16</v>
      </c>
      <c r="C108" t="s">
        <v>17</v>
      </c>
      <c r="D108" s="1">
        <v>46141</v>
      </c>
      <c r="E108" t="s">
        <v>18</v>
      </c>
      <c r="F108">
        <v>0</v>
      </c>
      <c r="G108">
        <v>9</v>
      </c>
      <c r="H108" t="s">
        <v>27</v>
      </c>
      <c r="I108" t="s">
        <v>42</v>
      </c>
      <c r="J108">
        <v>1.08</v>
      </c>
      <c r="K108" t="s">
        <v>34</v>
      </c>
      <c r="L108">
        <v>1</v>
      </c>
      <c r="M108">
        <v>3.89</v>
      </c>
      <c r="N108">
        <v>104</v>
      </c>
      <c r="O108" t="s">
        <v>13</v>
      </c>
      <c r="P108">
        <v>24</v>
      </c>
      <c r="Q108">
        <v>7.12</v>
      </c>
      <c r="R108">
        <v>59.3</v>
      </c>
      <c r="S108">
        <v>132.96</v>
      </c>
      <c r="T108">
        <v>100</v>
      </c>
      <c r="U108">
        <v>1.3</v>
      </c>
      <c r="V108">
        <v>39.89</v>
      </c>
      <c r="W108">
        <v>272.85000000000002</v>
      </c>
      <c r="X108">
        <v>37.1</v>
      </c>
      <c r="Y108">
        <v>100.78</v>
      </c>
      <c r="Z108">
        <v>19.37</v>
      </c>
      <c r="AA108">
        <v>11.45</v>
      </c>
      <c r="AB108">
        <v>242.03</v>
      </c>
      <c r="AC108">
        <v>244.88701517706579</v>
      </c>
      <c r="AD108">
        <v>33.992977528089888</v>
      </c>
      <c r="AE108">
        <v>92.68</v>
      </c>
      <c r="AF108">
        <v>17.3</v>
      </c>
      <c r="AG108">
        <v>1</v>
      </c>
      <c r="AH108">
        <v>16.03</v>
      </c>
      <c r="AI108">
        <v>120.03</v>
      </c>
      <c r="AJ108">
        <v>224.85</v>
      </c>
      <c r="AK108">
        <v>73.2</v>
      </c>
      <c r="AL108" t="s">
        <v>23</v>
      </c>
      <c r="AM108" t="s">
        <v>24</v>
      </c>
      <c r="AN108" t="str">
        <f t="shared" si="4"/>
        <v>Morning</v>
      </c>
      <c r="AO108" t="str">
        <f t="shared" si="5"/>
        <v>Peak</v>
      </c>
      <c r="AP108" t="str">
        <f t="shared" si="6"/>
        <v>Medium</v>
      </c>
      <c r="AQ108" t="str">
        <f t="shared" si="7"/>
        <v>High</v>
      </c>
    </row>
    <row r="109" spans="1:43" x14ac:dyDescent="0.3">
      <c r="A109">
        <v>108</v>
      </c>
      <c r="B109" t="s">
        <v>25</v>
      </c>
      <c r="C109" t="s">
        <v>17</v>
      </c>
      <c r="D109" s="1">
        <v>46182</v>
      </c>
      <c r="E109" t="s">
        <v>44</v>
      </c>
      <c r="F109">
        <v>0</v>
      </c>
      <c r="G109">
        <v>19</v>
      </c>
      <c r="H109" t="s">
        <v>40</v>
      </c>
      <c r="I109" t="s">
        <v>42</v>
      </c>
      <c r="J109">
        <v>1.08</v>
      </c>
      <c r="K109" t="s">
        <v>34</v>
      </c>
      <c r="L109">
        <v>1</v>
      </c>
      <c r="M109">
        <v>5</v>
      </c>
      <c r="N109">
        <v>80</v>
      </c>
      <c r="O109" t="s">
        <v>13</v>
      </c>
      <c r="P109">
        <v>17</v>
      </c>
      <c r="Q109">
        <v>6.46</v>
      </c>
      <c r="R109">
        <v>50.4</v>
      </c>
      <c r="S109">
        <v>129.66999999999999</v>
      </c>
      <c r="T109">
        <v>92.65</v>
      </c>
      <c r="U109">
        <v>1.46</v>
      </c>
      <c r="V109">
        <v>59.65</v>
      </c>
      <c r="W109">
        <v>281.97000000000003</v>
      </c>
      <c r="X109">
        <v>46.1</v>
      </c>
      <c r="Y109">
        <v>109.56</v>
      </c>
      <c r="Z109">
        <v>15.35</v>
      </c>
      <c r="AA109">
        <v>3.03</v>
      </c>
      <c r="AB109">
        <v>263.58999999999997</v>
      </c>
      <c r="AC109">
        <v>313.79761904761904</v>
      </c>
      <c r="AD109">
        <v>40.803405572755416</v>
      </c>
      <c r="AE109">
        <v>62.66</v>
      </c>
      <c r="AF109">
        <v>15.88</v>
      </c>
      <c r="AG109">
        <v>1</v>
      </c>
      <c r="AH109">
        <v>-10.62</v>
      </c>
      <c r="AI109">
        <v>69.38</v>
      </c>
      <c r="AJ109">
        <v>345.3</v>
      </c>
      <c r="AK109">
        <v>73.25</v>
      </c>
      <c r="AL109" t="s">
        <v>23</v>
      </c>
      <c r="AM109" t="s">
        <v>24</v>
      </c>
      <c r="AN109" t="str">
        <f t="shared" si="4"/>
        <v>Night</v>
      </c>
      <c r="AO109" t="str">
        <f t="shared" si="5"/>
        <v>Peak</v>
      </c>
      <c r="AP109" t="str">
        <f t="shared" si="6"/>
        <v>High</v>
      </c>
      <c r="AQ109" t="str">
        <f t="shared" si="7"/>
        <v>High</v>
      </c>
    </row>
    <row r="110" spans="1:43" x14ac:dyDescent="0.3">
      <c r="A110">
        <v>109</v>
      </c>
      <c r="B110" t="s">
        <v>29</v>
      </c>
      <c r="C110" t="s">
        <v>30</v>
      </c>
      <c r="D110" s="1">
        <v>46128</v>
      </c>
      <c r="E110" t="s">
        <v>41</v>
      </c>
      <c r="F110">
        <v>0</v>
      </c>
      <c r="G110">
        <v>14</v>
      </c>
      <c r="H110" t="s">
        <v>43</v>
      </c>
      <c r="I110" t="s">
        <v>20</v>
      </c>
      <c r="J110">
        <v>1.25</v>
      </c>
      <c r="K110" t="s">
        <v>12</v>
      </c>
      <c r="L110">
        <v>0</v>
      </c>
      <c r="M110">
        <v>2.95</v>
      </c>
      <c r="N110">
        <v>37</v>
      </c>
      <c r="O110" t="s">
        <v>35</v>
      </c>
      <c r="P110">
        <v>8</v>
      </c>
      <c r="Q110">
        <v>1.54</v>
      </c>
      <c r="R110">
        <v>36.799999999999997</v>
      </c>
      <c r="S110">
        <v>56.91</v>
      </c>
      <c r="T110">
        <v>20.399999999999999</v>
      </c>
      <c r="U110">
        <v>1</v>
      </c>
      <c r="V110">
        <v>0</v>
      </c>
      <c r="W110">
        <v>77.31</v>
      </c>
      <c r="X110">
        <v>45.1</v>
      </c>
      <c r="Y110">
        <v>103.14</v>
      </c>
      <c r="Z110">
        <v>3.52</v>
      </c>
      <c r="AA110">
        <v>4.67</v>
      </c>
      <c r="AB110">
        <v>69.12</v>
      </c>
      <c r="AC110">
        <v>112.69565217391306</v>
      </c>
      <c r="AD110">
        <v>44.883116883116884</v>
      </c>
      <c r="AE110">
        <v>74.53</v>
      </c>
      <c r="AF110">
        <v>13.83</v>
      </c>
      <c r="AG110">
        <v>0</v>
      </c>
      <c r="AH110">
        <v>7.38</v>
      </c>
      <c r="AI110">
        <v>44.38</v>
      </c>
      <c r="AJ110">
        <v>107.47</v>
      </c>
      <c r="AK110">
        <v>70.05</v>
      </c>
      <c r="AL110" t="s">
        <v>14</v>
      </c>
      <c r="AM110" t="s">
        <v>15</v>
      </c>
      <c r="AN110" t="str">
        <f t="shared" si="4"/>
        <v>Afternoon</v>
      </c>
      <c r="AO110" t="str">
        <f t="shared" si="5"/>
        <v>Off-Peak</v>
      </c>
      <c r="AP110" t="str">
        <f t="shared" si="6"/>
        <v>Low</v>
      </c>
      <c r="AQ110" t="str">
        <f t="shared" si="7"/>
        <v>Medium</v>
      </c>
    </row>
    <row r="111" spans="1:43" x14ac:dyDescent="0.3">
      <c r="A111">
        <v>110</v>
      </c>
      <c r="B111" t="s">
        <v>25</v>
      </c>
      <c r="C111" t="s">
        <v>17</v>
      </c>
      <c r="D111" s="1">
        <v>46054</v>
      </c>
      <c r="E111" t="s">
        <v>26</v>
      </c>
      <c r="F111">
        <v>1</v>
      </c>
      <c r="G111">
        <v>20</v>
      </c>
      <c r="H111" t="s">
        <v>40</v>
      </c>
      <c r="I111" t="s">
        <v>11</v>
      </c>
      <c r="J111">
        <v>1.18</v>
      </c>
      <c r="K111" t="s">
        <v>21</v>
      </c>
      <c r="L111">
        <v>0</v>
      </c>
      <c r="M111">
        <v>5</v>
      </c>
      <c r="N111">
        <v>83</v>
      </c>
      <c r="O111" t="s">
        <v>13</v>
      </c>
      <c r="P111">
        <v>12</v>
      </c>
      <c r="Q111">
        <v>3.5</v>
      </c>
      <c r="R111">
        <v>49.1</v>
      </c>
      <c r="S111">
        <v>110.91</v>
      </c>
      <c r="T111">
        <v>99.16</v>
      </c>
      <c r="U111">
        <v>1.26</v>
      </c>
      <c r="V111">
        <v>28.84</v>
      </c>
      <c r="W111">
        <v>238.91</v>
      </c>
      <c r="X111">
        <v>39.1</v>
      </c>
      <c r="Y111">
        <v>100.02</v>
      </c>
      <c r="Z111">
        <v>8.9499999999999993</v>
      </c>
      <c r="AA111">
        <v>11.21</v>
      </c>
      <c r="AB111">
        <v>218.75</v>
      </c>
      <c r="AC111">
        <v>267.31160896130348</v>
      </c>
      <c r="AD111">
        <v>62.5</v>
      </c>
      <c r="AE111">
        <v>88.47</v>
      </c>
      <c r="AF111">
        <v>18.7</v>
      </c>
      <c r="AG111">
        <v>1</v>
      </c>
      <c r="AH111">
        <v>-17.850000000000001</v>
      </c>
      <c r="AI111">
        <v>65.150000000000006</v>
      </c>
      <c r="AJ111">
        <v>288.52999999999997</v>
      </c>
      <c r="AK111">
        <v>74.489999999999995</v>
      </c>
      <c r="AL111" t="s">
        <v>23</v>
      </c>
      <c r="AM111" t="s">
        <v>24</v>
      </c>
      <c r="AN111" t="str">
        <f t="shared" si="4"/>
        <v>Night</v>
      </c>
      <c r="AO111" t="str">
        <f t="shared" si="5"/>
        <v>Peak</v>
      </c>
      <c r="AP111" t="str">
        <f t="shared" si="6"/>
        <v>High</v>
      </c>
      <c r="AQ111" t="str">
        <f t="shared" si="7"/>
        <v>High</v>
      </c>
    </row>
    <row r="112" spans="1:43" x14ac:dyDescent="0.3">
      <c r="A112">
        <v>111</v>
      </c>
      <c r="B112" t="s">
        <v>14</v>
      </c>
      <c r="C112" t="s">
        <v>8</v>
      </c>
      <c r="D112" s="1">
        <v>46074</v>
      </c>
      <c r="E112" t="s">
        <v>31</v>
      </c>
      <c r="F112">
        <v>1</v>
      </c>
      <c r="G112">
        <v>12</v>
      </c>
      <c r="H112" t="s">
        <v>10</v>
      </c>
      <c r="I112" t="s">
        <v>39</v>
      </c>
      <c r="J112">
        <v>1.05</v>
      </c>
      <c r="K112" t="s">
        <v>12</v>
      </c>
      <c r="L112">
        <v>0</v>
      </c>
      <c r="M112">
        <v>4.1399999999999997</v>
      </c>
      <c r="N112">
        <v>83</v>
      </c>
      <c r="O112" t="s">
        <v>13</v>
      </c>
      <c r="P112">
        <v>30</v>
      </c>
      <c r="Q112">
        <v>11.13</v>
      </c>
      <c r="R112">
        <v>72.099999999999994</v>
      </c>
      <c r="S112">
        <v>136.24</v>
      </c>
      <c r="T112">
        <v>88.48</v>
      </c>
      <c r="U112">
        <v>1</v>
      </c>
      <c r="V112">
        <v>0</v>
      </c>
      <c r="W112">
        <v>224.72</v>
      </c>
      <c r="X112">
        <v>46.2</v>
      </c>
      <c r="Y112">
        <v>109.02</v>
      </c>
      <c r="Z112">
        <v>26.26</v>
      </c>
      <c r="AA112">
        <v>8.59</v>
      </c>
      <c r="AB112">
        <v>189.87</v>
      </c>
      <c r="AC112">
        <v>158.00554785020805</v>
      </c>
      <c r="AD112">
        <v>17.059299191374663</v>
      </c>
      <c r="AE112">
        <v>88.35</v>
      </c>
      <c r="AF112">
        <v>17.73</v>
      </c>
      <c r="AG112">
        <v>1</v>
      </c>
      <c r="AH112">
        <v>-14</v>
      </c>
      <c r="AI112">
        <v>69</v>
      </c>
      <c r="AJ112">
        <v>182.2</v>
      </c>
      <c r="AK112">
        <v>73.55</v>
      </c>
      <c r="AL112" t="s">
        <v>14</v>
      </c>
      <c r="AM112" t="s">
        <v>15</v>
      </c>
      <c r="AN112" t="str">
        <f t="shared" si="4"/>
        <v>Afternoon</v>
      </c>
      <c r="AO112" t="str">
        <f t="shared" si="5"/>
        <v>Off-Peak</v>
      </c>
      <c r="AP112" t="str">
        <f t="shared" si="6"/>
        <v>Medium</v>
      </c>
      <c r="AQ112" t="str">
        <f t="shared" si="7"/>
        <v>High</v>
      </c>
    </row>
    <row r="113" spans="1:43" x14ac:dyDescent="0.3">
      <c r="A113">
        <v>112</v>
      </c>
      <c r="B113" t="s">
        <v>16</v>
      </c>
      <c r="C113" t="s">
        <v>17</v>
      </c>
      <c r="D113" s="1">
        <v>46242</v>
      </c>
      <c r="E113" t="s">
        <v>31</v>
      </c>
      <c r="F113">
        <v>1</v>
      </c>
      <c r="G113">
        <v>22</v>
      </c>
      <c r="H113" t="s">
        <v>19</v>
      </c>
      <c r="I113" t="s">
        <v>50</v>
      </c>
      <c r="J113">
        <v>1.2</v>
      </c>
      <c r="K113" t="s">
        <v>12</v>
      </c>
      <c r="L113">
        <v>0</v>
      </c>
      <c r="M113">
        <v>2.2599999999999998</v>
      </c>
      <c r="N113">
        <v>43</v>
      </c>
      <c r="O113" t="s">
        <v>35</v>
      </c>
      <c r="P113">
        <v>10</v>
      </c>
      <c r="Q113">
        <v>12.91</v>
      </c>
      <c r="R113">
        <v>70</v>
      </c>
      <c r="S113">
        <v>205.69</v>
      </c>
      <c r="T113">
        <v>54.05</v>
      </c>
      <c r="U113">
        <v>1.1200000000000001</v>
      </c>
      <c r="V113">
        <v>24.68</v>
      </c>
      <c r="W113">
        <v>284.42</v>
      </c>
      <c r="X113">
        <v>42.6</v>
      </c>
      <c r="Y113">
        <v>105.77</v>
      </c>
      <c r="Z113">
        <v>32.07</v>
      </c>
      <c r="AA113">
        <v>3.89</v>
      </c>
      <c r="AB113">
        <v>248.46</v>
      </c>
      <c r="AC113">
        <v>212.96571428571428</v>
      </c>
      <c r="AD113">
        <v>19.245546088303641</v>
      </c>
      <c r="AE113">
        <v>80.72</v>
      </c>
      <c r="AF113">
        <v>11.65</v>
      </c>
      <c r="AG113">
        <v>1</v>
      </c>
      <c r="AH113">
        <v>-14.73</v>
      </c>
      <c r="AI113">
        <v>28.27</v>
      </c>
      <c r="AJ113">
        <v>196.81</v>
      </c>
      <c r="AK113">
        <v>73.47</v>
      </c>
      <c r="AL113" t="s">
        <v>23</v>
      </c>
      <c r="AM113" t="s">
        <v>24</v>
      </c>
      <c r="AN113" t="str">
        <f t="shared" si="4"/>
        <v>Night</v>
      </c>
      <c r="AO113" t="str">
        <f t="shared" si="5"/>
        <v>Off-Peak</v>
      </c>
      <c r="AP113" t="str">
        <f t="shared" si="6"/>
        <v>Medium</v>
      </c>
      <c r="AQ113" t="str">
        <f t="shared" si="7"/>
        <v>Medium</v>
      </c>
    </row>
    <row r="114" spans="1:43" x14ac:dyDescent="0.3">
      <c r="A114">
        <v>113</v>
      </c>
      <c r="B114" t="s">
        <v>29</v>
      </c>
      <c r="C114" t="s">
        <v>30</v>
      </c>
      <c r="D114" s="1">
        <v>46271</v>
      </c>
      <c r="E114" t="s">
        <v>26</v>
      </c>
      <c r="F114">
        <v>1</v>
      </c>
      <c r="G114">
        <v>19</v>
      </c>
      <c r="H114" t="s">
        <v>32</v>
      </c>
      <c r="I114" t="s">
        <v>33</v>
      </c>
      <c r="J114">
        <v>1</v>
      </c>
      <c r="K114" t="s">
        <v>12</v>
      </c>
      <c r="L114">
        <v>0</v>
      </c>
      <c r="M114">
        <v>5</v>
      </c>
      <c r="N114">
        <v>102</v>
      </c>
      <c r="O114" t="s">
        <v>13</v>
      </c>
      <c r="P114">
        <v>34</v>
      </c>
      <c r="Q114">
        <v>7.39</v>
      </c>
      <c r="R114">
        <v>63.8</v>
      </c>
      <c r="S114">
        <v>125.13</v>
      </c>
      <c r="T114">
        <v>100</v>
      </c>
      <c r="U114">
        <v>1</v>
      </c>
      <c r="V114">
        <v>0</v>
      </c>
      <c r="W114">
        <v>225.13</v>
      </c>
      <c r="X114">
        <v>40.200000000000003</v>
      </c>
      <c r="Y114">
        <v>107.33</v>
      </c>
      <c r="Z114">
        <v>19.73</v>
      </c>
      <c r="AA114">
        <v>7.92</v>
      </c>
      <c r="AB114">
        <v>197.48</v>
      </c>
      <c r="AC114">
        <v>185.71786833855799</v>
      </c>
      <c r="AD114">
        <v>26.722598105548037</v>
      </c>
      <c r="AE114">
        <v>85.64</v>
      </c>
      <c r="AF114">
        <v>15.63</v>
      </c>
      <c r="AG114">
        <v>1</v>
      </c>
      <c r="AH114">
        <v>-1.34</v>
      </c>
      <c r="AI114">
        <v>100.66</v>
      </c>
      <c r="AJ114">
        <v>179.77</v>
      </c>
      <c r="AK114">
        <v>83.95</v>
      </c>
      <c r="AL114" t="s">
        <v>14</v>
      </c>
      <c r="AM114" t="s">
        <v>15</v>
      </c>
      <c r="AN114" t="str">
        <f t="shared" si="4"/>
        <v>Night</v>
      </c>
      <c r="AO114" t="str">
        <f t="shared" si="5"/>
        <v>Peak</v>
      </c>
      <c r="AP114" t="str">
        <f t="shared" si="6"/>
        <v>Medium</v>
      </c>
      <c r="AQ114" t="str">
        <f t="shared" si="7"/>
        <v>High</v>
      </c>
    </row>
    <row r="115" spans="1:43" x14ac:dyDescent="0.3">
      <c r="A115">
        <v>114</v>
      </c>
      <c r="B115" t="s">
        <v>29</v>
      </c>
      <c r="C115" t="s">
        <v>30</v>
      </c>
      <c r="D115" s="1">
        <v>46217</v>
      </c>
      <c r="E115" t="s">
        <v>44</v>
      </c>
      <c r="F115">
        <v>0</v>
      </c>
      <c r="G115">
        <v>10</v>
      </c>
      <c r="H115" t="s">
        <v>47</v>
      </c>
      <c r="I115" t="s">
        <v>11</v>
      </c>
      <c r="J115">
        <v>1.18</v>
      </c>
      <c r="K115" t="s">
        <v>12</v>
      </c>
      <c r="L115">
        <v>0</v>
      </c>
      <c r="M115">
        <v>3.5</v>
      </c>
      <c r="N115">
        <v>5</v>
      </c>
      <c r="O115" t="s">
        <v>22</v>
      </c>
      <c r="P115">
        <v>1</v>
      </c>
      <c r="Q115">
        <v>2.57</v>
      </c>
      <c r="R115">
        <v>32.200000000000003</v>
      </c>
      <c r="S115">
        <v>72.47</v>
      </c>
      <c r="T115">
        <v>16.940000000000001</v>
      </c>
      <c r="U115">
        <v>1</v>
      </c>
      <c r="V115">
        <v>0</v>
      </c>
      <c r="W115">
        <v>89.41</v>
      </c>
      <c r="X115">
        <v>46.8</v>
      </c>
      <c r="Y115">
        <v>101.53</v>
      </c>
      <c r="Z115">
        <v>5.57</v>
      </c>
      <c r="AA115">
        <v>3.8</v>
      </c>
      <c r="AB115">
        <v>80.040000000000006</v>
      </c>
      <c r="AC115">
        <v>149.14285714285714</v>
      </c>
      <c r="AD115">
        <v>31.143968871595334</v>
      </c>
      <c r="AE115">
        <v>64.069999999999993</v>
      </c>
      <c r="AF115">
        <v>16.96</v>
      </c>
      <c r="AG115">
        <v>0</v>
      </c>
      <c r="AH115">
        <v>5.71</v>
      </c>
      <c r="AI115">
        <v>10.71</v>
      </c>
      <c r="AJ115">
        <v>175.4</v>
      </c>
      <c r="AK115">
        <v>66.77</v>
      </c>
      <c r="AL115" t="s">
        <v>14</v>
      </c>
      <c r="AM115" t="s">
        <v>15</v>
      </c>
      <c r="AN115" t="str">
        <f t="shared" si="4"/>
        <v>Morning</v>
      </c>
      <c r="AO115" t="str">
        <f t="shared" si="5"/>
        <v>Peak</v>
      </c>
      <c r="AP115" t="str">
        <f t="shared" si="6"/>
        <v>Low</v>
      </c>
      <c r="AQ115" t="str">
        <f t="shared" si="7"/>
        <v>Low</v>
      </c>
    </row>
    <row r="116" spans="1:43" x14ac:dyDescent="0.3">
      <c r="A116">
        <v>115</v>
      </c>
      <c r="B116" t="s">
        <v>29</v>
      </c>
      <c r="C116" t="s">
        <v>30</v>
      </c>
      <c r="D116" s="1">
        <v>46049</v>
      </c>
      <c r="E116" t="s">
        <v>44</v>
      </c>
      <c r="F116">
        <v>0</v>
      </c>
      <c r="G116">
        <v>18</v>
      </c>
      <c r="H116" t="s">
        <v>32</v>
      </c>
      <c r="I116" t="s">
        <v>28</v>
      </c>
      <c r="J116">
        <v>1.03</v>
      </c>
      <c r="K116" t="s">
        <v>12</v>
      </c>
      <c r="L116">
        <v>0</v>
      </c>
      <c r="M116">
        <v>4.68</v>
      </c>
      <c r="N116">
        <v>52</v>
      </c>
      <c r="O116" t="s">
        <v>35</v>
      </c>
      <c r="P116">
        <v>12</v>
      </c>
      <c r="Q116">
        <v>1</v>
      </c>
      <c r="R116">
        <v>32.9</v>
      </c>
      <c r="S116">
        <v>64.94</v>
      </c>
      <c r="T116">
        <v>74.47</v>
      </c>
      <c r="U116">
        <v>1</v>
      </c>
      <c r="V116">
        <v>0</v>
      </c>
      <c r="W116">
        <v>139.41</v>
      </c>
      <c r="X116">
        <v>44.3</v>
      </c>
      <c r="Y116">
        <v>104.05</v>
      </c>
      <c r="Z116">
        <v>2.35</v>
      </c>
      <c r="AA116">
        <v>10.74</v>
      </c>
      <c r="AB116">
        <v>126.32</v>
      </c>
      <c r="AC116">
        <v>230.370820668693</v>
      </c>
      <c r="AD116">
        <v>126.32</v>
      </c>
      <c r="AE116">
        <v>87.15</v>
      </c>
      <c r="AF116">
        <v>15.66</v>
      </c>
      <c r="AG116">
        <v>1</v>
      </c>
      <c r="AH116">
        <v>8.4700000000000006</v>
      </c>
      <c r="AI116">
        <v>60.47</v>
      </c>
      <c r="AJ116">
        <v>237.49</v>
      </c>
      <c r="AK116">
        <v>73.45</v>
      </c>
      <c r="AL116" t="s">
        <v>14</v>
      </c>
      <c r="AM116" t="s">
        <v>15</v>
      </c>
      <c r="AN116" t="str">
        <f t="shared" si="4"/>
        <v>Night</v>
      </c>
      <c r="AO116" t="str">
        <f t="shared" si="5"/>
        <v>Peak</v>
      </c>
      <c r="AP116" t="str">
        <f t="shared" si="6"/>
        <v>Medium</v>
      </c>
      <c r="AQ116" t="str">
        <f t="shared" si="7"/>
        <v>Medium</v>
      </c>
    </row>
    <row r="117" spans="1:43" x14ac:dyDescent="0.3">
      <c r="A117">
        <v>116</v>
      </c>
      <c r="B117" t="s">
        <v>29</v>
      </c>
      <c r="C117" t="s">
        <v>30</v>
      </c>
      <c r="D117" s="1">
        <v>46234</v>
      </c>
      <c r="E117" t="s">
        <v>9</v>
      </c>
      <c r="F117">
        <v>0</v>
      </c>
      <c r="G117">
        <v>11</v>
      </c>
      <c r="H117" t="s">
        <v>43</v>
      </c>
      <c r="I117" t="s">
        <v>42</v>
      </c>
      <c r="J117">
        <v>1.08</v>
      </c>
      <c r="K117" t="s">
        <v>21</v>
      </c>
      <c r="L117">
        <v>0</v>
      </c>
      <c r="M117">
        <v>3.95</v>
      </c>
      <c r="N117">
        <v>5</v>
      </c>
      <c r="O117" t="s">
        <v>22</v>
      </c>
      <c r="P117">
        <v>1</v>
      </c>
      <c r="Q117">
        <v>2.2999999999999998</v>
      </c>
      <c r="R117">
        <v>37.9</v>
      </c>
      <c r="S117">
        <v>74.010000000000005</v>
      </c>
      <c r="T117">
        <v>14.09</v>
      </c>
      <c r="U117">
        <v>1</v>
      </c>
      <c r="V117">
        <v>0</v>
      </c>
      <c r="W117">
        <v>88.1</v>
      </c>
      <c r="X117">
        <v>42.6</v>
      </c>
      <c r="Y117">
        <v>106.45</v>
      </c>
      <c r="Z117">
        <v>5.74</v>
      </c>
      <c r="AA117">
        <v>2.5</v>
      </c>
      <c r="AB117">
        <v>79.86</v>
      </c>
      <c r="AC117">
        <v>126.4274406332454</v>
      </c>
      <c r="AD117">
        <v>34.721739130434784</v>
      </c>
      <c r="AE117">
        <v>62.8</v>
      </c>
      <c r="AF117">
        <v>18.53</v>
      </c>
      <c r="AG117">
        <v>0</v>
      </c>
      <c r="AH117">
        <v>-23.58</v>
      </c>
      <c r="AI117">
        <v>5</v>
      </c>
      <c r="AJ117">
        <v>116.66</v>
      </c>
      <c r="AK117">
        <v>62.25</v>
      </c>
      <c r="AL117" t="s">
        <v>14</v>
      </c>
      <c r="AM117" t="s">
        <v>15</v>
      </c>
      <c r="AN117" t="str">
        <f t="shared" si="4"/>
        <v>Afternoon</v>
      </c>
      <c r="AO117" t="str">
        <f t="shared" si="5"/>
        <v>Off-Peak</v>
      </c>
      <c r="AP117" t="str">
        <f t="shared" si="6"/>
        <v>Low</v>
      </c>
      <c r="AQ117" t="str">
        <f t="shared" si="7"/>
        <v>Low</v>
      </c>
    </row>
    <row r="118" spans="1:43" x14ac:dyDescent="0.3">
      <c r="A118">
        <v>117</v>
      </c>
      <c r="B118" t="s">
        <v>7</v>
      </c>
      <c r="C118" t="s">
        <v>8</v>
      </c>
      <c r="D118" s="1">
        <v>46201</v>
      </c>
      <c r="E118" t="s">
        <v>26</v>
      </c>
      <c r="F118">
        <v>1</v>
      </c>
      <c r="G118">
        <v>12</v>
      </c>
      <c r="H118" t="s">
        <v>10</v>
      </c>
      <c r="I118" t="s">
        <v>33</v>
      </c>
      <c r="J118">
        <v>1</v>
      </c>
      <c r="K118" t="s">
        <v>12</v>
      </c>
      <c r="L118">
        <v>0</v>
      </c>
      <c r="M118">
        <v>3.58</v>
      </c>
      <c r="N118">
        <v>74</v>
      </c>
      <c r="O118" t="s">
        <v>13</v>
      </c>
      <c r="P118">
        <v>21</v>
      </c>
      <c r="Q118">
        <v>1.36</v>
      </c>
      <c r="R118">
        <v>25.6</v>
      </c>
      <c r="S118">
        <v>54.74</v>
      </c>
      <c r="T118">
        <v>100</v>
      </c>
      <c r="U118">
        <v>1</v>
      </c>
      <c r="V118">
        <v>0</v>
      </c>
      <c r="W118">
        <v>154.74</v>
      </c>
      <c r="X118">
        <v>46.6</v>
      </c>
      <c r="Y118">
        <v>102.51</v>
      </c>
      <c r="Z118">
        <v>2.98</v>
      </c>
      <c r="AA118">
        <v>7.3</v>
      </c>
      <c r="AB118">
        <v>144.46</v>
      </c>
      <c r="AC118">
        <v>338.578125</v>
      </c>
      <c r="AD118">
        <v>106.22058823529412</v>
      </c>
      <c r="AE118">
        <v>68.8</v>
      </c>
      <c r="AF118">
        <v>13.38</v>
      </c>
      <c r="AG118">
        <v>1</v>
      </c>
      <c r="AH118">
        <v>0.47</v>
      </c>
      <c r="AI118">
        <v>74.47</v>
      </c>
      <c r="AJ118">
        <v>331.12</v>
      </c>
      <c r="AK118">
        <v>79.88</v>
      </c>
      <c r="AL118" t="s">
        <v>14</v>
      </c>
      <c r="AM118" t="s">
        <v>15</v>
      </c>
      <c r="AN118" t="str">
        <f t="shared" si="4"/>
        <v>Afternoon</v>
      </c>
      <c r="AO118" t="str">
        <f t="shared" si="5"/>
        <v>Off-Peak</v>
      </c>
      <c r="AP118" t="str">
        <f t="shared" si="6"/>
        <v>High</v>
      </c>
      <c r="AQ118" t="str">
        <f t="shared" si="7"/>
        <v>High</v>
      </c>
    </row>
    <row r="119" spans="1:43" x14ac:dyDescent="0.3">
      <c r="A119">
        <v>118</v>
      </c>
      <c r="B119" t="s">
        <v>7</v>
      </c>
      <c r="C119" t="s">
        <v>8</v>
      </c>
      <c r="D119" s="1">
        <v>46158</v>
      </c>
      <c r="E119" t="s">
        <v>31</v>
      </c>
      <c r="F119">
        <v>1</v>
      </c>
      <c r="G119">
        <v>11</v>
      </c>
      <c r="H119" t="s">
        <v>10</v>
      </c>
      <c r="I119" t="s">
        <v>39</v>
      </c>
      <c r="J119">
        <v>1.05</v>
      </c>
      <c r="K119" t="s">
        <v>12</v>
      </c>
      <c r="L119">
        <v>0</v>
      </c>
      <c r="M119">
        <v>2.9</v>
      </c>
      <c r="N119">
        <v>33</v>
      </c>
      <c r="O119" t="s">
        <v>22</v>
      </c>
      <c r="P119">
        <v>15</v>
      </c>
      <c r="Q119">
        <v>11.66</v>
      </c>
      <c r="R119">
        <v>66.5</v>
      </c>
      <c r="S119">
        <v>148.69999999999999</v>
      </c>
      <c r="T119">
        <v>39.200000000000003</v>
      </c>
      <c r="U119">
        <v>1</v>
      </c>
      <c r="V119">
        <v>0</v>
      </c>
      <c r="W119">
        <v>187.9</v>
      </c>
      <c r="X119">
        <v>43.2</v>
      </c>
      <c r="Y119">
        <v>107.01</v>
      </c>
      <c r="Z119">
        <v>28.9</v>
      </c>
      <c r="AA119">
        <v>2.63</v>
      </c>
      <c r="AB119">
        <v>156.37</v>
      </c>
      <c r="AC119">
        <v>141.08571428571429</v>
      </c>
      <c r="AD119">
        <v>13.410806174957118</v>
      </c>
      <c r="AE119">
        <v>77.739999999999995</v>
      </c>
      <c r="AF119">
        <v>14.11</v>
      </c>
      <c r="AG119">
        <v>1</v>
      </c>
      <c r="AH119">
        <v>-8.26</v>
      </c>
      <c r="AI119">
        <v>24.74</v>
      </c>
      <c r="AJ119">
        <v>139</v>
      </c>
      <c r="AK119">
        <v>62.41</v>
      </c>
      <c r="AL119" t="s">
        <v>14</v>
      </c>
      <c r="AM119" t="s">
        <v>15</v>
      </c>
      <c r="AN119" t="str">
        <f t="shared" si="4"/>
        <v>Afternoon</v>
      </c>
      <c r="AO119" t="str">
        <f t="shared" si="5"/>
        <v>Off-Peak</v>
      </c>
      <c r="AP119" t="str">
        <f t="shared" si="6"/>
        <v>Low</v>
      </c>
      <c r="AQ119" t="str">
        <f t="shared" si="7"/>
        <v>Low</v>
      </c>
    </row>
    <row r="120" spans="1:43" x14ac:dyDescent="0.3">
      <c r="A120">
        <v>119</v>
      </c>
      <c r="B120" t="s">
        <v>14</v>
      </c>
      <c r="C120" t="s">
        <v>8</v>
      </c>
      <c r="D120" s="1">
        <v>46059</v>
      </c>
      <c r="E120" t="s">
        <v>9</v>
      </c>
      <c r="F120">
        <v>0</v>
      </c>
      <c r="G120">
        <v>17</v>
      </c>
      <c r="H120" t="s">
        <v>32</v>
      </c>
      <c r="I120" t="s">
        <v>20</v>
      </c>
      <c r="J120">
        <v>1.25</v>
      </c>
      <c r="K120" t="s">
        <v>12</v>
      </c>
      <c r="L120">
        <v>0</v>
      </c>
      <c r="M120">
        <v>2.86</v>
      </c>
      <c r="N120">
        <v>8</v>
      </c>
      <c r="O120" t="s">
        <v>22</v>
      </c>
      <c r="P120">
        <v>3</v>
      </c>
      <c r="Q120">
        <v>1</v>
      </c>
      <c r="R120">
        <v>25.9</v>
      </c>
      <c r="S120">
        <v>52.05</v>
      </c>
      <c r="T120">
        <v>40.43</v>
      </c>
      <c r="U120">
        <v>1</v>
      </c>
      <c r="V120">
        <v>0</v>
      </c>
      <c r="W120">
        <v>92.48</v>
      </c>
      <c r="X120">
        <v>49.1</v>
      </c>
      <c r="Y120">
        <v>102.34</v>
      </c>
      <c r="Z120">
        <v>2.09</v>
      </c>
      <c r="AA120">
        <v>8.9499999999999993</v>
      </c>
      <c r="AB120">
        <v>81.44</v>
      </c>
      <c r="AC120">
        <v>188.66409266409266</v>
      </c>
      <c r="AD120">
        <v>81.44</v>
      </c>
      <c r="AE120">
        <v>68.7</v>
      </c>
      <c r="AF120">
        <v>15.81</v>
      </c>
      <c r="AG120">
        <v>0</v>
      </c>
      <c r="AH120">
        <v>11.01</v>
      </c>
      <c r="AI120">
        <v>19.010000000000002</v>
      </c>
      <c r="AJ120">
        <v>211.43</v>
      </c>
      <c r="AK120">
        <v>69.150000000000006</v>
      </c>
      <c r="AL120" t="s">
        <v>14</v>
      </c>
      <c r="AM120" t="s">
        <v>15</v>
      </c>
      <c r="AN120" t="str">
        <f t="shared" si="4"/>
        <v>Evening</v>
      </c>
      <c r="AO120" t="str">
        <f t="shared" si="5"/>
        <v>Peak</v>
      </c>
      <c r="AP120" t="str">
        <f t="shared" si="6"/>
        <v>Medium</v>
      </c>
      <c r="AQ120" t="str">
        <f t="shared" si="7"/>
        <v>Low</v>
      </c>
    </row>
    <row r="121" spans="1:43" x14ac:dyDescent="0.3">
      <c r="A121">
        <v>120</v>
      </c>
      <c r="B121" t="s">
        <v>7</v>
      </c>
      <c r="C121" t="s">
        <v>8</v>
      </c>
      <c r="D121" s="1">
        <v>46280</v>
      </c>
      <c r="E121" t="s">
        <v>44</v>
      </c>
      <c r="F121">
        <v>0</v>
      </c>
      <c r="G121">
        <v>11</v>
      </c>
      <c r="H121" t="s">
        <v>10</v>
      </c>
      <c r="I121" t="s">
        <v>50</v>
      </c>
      <c r="J121">
        <v>1.2</v>
      </c>
      <c r="K121" t="s">
        <v>12</v>
      </c>
      <c r="L121">
        <v>0</v>
      </c>
      <c r="M121">
        <v>1.97</v>
      </c>
      <c r="N121">
        <v>18</v>
      </c>
      <c r="O121" t="s">
        <v>22</v>
      </c>
      <c r="P121">
        <v>6</v>
      </c>
      <c r="Q121">
        <v>1.58</v>
      </c>
      <c r="R121">
        <v>20.3</v>
      </c>
      <c r="S121">
        <v>70.010000000000005</v>
      </c>
      <c r="T121">
        <v>9.01</v>
      </c>
      <c r="U121">
        <v>1</v>
      </c>
      <c r="V121">
        <v>0</v>
      </c>
      <c r="W121">
        <v>79.02</v>
      </c>
      <c r="X121">
        <v>47.3</v>
      </c>
      <c r="Y121">
        <v>102.09</v>
      </c>
      <c r="Z121">
        <v>3.41</v>
      </c>
      <c r="AA121">
        <v>11.36</v>
      </c>
      <c r="AB121">
        <v>64.25</v>
      </c>
      <c r="AC121">
        <v>189.90147783251231</v>
      </c>
      <c r="AD121">
        <v>40.664556962025316</v>
      </c>
      <c r="AE121">
        <v>75.09</v>
      </c>
      <c r="AF121">
        <v>11.34</v>
      </c>
      <c r="AG121">
        <v>0</v>
      </c>
      <c r="AH121">
        <v>-1.01</v>
      </c>
      <c r="AI121">
        <v>16.989999999999998</v>
      </c>
      <c r="AJ121">
        <v>200.11</v>
      </c>
      <c r="AK121">
        <v>70.77</v>
      </c>
      <c r="AL121" t="s">
        <v>14</v>
      </c>
      <c r="AM121" t="s">
        <v>15</v>
      </c>
      <c r="AN121" t="str">
        <f t="shared" si="4"/>
        <v>Afternoon</v>
      </c>
      <c r="AO121" t="str">
        <f t="shared" si="5"/>
        <v>Off-Peak</v>
      </c>
      <c r="AP121" t="str">
        <f t="shared" si="6"/>
        <v>Medium</v>
      </c>
      <c r="AQ121" t="str">
        <f t="shared" si="7"/>
        <v>Low</v>
      </c>
    </row>
    <row r="122" spans="1:43" x14ac:dyDescent="0.3">
      <c r="A122">
        <v>121</v>
      </c>
      <c r="B122" t="s">
        <v>29</v>
      </c>
      <c r="C122" t="s">
        <v>30</v>
      </c>
      <c r="D122" s="1">
        <v>46137</v>
      </c>
      <c r="E122" t="s">
        <v>31</v>
      </c>
      <c r="F122">
        <v>1</v>
      </c>
      <c r="G122">
        <v>17</v>
      </c>
      <c r="H122" t="s">
        <v>32</v>
      </c>
      <c r="I122" t="s">
        <v>46</v>
      </c>
      <c r="J122">
        <v>1.1499999999999999</v>
      </c>
      <c r="K122" t="s">
        <v>12</v>
      </c>
      <c r="L122">
        <v>0</v>
      </c>
      <c r="M122">
        <v>3.89</v>
      </c>
      <c r="N122">
        <v>66</v>
      </c>
      <c r="O122" t="s">
        <v>35</v>
      </c>
      <c r="P122">
        <v>22</v>
      </c>
      <c r="Q122">
        <v>4.79</v>
      </c>
      <c r="R122">
        <v>45.8</v>
      </c>
      <c r="S122">
        <v>86.18</v>
      </c>
      <c r="T122">
        <v>79.12</v>
      </c>
      <c r="U122">
        <v>1</v>
      </c>
      <c r="V122">
        <v>0</v>
      </c>
      <c r="W122">
        <v>165.3</v>
      </c>
      <c r="X122">
        <v>40.4</v>
      </c>
      <c r="Y122">
        <v>100.12</v>
      </c>
      <c r="Z122">
        <v>11.87</v>
      </c>
      <c r="AA122">
        <v>10.31</v>
      </c>
      <c r="AB122">
        <v>143.12</v>
      </c>
      <c r="AC122">
        <v>187.49344978165939</v>
      </c>
      <c r="AD122">
        <v>29.878914405010438</v>
      </c>
      <c r="AE122">
        <v>80.73</v>
      </c>
      <c r="AF122">
        <v>11.41</v>
      </c>
      <c r="AG122">
        <v>1</v>
      </c>
      <c r="AH122">
        <v>1.79</v>
      </c>
      <c r="AI122">
        <v>67.790000000000006</v>
      </c>
      <c r="AJ122">
        <v>198.12</v>
      </c>
      <c r="AK122">
        <v>79.92</v>
      </c>
      <c r="AL122" t="s">
        <v>23</v>
      </c>
      <c r="AM122" t="s">
        <v>24</v>
      </c>
      <c r="AN122" t="str">
        <f t="shared" si="4"/>
        <v>Evening</v>
      </c>
      <c r="AO122" t="str">
        <f t="shared" si="5"/>
        <v>Peak</v>
      </c>
      <c r="AP122" t="str">
        <f t="shared" si="6"/>
        <v>Medium</v>
      </c>
      <c r="AQ122" t="str">
        <f t="shared" si="7"/>
        <v>Medium</v>
      </c>
    </row>
    <row r="123" spans="1:43" x14ac:dyDescent="0.3">
      <c r="A123">
        <v>122</v>
      </c>
      <c r="B123" t="s">
        <v>25</v>
      </c>
      <c r="C123" t="s">
        <v>17</v>
      </c>
      <c r="D123" s="1">
        <v>46034</v>
      </c>
      <c r="E123" t="s">
        <v>38</v>
      </c>
      <c r="F123">
        <v>0</v>
      </c>
      <c r="G123">
        <v>16</v>
      </c>
      <c r="H123" t="s">
        <v>19</v>
      </c>
      <c r="I123" t="s">
        <v>42</v>
      </c>
      <c r="J123">
        <v>1.08</v>
      </c>
      <c r="K123" t="s">
        <v>12</v>
      </c>
      <c r="L123">
        <v>0</v>
      </c>
      <c r="M123">
        <v>4.07</v>
      </c>
      <c r="N123">
        <v>12</v>
      </c>
      <c r="O123" t="s">
        <v>22</v>
      </c>
      <c r="P123">
        <v>3</v>
      </c>
      <c r="Q123">
        <v>4.0999999999999996</v>
      </c>
      <c r="R123">
        <v>36</v>
      </c>
      <c r="S123">
        <v>106.78</v>
      </c>
      <c r="T123">
        <v>24.81</v>
      </c>
      <c r="U123">
        <v>1.02</v>
      </c>
      <c r="V123">
        <v>2.14</v>
      </c>
      <c r="W123">
        <v>133.72999999999999</v>
      </c>
      <c r="X123">
        <v>42</v>
      </c>
      <c r="Y123">
        <v>102.82</v>
      </c>
      <c r="Z123">
        <v>10.050000000000001</v>
      </c>
      <c r="AA123">
        <v>5.72</v>
      </c>
      <c r="AB123">
        <v>117.96</v>
      </c>
      <c r="AC123">
        <v>196.6</v>
      </c>
      <c r="AD123">
        <v>28.770731707317076</v>
      </c>
      <c r="AE123">
        <v>87.18</v>
      </c>
      <c r="AF123">
        <v>19.52</v>
      </c>
      <c r="AG123">
        <v>0</v>
      </c>
      <c r="AH123">
        <v>-8.17</v>
      </c>
      <c r="AI123">
        <v>5</v>
      </c>
      <c r="AJ123">
        <v>220.31</v>
      </c>
      <c r="AK123">
        <v>64.91</v>
      </c>
      <c r="AL123" t="s">
        <v>23</v>
      </c>
      <c r="AM123" t="s">
        <v>24</v>
      </c>
      <c r="AN123" t="str">
        <f t="shared" si="4"/>
        <v>Evening</v>
      </c>
      <c r="AO123" t="str">
        <f t="shared" si="5"/>
        <v>Off-Peak</v>
      </c>
      <c r="AP123" t="str">
        <f t="shared" si="6"/>
        <v>Medium</v>
      </c>
      <c r="AQ123" t="str">
        <f t="shared" si="7"/>
        <v>Low</v>
      </c>
    </row>
    <row r="124" spans="1:43" x14ac:dyDescent="0.3">
      <c r="A124">
        <v>123</v>
      </c>
      <c r="B124" t="s">
        <v>25</v>
      </c>
      <c r="C124" t="s">
        <v>17</v>
      </c>
      <c r="D124" s="1">
        <v>46077</v>
      </c>
      <c r="E124" t="s">
        <v>44</v>
      </c>
      <c r="F124">
        <v>0</v>
      </c>
      <c r="G124">
        <v>19</v>
      </c>
      <c r="H124" t="s">
        <v>40</v>
      </c>
      <c r="I124" t="s">
        <v>39</v>
      </c>
      <c r="J124">
        <v>1.05</v>
      </c>
      <c r="K124" t="s">
        <v>12</v>
      </c>
      <c r="L124">
        <v>0</v>
      </c>
      <c r="M124">
        <v>4.29</v>
      </c>
      <c r="N124">
        <v>83</v>
      </c>
      <c r="O124" t="s">
        <v>13</v>
      </c>
      <c r="P124">
        <v>19</v>
      </c>
      <c r="Q124">
        <v>10.78</v>
      </c>
      <c r="R124">
        <v>72.400000000000006</v>
      </c>
      <c r="S124">
        <v>175.91</v>
      </c>
      <c r="T124">
        <v>99.23</v>
      </c>
      <c r="U124">
        <v>1.23</v>
      </c>
      <c r="V124">
        <v>40.46</v>
      </c>
      <c r="W124">
        <v>315.60000000000002</v>
      </c>
      <c r="X124">
        <v>49.4</v>
      </c>
      <c r="Y124">
        <v>102.47</v>
      </c>
      <c r="Z124">
        <v>22.37</v>
      </c>
      <c r="AA124">
        <v>4.37</v>
      </c>
      <c r="AB124">
        <v>288.86</v>
      </c>
      <c r="AC124">
        <v>239.38674033149169</v>
      </c>
      <c r="AD124">
        <v>26.795918367346943</v>
      </c>
      <c r="AE124">
        <v>82.11</v>
      </c>
      <c r="AF124">
        <v>14.05</v>
      </c>
      <c r="AG124">
        <v>1</v>
      </c>
      <c r="AH124">
        <v>28.87</v>
      </c>
      <c r="AI124">
        <v>111.87</v>
      </c>
      <c r="AJ124">
        <v>268.36</v>
      </c>
      <c r="AK124">
        <v>61.6</v>
      </c>
      <c r="AL124" t="s">
        <v>23</v>
      </c>
      <c r="AM124" t="s">
        <v>24</v>
      </c>
      <c r="AN124" t="str">
        <f t="shared" si="4"/>
        <v>Night</v>
      </c>
      <c r="AO124" t="str">
        <f t="shared" si="5"/>
        <v>Peak</v>
      </c>
      <c r="AP124" t="str">
        <f t="shared" si="6"/>
        <v>Medium</v>
      </c>
      <c r="AQ124" t="str">
        <f t="shared" si="7"/>
        <v>High</v>
      </c>
    </row>
    <row r="125" spans="1:43" x14ac:dyDescent="0.3">
      <c r="A125">
        <v>124</v>
      </c>
      <c r="B125" t="s">
        <v>29</v>
      </c>
      <c r="C125" t="s">
        <v>30</v>
      </c>
      <c r="D125" s="1">
        <v>46126</v>
      </c>
      <c r="E125" t="s">
        <v>44</v>
      </c>
      <c r="F125">
        <v>0</v>
      </c>
      <c r="G125">
        <v>22</v>
      </c>
      <c r="H125" t="s">
        <v>36</v>
      </c>
      <c r="I125" t="s">
        <v>11</v>
      </c>
      <c r="J125">
        <v>1.18</v>
      </c>
      <c r="K125" t="s">
        <v>21</v>
      </c>
      <c r="L125">
        <v>0</v>
      </c>
      <c r="M125">
        <v>1.92</v>
      </c>
      <c r="N125">
        <v>31</v>
      </c>
      <c r="O125" t="s">
        <v>22</v>
      </c>
      <c r="P125">
        <v>5</v>
      </c>
      <c r="Q125">
        <v>6.19</v>
      </c>
      <c r="R125">
        <v>47.1</v>
      </c>
      <c r="S125">
        <v>95.07</v>
      </c>
      <c r="T125">
        <v>37.770000000000003</v>
      </c>
      <c r="U125">
        <v>1</v>
      </c>
      <c r="V125">
        <v>0</v>
      </c>
      <c r="W125">
        <v>132.84</v>
      </c>
      <c r="X125">
        <v>48.4</v>
      </c>
      <c r="Y125">
        <v>107.64</v>
      </c>
      <c r="Z125">
        <v>13.77</v>
      </c>
      <c r="AA125">
        <v>3.21</v>
      </c>
      <c r="AB125">
        <v>115.86</v>
      </c>
      <c r="AC125">
        <v>147.59235668789808</v>
      </c>
      <c r="AD125">
        <v>18.717285945072696</v>
      </c>
      <c r="AE125">
        <v>69.53</v>
      </c>
      <c r="AF125">
        <v>18.07</v>
      </c>
      <c r="AG125">
        <v>0</v>
      </c>
      <c r="AH125">
        <v>-16.25</v>
      </c>
      <c r="AI125">
        <v>14.75</v>
      </c>
      <c r="AJ125">
        <v>152.49</v>
      </c>
      <c r="AK125">
        <v>60</v>
      </c>
      <c r="AL125" t="s">
        <v>14</v>
      </c>
      <c r="AM125" t="s">
        <v>15</v>
      </c>
      <c r="AN125" t="str">
        <f t="shared" si="4"/>
        <v>Night</v>
      </c>
      <c r="AO125" t="str">
        <f t="shared" si="5"/>
        <v>Off-Peak</v>
      </c>
      <c r="AP125" t="str">
        <f t="shared" si="6"/>
        <v>Low</v>
      </c>
      <c r="AQ125" t="str">
        <f t="shared" si="7"/>
        <v>Low</v>
      </c>
    </row>
    <row r="126" spans="1:43" x14ac:dyDescent="0.3">
      <c r="A126">
        <v>125</v>
      </c>
      <c r="B126" t="s">
        <v>16</v>
      </c>
      <c r="C126" t="s">
        <v>17</v>
      </c>
      <c r="D126" s="1">
        <v>46039</v>
      </c>
      <c r="E126" t="s">
        <v>31</v>
      </c>
      <c r="F126">
        <v>1</v>
      </c>
      <c r="G126">
        <v>7</v>
      </c>
      <c r="H126" t="s">
        <v>27</v>
      </c>
      <c r="I126" t="s">
        <v>11</v>
      </c>
      <c r="J126">
        <v>1.18</v>
      </c>
      <c r="K126" t="s">
        <v>34</v>
      </c>
      <c r="L126">
        <v>1</v>
      </c>
      <c r="M126">
        <v>3.36</v>
      </c>
      <c r="N126">
        <v>111</v>
      </c>
      <c r="O126" t="s">
        <v>13</v>
      </c>
      <c r="P126">
        <v>28</v>
      </c>
      <c r="Q126">
        <v>3.69</v>
      </c>
      <c r="R126">
        <v>41.1</v>
      </c>
      <c r="S126">
        <v>99.65</v>
      </c>
      <c r="T126">
        <v>100</v>
      </c>
      <c r="U126">
        <v>1.29</v>
      </c>
      <c r="V126">
        <v>28.9</v>
      </c>
      <c r="W126">
        <v>228.55</v>
      </c>
      <c r="X126">
        <v>37.9</v>
      </c>
      <c r="Y126">
        <v>105.7</v>
      </c>
      <c r="Z126">
        <v>10.31</v>
      </c>
      <c r="AA126">
        <v>10.74</v>
      </c>
      <c r="AB126">
        <v>207.5</v>
      </c>
      <c r="AC126">
        <v>302.91970802919707</v>
      </c>
      <c r="AD126">
        <v>56.233062330623305</v>
      </c>
      <c r="AE126">
        <v>86.29</v>
      </c>
      <c r="AF126">
        <v>17.09</v>
      </c>
      <c r="AG126">
        <v>1</v>
      </c>
      <c r="AH126">
        <v>-3</v>
      </c>
      <c r="AI126">
        <v>108</v>
      </c>
      <c r="AJ126">
        <v>357.73</v>
      </c>
      <c r="AK126">
        <v>79.67</v>
      </c>
      <c r="AL126" t="s">
        <v>23</v>
      </c>
      <c r="AM126" t="s">
        <v>24</v>
      </c>
      <c r="AN126" t="str">
        <f t="shared" si="4"/>
        <v>Morning</v>
      </c>
      <c r="AO126" t="str">
        <f t="shared" si="5"/>
        <v>Peak</v>
      </c>
      <c r="AP126" t="str">
        <f t="shared" si="6"/>
        <v>High</v>
      </c>
      <c r="AQ126" t="str">
        <f t="shared" si="7"/>
        <v>High</v>
      </c>
    </row>
    <row r="127" spans="1:43" x14ac:dyDescent="0.3">
      <c r="A127">
        <v>126</v>
      </c>
      <c r="B127" t="s">
        <v>29</v>
      </c>
      <c r="C127" t="s">
        <v>30</v>
      </c>
      <c r="D127" s="1">
        <v>46106</v>
      </c>
      <c r="E127" t="s">
        <v>18</v>
      </c>
      <c r="F127">
        <v>0</v>
      </c>
      <c r="G127">
        <v>22</v>
      </c>
      <c r="H127" t="s">
        <v>36</v>
      </c>
      <c r="I127" t="s">
        <v>46</v>
      </c>
      <c r="J127">
        <v>1.1499999999999999</v>
      </c>
      <c r="K127" t="s">
        <v>12</v>
      </c>
      <c r="L127">
        <v>0</v>
      </c>
      <c r="M127">
        <v>4.33</v>
      </c>
      <c r="N127">
        <v>13</v>
      </c>
      <c r="O127" t="s">
        <v>22</v>
      </c>
      <c r="P127">
        <v>4</v>
      </c>
      <c r="Q127">
        <v>9.1999999999999993</v>
      </c>
      <c r="R127">
        <v>62.8</v>
      </c>
      <c r="S127">
        <v>108.56</v>
      </c>
      <c r="T127">
        <v>0</v>
      </c>
      <c r="U127">
        <v>1</v>
      </c>
      <c r="V127">
        <v>0</v>
      </c>
      <c r="W127">
        <v>108.56</v>
      </c>
      <c r="X127">
        <v>39.1</v>
      </c>
      <c r="Y127">
        <v>101.78</v>
      </c>
      <c r="Z127">
        <v>23.93</v>
      </c>
      <c r="AA127">
        <v>2.81</v>
      </c>
      <c r="AB127">
        <v>81.819999999999993</v>
      </c>
      <c r="AC127">
        <v>78.171974522292984</v>
      </c>
      <c r="AD127">
        <v>8.8934782608695659</v>
      </c>
      <c r="AE127">
        <v>66.39</v>
      </c>
      <c r="AF127">
        <v>17.03</v>
      </c>
      <c r="AG127">
        <v>0</v>
      </c>
      <c r="AH127">
        <v>4.6100000000000003</v>
      </c>
      <c r="AI127">
        <v>17.61</v>
      </c>
      <c r="AJ127">
        <v>74.5</v>
      </c>
      <c r="AK127">
        <v>70.180000000000007</v>
      </c>
      <c r="AL127" t="s">
        <v>14</v>
      </c>
      <c r="AM127" t="s">
        <v>15</v>
      </c>
      <c r="AN127" t="str">
        <f t="shared" si="4"/>
        <v>Night</v>
      </c>
      <c r="AO127" t="str">
        <f t="shared" si="5"/>
        <v>Off-Peak</v>
      </c>
      <c r="AP127" t="str">
        <f t="shared" si="6"/>
        <v>Low</v>
      </c>
      <c r="AQ127" t="str">
        <f t="shared" si="7"/>
        <v>Low</v>
      </c>
    </row>
    <row r="128" spans="1:43" x14ac:dyDescent="0.3">
      <c r="A128">
        <v>127</v>
      </c>
      <c r="B128" t="s">
        <v>7</v>
      </c>
      <c r="C128" t="s">
        <v>8</v>
      </c>
      <c r="D128" s="1">
        <v>46143</v>
      </c>
      <c r="E128" t="s">
        <v>9</v>
      </c>
      <c r="F128">
        <v>0</v>
      </c>
      <c r="G128">
        <v>8</v>
      </c>
      <c r="H128" t="s">
        <v>49</v>
      </c>
      <c r="I128" t="s">
        <v>37</v>
      </c>
      <c r="J128">
        <v>1.02</v>
      </c>
      <c r="K128" t="s">
        <v>34</v>
      </c>
      <c r="L128">
        <v>1</v>
      </c>
      <c r="M128">
        <v>3.43</v>
      </c>
      <c r="N128">
        <v>22</v>
      </c>
      <c r="O128" t="s">
        <v>22</v>
      </c>
      <c r="P128">
        <v>9</v>
      </c>
      <c r="Q128">
        <v>3.04</v>
      </c>
      <c r="R128">
        <v>29.6</v>
      </c>
      <c r="S128">
        <v>70.69</v>
      </c>
      <c r="T128">
        <v>40.69</v>
      </c>
      <c r="U128">
        <v>1</v>
      </c>
      <c r="V128">
        <v>0</v>
      </c>
      <c r="W128">
        <v>111.38</v>
      </c>
      <c r="X128">
        <v>40.5</v>
      </c>
      <c r="Y128">
        <v>105.68</v>
      </c>
      <c r="Z128">
        <v>7.94</v>
      </c>
      <c r="AA128">
        <v>8.2899999999999991</v>
      </c>
      <c r="AB128">
        <v>95.15</v>
      </c>
      <c r="AC128">
        <v>192.87162162162164</v>
      </c>
      <c r="AD128">
        <v>31.299342105263161</v>
      </c>
      <c r="AE128">
        <v>81.069999999999993</v>
      </c>
      <c r="AF128">
        <v>20</v>
      </c>
      <c r="AG128">
        <v>0</v>
      </c>
      <c r="AH128">
        <v>-0.77</v>
      </c>
      <c r="AI128">
        <v>21.23</v>
      </c>
      <c r="AJ128">
        <v>214.66</v>
      </c>
      <c r="AK128">
        <v>76.180000000000007</v>
      </c>
      <c r="AL128" t="s">
        <v>23</v>
      </c>
      <c r="AM128" t="s">
        <v>24</v>
      </c>
      <c r="AN128" t="str">
        <f t="shared" si="4"/>
        <v>Morning</v>
      </c>
      <c r="AO128" t="str">
        <f t="shared" si="5"/>
        <v>Peak</v>
      </c>
      <c r="AP128" t="str">
        <f t="shared" si="6"/>
        <v>Medium</v>
      </c>
      <c r="AQ128" t="str">
        <f t="shared" si="7"/>
        <v>Low</v>
      </c>
    </row>
    <row r="129" spans="1:43" x14ac:dyDescent="0.3">
      <c r="A129">
        <v>128</v>
      </c>
      <c r="B129" t="s">
        <v>16</v>
      </c>
      <c r="C129" t="s">
        <v>17</v>
      </c>
      <c r="D129" s="1">
        <v>46267</v>
      </c>
      <c r="E129" t="s">
        <v>18</v>
      </c>
      <c r="F129">
        <v>0</v>
      </c>
      <c r="G129">
        <v>15</v>
      </c>
      <c r="H129" t="s">
        <v>19</v>
      </c>
      <c r="I129" t="s">
        <v>45</v>
      </c>
      <c r="J129">
        <v>1</v>
      </c>
      <c r="K129" t="s">
        <v>34</v>
      </c>
      <c r="L129">
        <v>1</v>
      </c>
      <c r="M129">
        <v>2.98</v>
      </c>
      <c r="N129">
        <v>26</v>
      </c>
      <c r="O129" t="s">
        <v>22</v>
      </c>
      <c r="P129">
        <v>3</v>
      </c>
      <c r="Q129">
        <v>11.34</v>
      </c>
      <c r="R129">
        <v>71.099999999999994</v>
      </c>
      <c r="S129">
        <v>183.23</v>
      </c>
      <c r="T129">
        <v>26.36</v>
      </c>
      <c r="U129">
        <v>1.24</v>
      </c>
      <c r="V129">
        <v>43.98</v>
      </c>
      <c r="W129">
        <v>253.57</v>
      </c>
      <c r="X129">
        <v>48.2</v>
      </c>
      <c r="Y129">
        <v>102.25</v>
      </c>
      <c r="Z129">
        <v>24.07</v>
      </c>
      <c r="AA129">
        <v>5.67</v>
      </c>
      <c r="AB129">
        <v>223.83</v>
      </c>
      <c r="AC129">
        <v>188.88607594936713</v>
      </c>
      <c r="AD129">
        <v>19.738095238095241</v>
      </c>
      <c r="AE129">
        <v>74.599999999999994</v>
      </c>
      <c r="AF129">
        <v>17.440000000000001</v>
      </c>
      <c r="AG129">
        <v>0</v>
      </c>
      <c r="AH129">
        <v>-8.4600000000000009</v>
      </c>
      <c r="AI129">
        <v>17.54</v>
      </c>
      <c r="AJ129">
        <v>188.11</v>
      </c>
      <c r="AK129">
        <v>69.72</v>
      </c>
      <c r="AL129" t="s">
        <v>23</v>
      </c>
      <c r="AM129" t="s">
        <v>24</v>
      </c>
      <c r="AN129" t="str">
        <f t="shared" si="4"/>
        <v>Evening</v>
      </c>
      <c r="AO129" t="str">
        <f t="shared" si="5"/>
        <v>Off-Peak</v>
      </c>
      <c r="AP129" t="str">
        <f t="shared" si="6"/>
        <v>Medium</v>
      </c>
      <c r="AQ129" t="str">
        <f t="shared" si="7"/>
        <v>Low</v>
      </c>
    </row>
    <row r="130" spans="1:43" x14ac:dyDescent="0.3">
      <c r="A130">
        <v>129</v>
      </c>
      <c r="B130" t="s">
        <v>25</v>
      </c>
      <c r="C130" t="s">
        <v>17</v>
      </c>
      <c r="D130" s="1">
        <v>46045</v>
      </c>
      <c r="E130" t="s">
        <v>9</v>
      </c>
      <c r="F130">
        <v>0</v>
      </c>
      <c r="G130">
        <v>12</v>
      </c>
      <c r="H130" t="s">
        <v>19</v>
      </c>
      <c r="I130" t="s">
        <v>37</v>
      </c>
      <c r="J130">
        <v>1.02</v>
      </c>
      <c r="K130" t="s">
        <v>21</v>
      </c>
      <c r="L130">
        <v>0</v>
      </c>
      <c r="M130">
        <v>2.78</v>
      </c>
      <c r="N130">
        <v>22</v>
      </c>
      <c r="O130" t="s">
        <v>22</v>
      </c>
      <c r="P130">
        <v>5</v>
      </c>
      <c r="Q130">
        <v>2.0499999999999998</v>
      </c>
      <c r="R130">
        <v>31.1</v>
      </c>
      <c r="S130">
        <v>93.04</v>
      </c>
      <c r="T130">
        <v>37.26</v>
      </c>
      <c r="U130">
        <v>1.1200000000000001</v>
      </c>
      <c r="V130">
        <v>11.16</v>
      </c>
      <c r="W130">
        <v>141.46</v>
      </c>
      <c r="X130">
        <v>48.9</v>
      </c>
      <c r="Y130">
        <v>104.26</v>
      </c>
      <c r="Z130">
        <v>4.3600000000000003</v>
      </c>
      <c r="AA130">
        <v>11.96</v>
      </c>
      <c r="AB130">
        <v>125.14</v>
      </c>
      <c r="AC130">
        <v>241.42765273311898</v>
      </c>
      <c r="AD130">
        <v>61.043902439024393</v>
      </c>
      <c r="AE130">
        <v>76.959999999999994</v>
      </c>
      <c r="AF130">
        <v>14.11</v>
      </c>
      <c r="AG130">
        <v>0</v>
      </c>
      <c r="AH130">
        <v>-24.18</v>
      </c>
      <c r="AI130">
        <v>5</v>
      </c>
      <c r="AJ130">
        <v>254.69</v>
      </c>
      <c r="AK130">
        <v>60</v>
      </c>
      <c r="AL130" t="s">
        <v>14</v>
      </c>
      <c r="AM130" t="s">
        <v>15</v>
      </c>
      <c r="AN130" t="str">
        <f t="shared" si="4"/>
        <v>Afternoon</v>
      </c>
      <c r="AO130" t="str">
        <f t="shared" si="5"/>
        <v>Off-Peak</v>
      </c>
      <c r="AP130" t="str">
        <f t="shared" si="6"/>
        <v>Medium</v>
      </c>
      <c r="AQ130" t="str">
        <f t="shared" si="7"/>
        <v>Low</v>
      </c>
    </row>
    <row r="131" spans="1:43" x14ac:dyDescent="0.3">
      <c r="A131">
        <v>130</v>
      </c>
      <c r="B131" t="s">
        <v>25</v>
      </c>
      <c r="C131" t="s">
        <v>17</v>
      </c>
      <c r="D131" s="1">
        <v>46171</v>
      </c>
      <c r="E131" t="s">
        <v>9</v>
      </c>
      <c r="F131">
        <v>0</v>
      </c>
      <c r="G131">
        <v>17</v>
      </c>
      <c r="H131" t="s">
        <v>40</v>
      </c>
      <c r="I131" t="s">
        <v>50</v>
      </c>
      <c r="J131">
        <v>1.2</v>
      </c>
      <c r="K131" t="s">
        <v>21</v>
      </c>
      <c r="L131">
        <v>0</v>
      </c>
      <c r="M131">
        <v>2.92</v>
      </c>
      <c r="N131">
        <v>82</v>
      </c>
      <c r="O131" t="s">
        <v>13</v>
      </c>
      <c r="P131">
        <v>16</v>
      </c>
      <c r="Q131">
        <v>3.99</v>
      </c>
      <c r="R131">
        <v>39.700000000000003</v>
      </c>
      <c r="S131">
        <v>111.9</v>
      </c>
      <c r="T131">
        <v>70.459999999999994</v>
      </c>
      <c r="U131">
        <v>1.19</v>
      </c>
      <c r="V131">
        <v>21.26</v>
      </c>
      <c r="W131">
        <v>203.62</v>
      </c>
      <c r="X131">
        <v>47</v>
      </c>
      <c r="Y131">
        <v>108.88</v>
      </c>
      <c r="Z131">
        <v>9.25</v>
      </c>
      <c r="AA131">
        <v>7.09</v>
      </c>
      <c r="AB131">
        <v>187.28</v>
      </c>
      <c r="AC131">
        <v>283.04282115869017</v>
      </c>
      <c r="AD131">
        <v>46.937343358395985</v>
      </c>
      <c r="AE131">
        <v>64.31</v>
      </c>
      <c r="AF131">
        <v>8.34</v>
      </c>
      <c r="AG131">
        <v>1</v>
      </c>
      <c r="AH131">
        <v>-7.37</v>
      </c>
      <c r="AI131">
        <v>74.63</v>
      </c>
      <c r="AJ131">
        <v>287.51</v>
      </c>
      <c r="AK131">
        <v>74.22</v>
      </c>
      <c r="AL131" t="s">
        <v>23</v>
      </c>
      <c r="AM131" t="s">
        <v>24</v>
      </c>
      <c r="AN131" t="str">
        <f t="shared" ref="AN131:AN194" si="8">IF(G131&lt;11,"Morning",IF(G131&lt;15,"Afternoon",IF(G131&lt;18,"Evening","Night")))</f>
        <v>Evening</v>
      </c>
      <c r="AO131" t="str">
        <f t="shared" ref="AO131:AO194" si="9">IF(OR(AND(G131&gt;=7,G131&lt;=10),AND(G131&gt;=17,G131&lt;=20)),"Peak","Off-Peak")</f>
        <v>Peak</v>
      </c>
      <c r="AP131" t="str">
        <f t="shared" ref="AP131:AP194" si="10">IF(AC131&lt;150,"Low",IF(AC131&lt;=250,"Medium","High"))</f>
        <v>High</v>
      </c>
      <c r="AQ131" t="str">
        <f t="shared" ref="AQ131:AQ194" si="11">IF(N131&lt;=35,"Low",IF(N131&lt;=70,"Medium","High"))</f>
        <v>High</v>
      </c>
    </row>
    <row r="132" spans="1:43" x14ac:dyDescent="0.3">
      <c r="A132">
        <v>131</v>
      </c>
      <c r="B132" t="s">
        <v>29</v>
      </c>
      <c r="C132" t="s">
        <v>30</v>
      </c>
      <c r="D132" s="1">
        <v>46259</v>
      </c>
      <c r="E132" t="s">
        <v>44</v>
      </c>
      <c r="F132">
        <v>0</v>
      </c>
      <c r="G132">
        <v>18</v>
      </c>
      <c r="H132" t="s">
        <v>32</v>
      </c>
      <c r="I132" t="s">
        <v>20</v>
      </c>
      <c r="J132">
        <v>1.25</v>
      </c>
      <c r="K132" t="s">
        <v>21</v>
      </c>
      <c r="L132">
        <v>0</v>
      </c>
      <c r="M132">
        <v>5</v>
      </c>
      <c r="N132">
        <v>83</v>
      </c>
      <c r="O132" t="s">
        <v>13</v>
      </c>
      <c r="P132">
        <v>27</v>
      </c>
      <c r="Q132">
        <v>1</v>
      </c>
      <c r="R132">
        <v>29.9</v>
      </c>
      <c r="S132">
        <v>55.05</v>
      </c>
      <c r="T132">
        <v>94.27</v>
      </c>
      <c r="U132">
        <v>1</v>
      </c>
      <c r="V132">
        <v>0</v>
      </c>
      <c r="W132">
        <v>149.32</v>
      </c>
      <c r="X132">
        <v>39.1</v>
      </c>
      <c r="Y132">
        <v>107.19</v>
      </c>
      <c r="Z132">
        <v>2.74</v>
      </c>
      <c r="AA132">
        <v>7.49</v>
      </c>
      <c r="AB132">
        <v>139.09</v>
      </c>
      <c r="AC132">
        <v>279.11036789297663</v>
      </c>
      <c r="AD132">
        <v>139.09</v>
      </c>
      <c r="AE132">
        <v>60.63</v>
      </c>
      <c r="AF132">
        <v>17.97</v>
      </c>
      <c r="AG132">
        <v>1</v>
      </c>
      <c r="AH132">
        <v>-11.39</v>
      </c>
      <c r="AI132">
        <v>71.61</v>
      </c>
      <c r="AJ132">
        <v>293.66000000000003</v>
      </c>
      <c r="AK132">
        <v>81.34</v>
      </c>
      <c r="AL132" t="s">
        <v>14</v>
      </c>
      <c r="AM132" t="s">
        <v>15</v>
      </c>
      <c r="AN132" t="str">
        <f t="shared" si="8"/>
        <v>Night</v>
      </c>
      <c r="AO132" t="str">
        <f t="shared" si="9"/>
        <v>Peak</v>
      </c>
      <c r="AP132" t="str">
        <f t="shared" si="10"/>
        <v>High</v>
      </c>
      <c r="AQ132" t="str">
        <f t="shared" si="11"/>
        <v>High</v>
      </c>
    </row>
    <row r="133" spans="1:43" x14ac:dyDescent="0.3">
      <c r="A133">
        <v>132</v>
      </c>
      <c r="B133" t="s">
        <v>29</v>
      </c>
      <c r="C133" t="s">
        <v>30</v>
      </c>
      <c r="D133" s="1">
        <v>46230</v>
      </c>
      <c r="E133" t="s">
        <v>38</v>
      </c>
      <c r="F133">
        <v>0</v>
      </c>
      <c r="G133">
        <v>20</v>
      </c>
      <c r="H133" t="s">
        <v>32</v>
      </c>
      <c r="I133" t="s">
        <v>33</v>
      </c>
      <c r="J133">
        <v>1</v>
      </c>
      <c r="K133" t="s">
        <v>21</v>
      </c>
      <c r="L133">
        <v>0</v>
      </c>
      <c r="M133">
        <v>3.79</v>
      </c>
      <c r="N133">
        <v>75</v>
      </c>
      <c r="O133" t="s">
        <v>13</v>
      </c>
      <c r="P133">
        <v>22</v>
      </c>
      <c r="Q133">
        <v>7.65</v>
      </c>
      <c r="R133">
        <v>59.1</v>
      </c>
      <c r="S133">
        <v>109.99</v>
      </c>
      <c r="T133">
        <v>78.86</v>
      </c>
      <c r="U133">
        <v>1</v>
      </c>
      <c r="V133">
        <v>0</v>
      </c>
      <c r="W133">
        <v>188.85</v>
      </c>
      <c r="X133">
        <v>48.3</v>
      </c>
      <c r="Y133">
        <v>106.51</v>
      </c>
      <c r="Z133">
        <v>16.87</v>
      </c>
      <c r="AA133">
        <v>11.18</v>
      </c>
      <c r="AB133">
        <v>160.80000000000001</v>
      </c>
      <c r="AC133">
        <v>163.24873096446703</v>
      </c>
      <c r="AD133">
        <v>21.019607843137255</v>
      </c>
      <c r="AE133">
        <v>65.989999999999995</v>
      </c>
      <c r="AF133">
        <v>15.12</v>
      </c>
      <c r="AG133">
        <v>1</v>
      </c>
      <c r="AH133">
        <v>28.19</v>
      </c>
      <c r="AI133">
        <v>103.19</v>
      </c>
      <c r="AJ133">
        <v>207.22</v>
      </c>
      <c r="AK133">
        <v>62.73</v>
      </c>
      <c r="AL133" t="s">
        <v>14</v>
      </c>
      <c r="AM133" t="s">
        <v>15</v>
      </c>
      <c r="AN133" t="str">
        <f t="shared" si="8"/>
        <v>Night</v>
      </c>
      <c r="AO133" t="str">
        <f t="shared" si="9"/>
        <v>Peak</v>
      </c>
      <c r="AP133" t="str">
        <f t="shared" si="10"/>
        <v>Medium</v>
      </c>
      <c r="AQ133" t="str">
        <f t="shared" si="11"/>
        <v>High</v>
      </c>
    </row>
    <row r="134" spans="1:43" x14ac:dyDescent="0.3">
      <c r="A134">
        <v>133</v>
      </c>
      <c r="B134" t="s">
        <v>7</v>
      </c>
      <c r="C134" t="s">
        <v>8</v>
      </c>
      <c r="D134" s="1">
        <v>46261</v>
      </c>
      <c r="E134" t="s">
        <v>41</v>
      </c>
      <c r="F134">
        <v>0</v>
      </c>
      <c r="G134">
        <v>13</v>
      </c>
      <c r="H134" t="s">
        <v>10</v>
      </c>
      <c r="I134" t="s">
        <v>20</v>
      </c>
      <c r="J134">
        <v>1.25</v>
      </c>
      <c r="K134" t="s">
        <v>21</v>
      </c>
      <c r="L134">
        <v>0</v>
      </c>
      <c r="M134">
        <v>5</v>
      </c>
      <c r="N134">
        <v>64</v>
      </c>
      <c r="O134" t="s">
        <v>35</v>
      </c>
      <c r="P134">
        <v>31</v>
      </c>
      <c r="Q134">
        <v>4.5999999999999996</v>
      </c>
      <c r="R134">
        <v>56.2</v>
      </c>
      <c r="S134">
        <v>83.13</v>
      </c>
      <c r="T134">
        <v>80.319999999999993</v>
      </c>
      <c r="U134">
        <v>1</v>
      </c>
      <c r="V134">
        <v>0</v>
      </c>
      <c r="W134">
        <v>163.44999999999999</v>
      </c>
      <c r="X134">
        <v>35.5</v>
      </c>
      <c r="Y134">
        <v>102.81</v>
      </c>
      <c r="Z134">
        <v>13.31</v>
      </c>
      <c r="AA134">
        <v>11.7</v>
      </c>
      <c r="AB134">
        <v>138.44</v>
      </c>
      <c r="AC134">
        <v>147.80071174377221</v>
      </c>
      <c r="AD134">
        <v>30.095652173913045</v>
      </c>
      <c r="AE134">
        <v>91.09</v>
      </c>
      <c r="AF134">
        <v>18.12</v>
      </c>
      <c r="AG134">
        <v>1</v>
      </c>
      <c r="AH134">
        <v>36.97</v>
      </c>
      <c r="AI134">
        <v>100.97</v>
      </c>
      <c r="AJ134">
        <v>170.1</v>
      </c>
      <c r="AK134">
        <v>71.22</v>
      </c>
      <c r="AL134" t="s">
        <v>14</v>
      </c>
      <c r="AM134" t="s">
        <v>15</v>
      </c>
      <c r="AN134" t="str">
        <f t="shared" si="8"/>
        <v>Afternoon</v>
      </c>
      <c r="AO134" t="str">
        <f t="shared" si="9"/>
        <v>Off-Peak</v>
      </c>
      <c r="AP134" t="str">
        <f t="shared" si="10"/>
        <v>Low</v>
      </c>
      <c r="AQ134" t="str">
        <f t="shared" si="11"/>
        <v>Medium</v>
      </c>
    </row>
    <row r="135" spans="1:43" x14ac:dyDescent="0.3">
      <c r="A135">
        <v>134</v>
      </c>
      <c r="B135" t="s">
        <v>29</v>
      </c>
      <c r="C135" t="s">
        <v>30</v>
      </c>
      <c r="D135" s="1">
        <v>46066</v>
      </c>
      <c r="E135" t="s">
        <v>9</v>
      </c>
      <c r="F135">
        <v>0</v>
      </c>
      <c r="G135">
        <v>21</v>
      </c>
      <c r="H135" t="s">
        <v>36</v>
      </c>
      <c r="I135" t="s">
        <v>11</v>
      </c>
      <c r="J135">
        <v>1.18</v>
      </c>
      <c r="K135" t="s">
        <v>12</v>
      </c>
      <c r="L135">
        <v>0</v>
      </c>
      <c r="M135">
        <v>3.04</v>
      </c>
      <c r="N135">
        <v>26</v>
      </c>
      <c r="O135" t="s">
        <v>22</v>
      </c>
      <c r="P135">
        <v>8</v>
      </c>
      <c r="Q135">
        <v>11.36</v>
      </c>
      <c r="R135">
        <v>72.3</v>
      </c>
      <c r="S135">
        <v>153.31</v>
      </c>
      <c r="T135">
        <v>31.57</v>
      </c>
      <c r="U135">
        <v>1</v>
      </c>
      <c r="V135">
        <v>0</v>
      </c>
      <c r="W135">
        <v>184.88</v>
      </c>
      <c r="X135">
        <v>41.3</v>
      </c>
      <c r="Y135">
        <v>101.25</v>
      </c>
      <c r="Z135">
        <v>27.83</v>
      </c>
      <c r="AA135">
        <v>7.84</v>
      </c>
      <c r="AB135">
        <v>149.21</v>
      </c>
      <c r="AC135">
        <v>123.82572614107886</v>
      </c>
      <c r="AD135">
        <v>13.13468309859155</v>
      </c>
      <c r="AE135">
        <v>64.89</v>
      </c>
      <c r="AF135">
        <v>15.19</v>
      </c>
      <c r="AG135">
        <v>0</v>
      </c>
      <c r="AH135">
        <v>2.2400000000000002</v>
      </c>
      <c r="AI135">
        <v>28.24</v>
      </c>
      <c r="AJ135">
        <v>130.93</v>
      </c>
      <c r="AK135">
        <v>78.510000000000005</v>
      </c>
      <c r="AL135" t="s">
        <v>14</v>
      </c>
      <c r="AM135" t="s">
        <v>15</v>
      </c>
      <c r="AN135" t="str">
        <f t="shared" si="8"/>
        <v>Night</v>
      </c>
      <c r="AO135" t="str">
        <f t="shared" si="9"/>
        <v>Off-Peak</v>
      </c>
      <c r="AP135" t="str">
        <f t="shared" si="10"/>
        <v>Low</v>
      </c>
      <c r="AQ135" t="str">
        <f t="shared" si="11"/>
        <v>Low</v>
      </c>
    </row>
    <row r="136" spans="1:43" x14ac:dyDescent="0.3">
      <c r="A136">
        <v>135</v>
      </c>
      <c r="B136" t="s">
        <v>16</v>
      </c>
      <c r="C136" t="s">
        <v>17</v>
      </c>
      <c r="D136" s="1">
        <v>46229</v>
      </c>
      <c r="E136" t="s">
        <v>26</v>
      </c>
      <c r="F136">
        <v>1</v>
      </c>
      <c r="G136">
        <v>12</v>
      </c>
      <c r="H136" t="s">
        <v>19</v>
      </c>
      <c r="I136" t="s">
        <v>39</v>
      </c>
      <c r="J136">
        <v>1.05</v>
      </c>
      <c r="K136" t="s">
        <v>34</v>
      </c>
      <c r="L136">
        <v>1</v>
      </c>
      <c r="M136">
        <v>4.6399999999999997</v>
      </c>
      <c r="N136">
        <v>57</v>
      </c>
      <c r="O136" t="s">
        <v>35</v>
      </c>
      <c r="P136">
        <v>14</v>
      </c>
      <c r="Q136">
        <v>3.41</v>
      </c>
      <c r="R136">
        <v>33.700000000000003</v>
      </c>
      <c r="S136">
        <v>93.71</v>
      </c>
      <c r="T136">
        <v>67.959999999999994</v>
      </c>
      <c r="U136">
        <v>1.06</v>
      </c>
      <c r="V136">
        <v>5.62</v>
      </c>
      <c r="W136">
        <v>167.29</v>
      </c>
      <c r="X136">
        <v>40.700000000000003</v>
      </c>
      <c r="Y136">
        <v>107.53</v>
      </c>
      <c r="Z136">
        <v>9.01</v>
      </c>
      <c r="AA136">
        <v>9.9600000000000009</v>
      </c>
      <c r="AB136">
        <v>148.32</v>
      </c>
      <c r="AC136">
        <v>264.07121661721061</v>
      </c>
      <c r="AD136">
        <v>43.495601173020525</v>
      </c>
      <c r="AE136">
        <v>82.42</v>
      </c>
      <c r="AF136">
        <v>14.68</v>
      </c>
      <c r="AG136">
        <v>1</v>
      </c>
      <c r="AH136">
        <v>-18.07</v>
      </c>
      <c r="AI136">
        <v>38.93</v>
      </c>
      <c r="AJ136">
        <v>257.17</v>
      </c>
      <c r="AK136">
        <v>77.86</v>
      </c>
      <c r="AL136" t="s">
        <v>14</v>
      </c>
      <c r="AM136" t="s">
        <v>15</v>
      </c>
      <c r="AN136" t="str">
        <f t="shared" si="8"/>
        <v>Afternoon</v>
      </c>
      <c r="AO136" t="str">
        <f t="shared" si="9"/>
        <v>Off-Peak</v>
      </c>
      <c r="AP136" t="str">
        <f t="shared" si="10"/>
        <v>High</v>
      </c>
      <c r="AQ136" t="str">
        <f t="shared" si="11"/>
        <v>Medium</v>
      </c>
    </row>
    <row r="137" spans="1:43" x14ac:dyDescent="0.3">
      <c r="A137">
        <v>136</v>
      </c>
      <c r="B137" t="s">
        <v>48</v>
      </c>
      <c r="C137" t="s">
        <v>30</v>
      </c>
      <c r="D137" s="1">
        <v>46275</v>
      </c>
      <c r="E137" t="s">
        <v>41</v>
      </c>
      <c r="F137">
        <v>0</v>
      </c>
      <c r="G137">
        <v>10</v>
      </c>
      <c r="H137" t="s">
        <v>47</v>
      </c>
      <c r="I137" t="s">
        <v>28</v>
      </c>
      <c r="J137">
        <v>1.03</v>
      </c>
      <c r="K137" t="s">
        <v>12</v>
      </c>
      <c r="L137">
        <v>0</v>
      </c>
      <c r="M137">
        <v>3.21</v>
      </c>
      <c r="N137">
        <v>20</v>
      </c>
      <c r="O137" t="s">
        <v>22</v>
      </c>
      <c r="P137">
        <v>4</v>
      </c>
      <c r="Q137">
        <v>1.1599999999999999</v>
      </c>
      <c r="R137">
        <v>27</v>
      </c>
      <c r="S137">
        <v>59.2</v>
      </c>
      <c r="T137">
        <v>12.41</v>
      </c>
      <c r="U137">
        <v>1</v>
      </c>
      <c r="V137">
        <v>0</v>
      </c>
      <c r="W137">
        <v>71.61</v>
      </c>
      <c r="X137">
        <v>43</v>
      </c>
      <c r="Y137">
        <v>105.68</v>
      </c>
      <c r="Z137">
        <v>2.84</v>
      </c>
      <c r="AA137">
        <v>8.35</v>
      </c>
      <c r="AB137">
        <v>60.42</v>
      </c>
      <c r="AC137">
        <v>134.26666666666668</v>
      </c>
      <c r="AD137">
        <v>52.08620689655173</v>
      </c>
      <c r="AE137">
        <v>68.459999999999994</v>
      </c>
      <c r="AF137">
        <v>15.25</v>
      </c>
      <c r="AG137">
        <v>0</v>
      </c>
      <c r="AH137">
        <v>14.07</v>
      </c>
      <c r="AI137">
        <v>34.07</v>
      </c>
      <c r="AJ137">
        <v>136.91</v>
      </c>
      <c r="AK137">
        <v>66.89</v>
      </c>
      <c r="AL137" t="s">
        <v>14</v>
      </c>
      <c r="AM137" t="s">
        <v>15</v>
      </c>
      <c r="AN137" t="str">
        <f t="shared" si="8"/>
        <v>Morning</v>
      </c>
      <c r="AO137" t="str">
        <f t="shared" si="9"/>
        <v>Peak</v>
      </c>
      <c r="AP137" t="str">
        <f t="shared" si="10"/>
        <v>Low</v>
      </c>
      <c r="AQ137" t="str">
        <f t="shared" si="11"/>
        <v>Low</v>
      </c>
    </row>
    <row r="138" spans="1:43" x14ac:dyDescent="0.3">
      <c r="A138">
        <v>137</v>
      </c>
      <c r="B138" t="s">
        <v>25</v>
      </c>
      <c r="C138" t="s">
        <v>17</v>
      </c>
      <c r="D138" s="1">
        <v>46107</v>
      </c>
      <c r="E138" t="s">
        <v>41</v>
      </c>
      <c r="F138">
        <v>0</v>
      </c>
      <c r="G138">
        <v>13</v>
      </c>
      <c r="H138" t="s">
        <v>19</v>
      </c>
      <c r="I138" t="s">
        <v>37</v>
      </c>
      <c r="J138">
        <v>1.02</v>
      </c>
      <c r="K138" t="s">
        <v>21</v>
      </c>
      <c r="L138">
        <v>0</v>
      </c>
      <c r="M138">
        <v>3.68</v>
      </c>
      <c r="N138">
        <v>47</v>
      </c>
      <c r="O138" t="s">
        <v>35</v>
      </c>
      <c r="P138">
        <v>7</v>
      </c>
      <c r="Q138">
        <v>5.66</v>
      </c>
      <c r="R138">
        <v>58.4</v>
      </c>
      <c r="S138">
        <v>119.36</v>
      </c>
      <c r="T138">
        <v>46.73</v>
      </c>
      <c r="U138">
        <v>1.1000000000000001</v>
      </c>
      <c r="V138">
        <v>11.94</v>
      </c>
      <c r="W138">
        <v>178.03</v>
      </c>
      <c r="X138">
        <v>43.4</v>
      </c>
      <c r="Y138">
        <v>106.23</v>
      </c>
      <c r="Z138">
        <v>13.85</v>
      </c>
      <c r="AA138">
        <v>6.27</v>
      </c>
      <c r="AB138">
        <v>157.91</v>
      </c>
      <c r="AC138">
        <v>162.23630136986301</v>
      </c>
      <c r="AD138">
        <v>27.899293286219081</v>
      </c>
      <c r="AE138">
        <v>73.84</v>
      </c>
      <c r="AF138">
        <v>17.29</v>
      </c>
      <c r="AG138">
        <v>0</v>
      </c>
      <c r="AH138">
        <v>-11.72</v>
      </c>
      <c r="AI138">
        <v>35.28</v>
      </c>
      <c r="AJ138">
        <v>147.06</v>
      </c>
      <c r="AK138">
        <v>69</v>
      </c>
      <c r="AL138" t="s">
        <v>14</v>
      </c>
      <c r="AM138" t="s">
        <v>15</v>
      </c>
      <c r="AN138" t="str">
        <f t="shared" si="8"/>
        <v>Afternoon</v>
      </c>
      <c r="AO138" t="str">
        <f t="shared" si="9"/>
        <v>Off-Peak</v>
      </c>
      <c r="AP138" t="str">
        <f t="shared" si="10"/>
        <v>Medium</v>
      </c>
      <c r="AQ138" t="str">
        <f t="shared" si="11"/>
        <v>Medium</v>
      </c>
    </row>
    <row r="139" spans="1:43" x14ac:dyDescent="0.3">
      <c r="A139">
        <v>138</v>
      </c>
      <c r="B139" t="s">
        <v>7</v>
      </c>
      <c r="C139" t="s">
        <v>8</v>
      </c>
      <c r="D139" s="1">
        <v>46151</v>
      </c>
      <c r="E139" t="s">
        <v>31</v>
      </c>
      <c r="F139">
        <v>1</v>
      </c>
      <c r="G139">
        <v>15</v>
      </c>
      <c r="H139" t="s">
        <v>32</v>
      </c>
      <c r="I139" t="s">
        <v>42</v>
      </c>
      <c r="J139">
        <v>1.08</v>
      </c>
      <c r="K139" t="s">
        <v>12</v>
      </c>
      <c r="L139">
        <v>0</v>
      </c>
      <c r="M139">
        <v>3.58</v>
      </c>
      <c r="N139">
        <v>23</v>
      </c>
      <c r="O139" t="s">
        <v>22</v>
      </c>
      <c r="P139">
        <v>11</v>
      </c>
      <c r="Q139">
        <v>2.7</v>
      </c>
      <c r="R139">
        <v>28</v>
      </c>
      <c r="S139">
        <v>59.23</v>
      </c>
      <c r="T139">
        <v>31.9</v>
      </c>
      <c r="U139">
        <v>1</v>
      </c>
      <c r="V139">
        <v>0</v>
      </c>
      <c r="W139">
        <v>91.13</v>
      </c>
      <c r="X139">
        <v>38.4</v>
      </c>
      <c r="Y139">
        <v>109.75</v>
      </c>
      <c r="Z139">
        <v>7.72</v>
      </c>
      <c r="AA139">
        <v>2.57</v>
      </c>
      <c r="AB139">
        <v>80.84</v>
      </c>
      <c r="AC139">
        <v>173.22857142857143</v>
      </c>
      <c r="AD139">
        <v>29.94074074074074</v>
      </c>
      <c r="AE139">
        <v>73.48</v>
      </c>
      <c r="AF139">
        <v>15.85</v>
      </c>
      <c r="AG139">
        <v>1</v>
      </c>
      <c r="AH139">
        <v>-5.24</v>
      </c>
      <c r="AI139">
        <v>17.760000000000002</v>
      </c>
      <c r="AJ139">
        <v>186.43</v>
      </c>
      <c r="AK139">
        <v>70.78</v>
      </c>
      <c r="AL139" t="s">
        <v>14</v>
      </c>
      <c r="AM139" t="s">
        <v>15</v>
      </c>
      <c r="AN139" t="str">
        <f t="shared" si="8"/>
        <v>Evening</v>
      </c>
      <c r="AO139" t="str">
        <f t="shared" si="9"/>
        <v>Off-Peak</v>
      </c>
      <c r="AP139" t="str">
        <f t="shared" si="10"/>
        <v>Medium</v>
      </c>
      <c r="AQ139" t="str">
        <f t="shared" si="11"/>
        <v>Low</v>
      </c>
    </row>
    <row r="140" spans="1:43" x14ac:dyDescent="0.3">
      <c r="A140">
        <v>139</v>
      </c>
      <c r="B140" t="s">
        <v>48</v>
      </c>
      <c r="C140" t="s">
        <v>30</v>
      </c>
      <c r="D140" s="1">
        <v>46159</v>
      </c>
      <c r="E140" t="s">
        <v>26</v>
      </c>
      <c r="F140">
        <v>1</v>
      </c>
      <c r="G140">
        <v>17</v>
      </c>
      <c r="H140" t="s">
        <v>32</v>
      </c>
      <c r="I140" t="s">
        <v>33</v>
      </c>
      <c r="J140">
        <v>1</v>
      </c>
      <c r="K140" t="s">
        <v>12</v>
      </c>
      <c r="L140">
        <v>0</v>
      </c>
      <c r="M140">
        <v>4.5999999999999996</v>
      </c>
      <c r="N140">
        <v>84</v>
      </c>
      <c r="O140" t="s">
        <v>13</v>
      </c>
      <c r="P140">
        <v>22</v>
      </c>
      <c r="Q140">
        <v>6.93</v>
      </c>
      <c r="R140">
        <v>57.7</v>
      </c>
      <c r="S140">
        <v>112.61</v>
      </c>
      <c r="T140">
        <v>100</v>
      </c>
      <c r="U140">
        <v>1</v>
      </c>
      <c r="V140">
        <v>0</v>
      </c>
      <c r="W140">
        <v>212.61</v>
      </c>
      <c r="X140">
        <v>38.1</v>
      </c>
      <c r="Y140">
        <v>103.48</v>
      </c>
      <c r="Z140">
        <v>18.850000000000001</v>
      </c>
      <c r="AA140">
        <v>9.18</v>
      </c>
      <c r="AB140">
        <v>184.58</v>
      </c>
      <c r="AC140">
        <v>191.93760831889082</v>
      </c>
      <c r="AD140">
        <v>26.634920634920636</v>
      </c>
      <c r="AE140">
        <v>91.87</v>
      </c>
      <c r="AF140">
        <v>15.24</v>
      </c>
      <c r="AG140">
        <v>1</v>
      </c>
      <c r="AH140">
        <v>-6.43</v>
      </c>
      <c r="AI140">
        <v>77.569999999999993</v>
      </c>
      <c r="AJ140">
        <v>212.73</v>
      </c>
      <c r="AK140">
        <v>81.66</v>
      </c>
      <c r="AL140" t="s">
        <v>23</v>
      </c>
      <c r="AM140" t="s">
        <v>24</v>
      </c>
      <c r="AN140" t="str">
        <f t="shared" si="8"/>
        <v>Evening</v>
      </c>
      <c r="AO140" t="str">
        <f t="shared" si="9"/>
        <v>Peak</v>
      </c>
      <c r="AP140" t="str">
        <f t="shared" si="10"/>
        <v>Medium</v>
      </c>
      <c r="AQ140" t="str">
        <f t="shared" si="11"/>
        <v>High</v>
      </c>
    </row>
    <row r="141" spans="1:43" x14ac:dyDescent="0.3">
      <c r="A141">
        <v>140</v>
      </c>
      <c r="B141" t="s">
        <v>29</v>
      </c>
      <c r="C141" t="s">
        <v>30</v>
      </c>
      <c r="D141" s="1">
        <v>46150</v>
      </c>
      <c r="E141" t="s">
        <v>9</v>
      </c>
      <c r="F141">
        <v>0</v>
      </c>
      <c r="G141">
        <v>20</v>
      </c>
      <c r="H141" t="s">
        <v>32</v>
      </c>
      <c r="I141" t="s">
        <v>20</v>
      </c>
      <c r="J141">
        <v>1.25</v>
      </c>
      <c r="K141" t="s">
        <v>12</v>
      </c>
      <c r="L141">
        <v>0</v>
      </c>
      <c r="M141">
        <v>4.38</v>
      </c>
      <c r="N141">
        <v>87</v>
      </c>
      <c r="O141" t="s">
        <v>13</v>
      </c>
      <c r="P141">
        <v>25</v>
      </c>
      <c r="Q141">
        <v>2.08</v>
      </c>
      <c r="R141">
        <v>33.799999999999997</v>
      </c>
      <c r="S141">
        <v>70.08</v>
      </c>
      <c r="T141">
        <v>100</v>
      </c>
      <c r="U141">
        <v>1</v>
      </c>
      <c r="V141">
        <v>0</v>
      </c>
      <c r="W141">
        <v>170.08</v>
      </c>
      <c r="X141">
        <v>47.1</v>
      </c>
      <c r="Y141">
        <v>108.01</v>
      </c>
      <c r="Z141">
        <v>4.78</v>
      </c>
      <c r="AA141">
        <v>9</v>
      </c>
      <c r="AB141">
        <v>156.30000000000001</v>
      </c>
      <c r="AC141">
        <v>277.45562130177524</v>
      </c>
      <c r="AD141">
        <v>75.144230769230774</v>
      </c>
      <c r="AE141">
        <v>83.64</v>
      </c>
      <c r="AF141">
        <v>12.48</v>
      </c>
      <c r="AG141">
        <v>1</v>
      </c>
      <c r="AH141">
        <v>-4.51</v>
      </c>
      <c r="AI141">
        <v>82.49</v>
      </c>
      <c r="AJ141">
        <v>283.14</v>
      </c>
      <c r="AK141">
        <v>76.64</v>
      </c>
      <c r="AL141" t="s">
        <v>14</v>
      </c>
      <c r="AM141" t="s">
        <v>15</v>
      </c>
      <c r="AN141" t="str">
        <f t="shared" si="8"/>
        <v>Night</v>
      </c>
      <c r="AO141" t="str">
        <f t="shared" si="9"/>
        <v>Peak</v>
      </c>
      <c r="AP141" t="str">
        <f t="shared" si="10"/>
        <v>High</v>
      </c>
      <c r="AQ141" t="str">
        <f t="shared" si="11"/>
        <v>High</v>
      </c>
    </row>
    <row r="142" spans="1:43" x14ac:dyDescent="0.3">
      <c r="A142">
        <v>141</v>
      </c>
      <c r="B142" t="s">
        <v>23</v>
      </c>
      <c r="C142" t="s">
        <v>17</v>
      </c>
      <c r="D142" s="1">
        <v>46097</v>
      </c>
      <c r="E142" t="s">
        <v>38</v>
      </c>
      <c r="F142">
        <v>0</v>
      </c>
      <c r="G142">
        <v>10</v>
      </c>
      <c r="H142" t="s">
        <v>19</v>
      </c>
      <c r="I142" t="s">
        <v>39</v>
      </c>
      <c r="J142">
        <v>1.05</v>
      </c>
      <c r="K142" t="s">
        <v>12</v>
      </c>
      <c r="L142">
        <v>0</v>
      </c>
      <c r="M142">
        <v>2.81</v>
      </c>
      <c r="N142">
        <v>6</v>
      </c>
      <c r="O142" t="s">
        <v>22</v>
      </c>
      <c r="P142">
        <v>1</v>
      </c>
      <c r="Q142">
        <v>10.08</v>
      </c>
      <c r="R142">
        <v>65.099999999999994</v>
      </c>
      <c r="S142">
        <v>177.83</v>
      </c>
      <c r="T142">
        <v>11.9</v>
      </c>
      <c r="U142">
        <v>1.04</v>
      </c>
      <c r="V142">
        <v>7.11</v>
      </c>
      <c r="W142">
        <v>196.84</v>
      </c>
      <c r="X142">
        <v>36.1</v>
      </c>
      <c r="Y142">
        <v>105.59</v>
      </c>
      <c r="Z142">
        <v>29.44</v>
      </c>
      <c r="AA142">
        <v>3.17</v>
      </c>
      <c r="AB142">
        <v>164.23</v>
      </c>
      <c r="AC142">
        <v>151.36405529953916</v>
      </c>
      <c r="AD142">
        <v>16.292658730158728</v>
      </c>
      <c r="AE142">
        <v>75.56</v>
      </c>
      <c r="AF142">
        <v>16.190000000000001</v>
      </c>
      <c r="AG142">
        <v>0</v>
      </c>
      <c r="AH142">
        <v>-2.3199999999999998</v>
      </c>
      <c r="AI142">
        <v>5</v>
      </c>
      <c r="AJ142">
        <v>176.36</v>
      </c>
      <c r="AK142">
        <v>63.57</v>
      </c>
      <c r="AL142" t="s">
        <v>23</v>
      </c>
      <c r="AM142" t="s">
        <v>24</v>
      </c>
      <c r="AN142" t="str">
        <f t="shared" si="8"/>
        <v>Morning</v>
      </c>
      <c r="AO142" t="str">
        <f t="shared" si="9"/>
        <v>Peak</v>
      </c>
      <c r="AP142" t="str">
        <f t="shared" si="10"/>
        <v>Medium</v>
      </c>
      <c r="AQ142" t="str">
        <f t="shared" si="11"/>
        <v>Low</v>
      </c>
    </row>
    <row r="143" spans="1:43" x14ac:dyDescent="0.3">
      <c r="A143">
        <v>142</v>
      </c>
      <c r="B143" t="s">
        <v>14</v>
      </c>
      <c r="C143" t="s">
        <v>8</v>
      </c>
      <c r="D143" s="1">
        <v>46273</v>
      </c>
      <c r="E143" t="s">
        <v>44</v>
      </c>
      <c r="F143">
        <v>0</v>
      </c>
      <c r="G143">
        <v>11</v>
      </c>
      <c r="H143" t="s">
        <v>10</v>
      </c>
      <c r="I143" t="s">
        <v>46</v>
      </c>
      <c r="J143">
        <v>1.1499999999999999</v>
      </c>
      <c r="K143" t="s">
        <v>12</v>
      </c>
      <c r="L143">
        <v>0</v>
      </c>
      <c r="M143">
        <v>4.53</v>
      </c>
      <c r="N143">
        <v>18</v>
      </c>
      <c r="O143" t="s">
        <v>22</v>
      </c>
      <c r="P143">
        <v>7</v>
      </c>
      <c r="Q143">
        <v>4.33</v>
      </c>
      <c r="R143">
        <v>46.6</v>
      </c>
      <c r="S143">
        <v>91.9</v>
      </c>
      <c r="T143">
        <v>8.44</v>
      </c>
      <c r="U143">
        <v>1</v>
      </c>
      <c r="V143">
        <v>0</v>
      </c>
      <c r="W143">
        <v>100.34</v>
      </c>
      <c r="X143">
        <v>42.4</v>
      </c>
      <c r="Y143">
        <v>102.35</v>
      </c>
      <c r="Z143">
        <v>10.44</v>
      </c>
      <c r="AA143">
        <v>4.3</v>
      </c>
      <c r="AB143">
        <v>85.6</v>
      </c>
      <c r="AC143">
        <v>110.2145922746781</v>
      </c>
      <c r="AD143">
        <v>19.769053117782907</v>
      </c>
      <c r="AE143">
        <v>83.81</v>
      </c>
      <c r="AF143">
        <v>15.94</v>
      </c>
      <c r="AG143">
        <v>0</v>
      </c>
      <c r="AH143">
        <v>-16.7</v>
      </c>
      <c r="AI143">
        <v>5</v>
      </c>
      <c r="AJ143">
        <v>133.12</v>
      </c>
      <c r="AK143">
        <v>62.88</v>
      </c>
      <c r="AL143" t="s">
        <v>14</v>
      </c>
      <c r="AM143" t="s">
        <v>15</v>
      </c>
      <c r="AN143" t="str">
        <f t="shared" si="8"/>
        <v>Afternoon</v>
      </c>
      <c r="AO143" t="str">
        <f t="shared" si="9"/>
        <v>Off-Peak</v>
      </c>
      <c r="AP143" t="str">
        <f t="shared" si="10"/>
        <v>Low</v>
      </c>
      <c r="AQ143" t="str">
        <f t="shared" si="11"/>
        <v>Low</v>
      </c>
    </row>
    <row r="144" spans="1:43" x14ac:dyDescent="0.3">
      <c r="A144">
        <v>143</v>
      </c>
      <c r="B144" t="s">
        <v>14</v>
      </c>
      <c r="C144" t="s">
        <v>8</v>
      </c>
      <c r="D144" s="1">
        <v>46269</v>
      </c>
      <c r="E144" t="s">
        <v>9</v>
      </c>
      <c r="F144">
        <v>0</v>
      </c>
      <c r="G144">
        <v>22</v>
      </c>
      <c r="H144" t="s">
        <v>51</v>
      </c>
      <c r="I144" t="s">
        <v>46</v>
      </c>
      <c r="J144">
        <v>1.1499999999999999</v>
      </c>
      <c r="K144" t="s">
        <v>12</v>
      </c>
      <c r="L144">
        <v>0</v>
      </c>
      <c r="M144">
        <v>2.27</v>
      </c>
      <c r="N144">
        <v>19</v>
      </c>
      <c r="O144" t="s">
        <v>22</v>
      </c>
      <c r="P144">
        <v>9</v>
      </c>
      <c r="Q144">
        <v>3.71</v>
      </c>
      <c r="R144">
        <v>39.5</v>
      </c>
      <c r="S144">
        <v>96.42</v>
      </c>
      <c r="T144">
        <v>23.18</v>
      </c>
      <c r="U144">
        <v>1</v>
      </c>
      <c r="V144">
        <v>0</v>
      </c>
      <c r="W144">
        <v>119.6</v>
      </c>
      <c r="X144">
        <v>37.9</v>
      </c>
      <c r="Y144">
        <v>100.53</v>
      </c>
      <c r="Z144">
        <v>9.83</v>
      </c>
      <c r="AA144">
        <v>9.32</v>
      </c>
      <c r="AB144">
        <v>100.45</v>
      </c>
      <c r="AC144">
        <v>152.58227848101265</v>
      </c>
      <c r="AD144">
        <v>27.075471698113208</v>
      </c>
      <c r="AE144">
        <v>68.45</v>
      </c>
      <c r="AF144">
        <v>16.579999999999998</v>
      </c>
      <c r="AG144">
        <v>0</v>
      </c>
      <c r="AH144">
        <v>-7.53</v>
      </c>
      <c r="AI144">
        <v>11.47</v>
      </c>
      <c r="AJ144">
        <v>154.93</v>
      </c>
      <c r="AK144">
        <v>64.75</v>
      </c>
      <c r="AL144" t="s">
        <v>14</v>
      </c>
      <c r="AM144" t="s">
        <v>15</v>
      </c>
      <c r="AN144" t="str">
        <f t="shared" si="8"/>
        <v>Night</v>
      </c>
      <c r="AO144" t="str">
        <f t="shared" si="9"/>
        <v>Off-Peak</v>
      </c>
      <c r="AP144" t="str">
        <f t="shared" si="10"/>
        <v>Medium</v>
      </c>
      <c r="AQ144" t="str">
        <f t="shared" si="11"/>
        <v>Low</v>
      </c>
    </row>
    <row r="145" spans="1:43" x14ac:dyDescent="0.3">
      <c r="A145">
        <v>144</v>
      </c>
      <c r="B145" t="s">
        <v>48</v>
      </c>
      <c r="C145" t="s">
        <v>30</v>
      </c>
      <c r="D145" s="1">
        <v>46121</v>
      </c>
      <c r="E145" t="s">
        <v>41</v>
      </c>
      <c r="F145">
        <v>0</v>
      </c>
      <c r="G145">
        <v>14</v>
      </c>
      <c r="H145" t="s">
        <v>43</v>
      </c>
      <c r="I145" t="s">
        <v>39</v>
      </c>
      <c r="J145">
        <v>1.05</v>
      </c>
      <c r="K145" t="s">
        <v>12</v>
      </c>
      <c r="L145">
        <v>0</v>
      </c>
      <c r="M145">
        <v>3</v>
      </c>
      <c r="N145">
        <v>20</v>
      </c>
      <c r="O145" t="s">
        <v>22</v>
      </c>
      <c r="P145">
        <v>5</v>
      </c>
      <c r="Q145">
        <v>9.64</v>
      </c>
      <c r="R145">
        <v>63.8</v>
      </c>
      <c r="S145">
        <v>131.63</v>
      </c>
      <c r="T145">
        <v>49.11</v>
      </c>
      <c r="U145">
        <v>1</v>
      </c>
      <c r="V145">
        <v>0</v>
      </c>
      <c r="W145">
        <v>180.74</v>
      </c>
      <c r="X145">
        <v>39.799999999999997</v>
      </c>
      <c r="Y145">
        <v>106.16</v>
      </c>
      <c r="Z145">
        <v>25.73</v>
      </c>
      <c r="AA145">
        <v>3.5</v>
      </c>
      <c r="AB145">
        <v>151.51</v>
      </c>
      <c r="AC145">
        <v>142.48589341692789</v>
      </c>
      <c r="AD145">
        <v>15.71680497925311</v>
      </c>
      <c r="AE145">
        <v>82.15</v>
      </c>
      <c r="AF145">
        <v>14.34</v>
      </c>
      <c r="AG145">
        <v>0</v>
      </c>
      <c r="AH145">
        <v>18.3</v>
      </c>
      <c r="AI145">
        <v>38.299999999999997</v>
      </c>
      <c r="AJ145">
        <v>150.88999999999999</v>
      </c>
      <c r="AK145">
        <v>68.64</v>
      </c>
      <c r="AL145" t="s">
        <v>14</v>
      </c>
      <c r="AM145" t="s">
        <v>15</v>
      </c>
      <c r="AN145" t="str">
        <f t="shared" si="8"/>
        <v>Afternoon</v>
      </c>
      <c r="AO145" t="str">
        <f t="shared" si="9"/>
        <v>Off-Peak</v>
      </c>
      <c r="AP145" t="str">
        <f t="shared" si="10"/>
        <v>Low</v>
      </c>
      <c r="AQ145" t="str">
        <f t="shared" si="11"/>
        <v>Low</v>
      </c>
    </row>
    <row r="146" spans="1:43" x14ac:dyDescent="0.3">
      <c r="A146">
        <v>145</v>
      </c>
      <c r="B146" t="s">
        <v>23</v>
      </c>
      <c r="C146" t="s">
        <v>17</v>
      </c>
      <c r="D146" s="1">
        <v>46230</v>
      </c>
      <c r="E146" t="s">
        <v>38</v>
      </c>
      <c r="F146">
        <v>0</v>
      </c>
      <c r="G146">
        <v>10</v>
      </c>
      <c r="H146" t="s">
        <v>19</v>
      </c>
      <c r="I146" t="s">
        <v>46</v>
      </c>
      <c r="J146">
        <v>1.1499999999999999</v>
      </c>
      <c r="K146" t="s">
        <v>12</v>
      </c>
      <c r="L146">
        <v>0</v>
      </c>
      <c r="M146">
        <v>3.01</v>
      </c>
      <c r="N146">
        <v>6</v>
      </c>
      <c r="O146" t="s">
        <v>22</v>
      </c>
      <c r="P146">
        <v>1</v>
      </c>
      <c r="Q146">
        <v>7.73</v>
      </c>
      <c r="R146">
        <v>61.2</v>
      </c>
      <c r="S146">
        <v>141.16</v>
      </c>
      <c r="T146">
        <v>26.86</v>
      </c>
      <c r="U146">
        <v>1.02</v>
      </c>
      <c r="V146">
        <v>2.82</v>
      </c>
      <c r="W146">
        <v>170.84</v>
      </c>
      <c r="X146">
        <v>39.200000000000003</v>
      </c>
      <c r="Y146">
        <v>102.98</v>
      </c>
      <c r="Z146">
        <v>20.32</v>
      </c>
      <c r="AA146">
        <v>8.91</v>
      </c>
      <c r="AB146">
        <v>141.61000000000001</v>
      </c>
      <c r="AC146">
        <v>138.83333333333334</v>
      </c>
      <c r="AD146">
        <v>18.319534282018111</v>
      </c>
      <c r="AE146">
        <v>79.69</v>
      </c>
      <c r="AF146">
        <v>15.72</v>
      </c>
      <c r="AG146">
        <v>0</v>
      </c>
      <c r="AH146">
        <v>2.5</v>
      </c>
      <c r="AI146">
        <v>8.5</v>
      </c>
      <c r="AJ146">
        <v>130.01</v>
      </c>
      <c r="AK146">
        <v>65.430000000000007</v>
      </c>
      <c r="AL146" t="s">
        <v>23</v>
      </c>
      <c r="AM146" t="s">
        <v>24</v>
      </c>
      <c r="AN146" t="str">
        <f t="shared" si="8"/>
        <v>Morning</v>
      </c>
      <c r="AO146" t="str">
        <f t="shared" si="9"/>
        <v>Peak</v>
      </c>
      <c r="AP146" t="str">
        <f t="shared" si="10"/>
        <v>Low</v>
      </c>
      <c r="AQ146" t="str">
        <f t="shared" si="11"/>
        <v>Low</v>
      </c>
    </row>
    <row r="147" spans="1:43" x14ac:dyDescent="0.3">
      <c r="A147">
        <v>146</v>
      </c>
      <c r="B147" t="s">
        <v>16</v>
      </c>
      <c r="C147" t="s">
        <v>17</v>
      </c>
      <c r="D147" s="1">
        <v>46125</v>
      </c>
      <c r="E147" t="s">
        <v>38</v>
      </c>
      <c r="F147">
        <v>0</v>
      </c>
      <c r="G147">
        <v>22</v>
      </c>
      <c r="H147" t="s">
        <v>19</v>
      </c>
      <c r="I147" t="s">
        <v>28</v>
      </c>
      <c r="J147">
        <v>1.03</v>
      </c>
      <c r="K147" t="s">
        <v>12</v>
      </c>
      <c r="L147">
        <v>0</v>
      </c>
      <c r="M147">
        <v>3.32</v>
      </c>
      <c r="N147">
        <v>30</v>
      </c>
      <c r="O147" t="s">
        <v>22</v>
      </c>
      <c r="P147">
        <v>4</v>
      </c>
      <c r="Q147">
        <v>2.33</v>
      </c>
      <c r="R147">
        <v>31.2</v>
      </c>
      <c r="S147">
        <v>78.52</v>
      </c>
      <c r="T147">
        <v>2.2599999999999998</v>
      </c>
      <c r="U147">
        <v>1</v>
      </c>
      <c r="V147">
        <v>0</v>
      </c>
      <c r="W147">
        <v>80.78</v>
      </c>
      <c r="X147">
        <v>45.6</v>
      </c>
      <c r="Y147">
        <v>106.95</v>
      </c>
      <c r="Z147">
        <v>5.46</v>
      </c>
      <c r="AA147">
        <v>9.18</v>
      </c>
      <c r="AB147">
        <v>66.14</v>
      </c>
      <c r="AC147">
        <v>127.19230769230769</v>
      </c>
      <c r="AD147">
        <v>28.386266094420602</v>
      </c>
      <c r="AE147">
        <v>81.52</v>
      </c>
      <c r="AF147">
        <v>20</v>
      </c>
      <c r="AG147">
        <v>0</v>
      </c>
      <c r="AH147">
        <v>4.88</v>
      </c>
      <c r="AI147">
        <v>34.880000000000003</v>
      </c>
      <c r="AJ147">
        <v>123.18</v>
      </c>
      <c r="AK147">
        <v>70.930000000000007</v>
      </c>
      <c r="AL147" t="s">
        <v>23</v>
      </c>
      <c r="AM147" t="s">
        <v>24</v>
      </c>
      <c r="AN147" t="str">
        <f t="shared" si="8"/>
        <v>Night</v>
      </c>
      <c r="AO147" t="str">
        <f t="shared" si="9"/>
        <v>Off-Peak</v>
      </c>
      <c r="AP147" t="str">
        <f t="shared" si="10"/>
        <v>Low</v>
      </c>
      <c r="AQ147" t="str">
        <f t="shared" si="11"/>
        <v>Low</v>
      </c>
    </row>
    <row r="148" spans="1:43" x14ac:dyDescent="0.3">
      <c r="A148">
        <v>147</v>
      </c>
      <c r="B148" t="s">
        <v>7</v>
      </c>
      <c r="C148" t="s">
        <v>8</v>
      </c>
      <c r="D148" s="1">
        <v>46228</v>
      </c>
      <c r="E148" t="s">
        <v>31</v>
      </c>
      <c r="F148">
        <v>1</v>
      </c>
      <c r="G148">
        <v>14</v>
      </c>
      <c r="H148" t="s">
        <v>10</v>
      </c>
      <c r="I148" t="s">
        <v>11</v>
      </c>
      <c r="J148">
        <v>1.18</v>
      </c>
      <c r="K148" t="s">
        <v>34</v>
      </c>
      <c r="L148">
        <v>1</v>
      </c>
      <c r="M148">
        <v>4.26</v>
      </c>
      <c r="N148">
        <v>117</v>
      </c>
      <c r="O148" t="s">
        <v>13</v>
      </c>
      <c r="P148">
        <v>51</v>
      </c>
      <c r="Q148">
        <v>7.58</v>
      </c>
      <c r="R148">
        <v>57.4</v>
      </c>
      <c r="S148">
        <v>113.5</v>
      </c>
      <c r="T148">
        <v>100</v>
      </c>
      <c r="U148">
        <v>1</v>
      </c>
      <c r="V148">
        <v>0</v>
      </c>
      <c r="W148">
        <v>213.5</v>
      </c>
      <c r="X148">
        <v>41.8</v>
      </c>
      <c r="Y148">
        <v>107.01</v>
      </c>
      <c r="Z148">
        <v>19.38</v>
      </c>
      <c r="AA148">
        <v>5.53</v>
      </c>
      <c r="AB148">
        <v>188.59</v>
      </c>
      <c r="AC148">
        <v>197.13240418118468</v>
      </c>
      <c r="AD148">
        <v>24.879947229551451</v>
      </c>
      <c r="AE148">
        <v>80.12</v>
      </c>
      <c r="AF148">
        <v>13.68</v>
      </c>
      <c r="AG148">
        <v>1</v>
      </c>
      <c r="AH148">
        <v>-30.48</v>
      </c>
      <c r="AI148">
        <v>86.52</v>
      </c>
      <c r="AJ148">
        <v>194.05</v>
      </c>
      <c r="AK148">
        <v>77.290000000000006</v>
      </c>
      <c r="AL148" t="s">
        <v>14</v>
      </c>
      <c r="AM148" t="s">
        <v>15</v>
      </c>
      <c r="AN148" t="str">
        <f t="shared" si="8"/>
        <v>Afternoon</v>
      </c>
      <c r="AO148" t="str">
        <f t="shared" si="9"/>
        <v>Off-Peak</v>
      </c>
      <c r="AP148" t="str">
        <f t="shared" si="10"/>
        <v>Medium</v>
      </c>
      <c r="AQ148" t="str">
        <f t="shared" si="11"/>
        <v>High</v>
      </c>
    </row>
    <row r="149" spans="1:43" x14ac:dyDescent="0.3">
      <c r="A149">
        <v>148</v>
      </c>
      <c r="B149" t="s">
        <v>14</v>
      </c>
      <c r="C149" t="s">
        <v>8</v>
      </c>
      <c r="D149" s="1">
        <v>46173</v>
      </c>
      <c r="E149" t="s">
        <v>26</v>
      </c>
      <c r="F149">
        <v>1</v>
      </c>
      <c r="G149">
        <v>22</v>
      </c>
      <c r="H149" t="s">
        <v>51</v>
      </c>
      <c r="I149" t="s">
        <v>33</v>
      </c>
      <c r="J149">
        <v>1</v>
      </c>
      <c r="K149" t="s">
        <v>12</v>
      </c>
      <c r="L149">
        <v>0</v>
      </c>
      <c r="M149">
        <v>3.25</v>
      </c>
      <c r="N149">
        <v>48</v>
      </c>
      <c r="O149" t="s">
        <v>35</v>
      </c>
      <c r="P149">
        <v>25</v>
      </c>
      <c r="Q149">
        <v>6.56</v>
      </c>
      <c r="R149">
        <v>47.2</v>
      </c>
      <c r="S149">
        <v>103.34</v>
      </c>
      <c r="T149">
        <v>65.52</v>
      </c>
      <c r="U149">
        <v>1</v>
      </c>
      <c r="V149">
        <v>0</v>
      </c>
      <c r="W149">
        <v>168.86</v>
      </c>
      <c r="X149">
        <v>39.5</v>
      </c>
      <c r="Y149">
        <v>104.55</v>
      </c>
      <c r="Z149">
        <v>17.38</v>
      </c>
      <c r="AA149">
        <v>4.58</v>
      </c>
      <c r="AB149">
        <v>146.9</v>
      </c>
      <c r="AC149">
        <v>186.73728813559322</v>
      </c>
      <c r="AD149">
        <v>22.39329268292683</v>
      </c>
      <c r="AE149">
        <v>72.34</v>
      </c>
      <c r="AF149">
        <v>14.32</v>
      </c>
      <c r="AG149">
        <v>1</v>
      </c>
      <c r="AH149">
        <v>17.22</v>
      </c>
      <c r="AI149">
        <v>65.22</v>
      </c>
      <c r="AJ149">
        <v>179.56</v>
      </c>
      <c r="AK149">
        <v>73.430000000000007</v>
      </c>
      <c r="AL149" t="s">
        <v>14</v>
      </c>
      <c r="AM149" t="s">
        <v>15</v>
      </c>
      <c r="AN149" t="str">
        <f t="shared" si="8"/>
        <v>Night</v>
      </c>
      <c r="AO149" t="str">
        <f t="shared" si="9"/>
        <v>Off-Peak</v>
      </c>
      <c r="AP149" t="str">
        <f t="shared" si="10"/>
        <v>Medium</v>
      </c>
      <c r="AQ149" t="str">
        <f t="shared" si="11"/>
        <v>Medium</v>
      </c>
    </row>
    <row r="150" spans="1:43" x14ac:dyDescent="0.3">
      <c r="A150">
        <v>149</v>
      </c>
      <c r="B150" t="s">
        <v>16</v>
      </c>
      <c r="C150" t="s">
        <v>17</v>
      </c>
      <c r="D150" s="1">
        <v>46144</v>
      </c>
      <c r="E150" t="s">
        <v>31</v>
      </c>
      <c r="F150">
        <v>1</v>
      </c>
      <c r="G150">
        <v>21</v>
      </c>
      <c r="H150" t="s">
        <v>19</v>
      </c>
      <c r="I150" t="s">
        <v>33</v>
      </c>
      <c r="J150">
        <v>1</v>
      </c>
      <c r="K150" t="s">
        <v>12</v>
      </c>
      <c r="L150">
        <v>0</v>
      </c>
      <c r="M150">
        <v>3.96</v>
      </c>
      <c r="N150">
        <v>77</v>
      </c>
      <c r="O150" t="s">
        <v>13</v>
      </c>
      <c r="P150">
        <v>12</v>
      </c>
      <c r="Q150">
        <v>3.86</v>
      </c>
      <c r="R150">
        <v>32.200000000000003</v>
      </c>
      <c r="S150">
        <v>109.04</v>
      </c>
      <c r="T150">
        <v>92.48</v>
      </c>
      <c r="U150">
        <v>1.28</v>
      </c>
      <c r="V150">
        <v>30.53</v>
      </c>
      <c r="W150">
        <v>232.05</v>
      </c>
      <c r="X150">
        <v>47.5</v>
      </c>
      <c r="Y150">
        <v>105.36</v>
      </c>
      <c r="Z150">
        <v>8.57</v>
      </c>
      <c r="AA150">
        <v>5.73</v>
      </c>
      <c r="AB150">
        <v>217.75</v>
      </c>
      <c r="AC150">
        <v>405.74534161490681</v>
      </c>
      <c r="AD150">
        <v>56.411917098445599</v>
      </c>
      <c r="AE150">
        <v>71.2</v>
      </c>
      <c r="AF150">
        <v>16.420000000000002</v>
      </c>
      <c r="AG150">
        <v>1</v>
      </c>
      <c r="AH150">
        <v>-7.28</v>
      </c>
      <c r="AI150">
        <v>69.72</v>
      </c>
      <c r="AJ150">
        <v>400</v>
      </c>
      <c r="AK150">
        <v>77.47</v>
      </c>
      <c r="AL150" t="s">
        <v>14</v>
      </c>
      <c r="AM150" t="s">
        <v>15</v>
      </c>
      <c r="AN150" t="str">
        <f t="shared" si="8"/>
        <v>Night</v>
      </c>
      <c r="AO150" t="str">
        <f t="shared" si="9"/>
        <v>Off-Peak</v>
      </c>
      <c r="AP150" t="str">
        <f t="shared" si="10"/>
        <v>High</v>
      </c>
      <c r="AQ150" t="str">
        <f t="shared" si="11"/>
        <v>High</v>
      </c>
    </row>
    <row r="151" spans="1:43" x14ac:dyDescent="0.3">
      <c r="A151">
        <v>150</v>
      </c>
      <c r="B151" t="s">
        <v>7</v>
      </c>
      <c r="C151" t="s">
        <v>8</v>
      </c>
      <c r="D151" s="1">
        <v>46056</v>
      </c>
      <c r="E151" t="s">
        <v>44</v>
      </c>
      <c r="F151">
        <v>0</v>
      </c>
      <c r="G151">
        <v>21</v>
      </c>
      <c r="H151" t="s">
        <v>51</v>
      </c>
      <c r="I151" t="s">
        <v>39</v>
      </c>
      <c r="J151">
        <v>1.05</v>
      </c>
      <c r="K151" t="s">
        <v>12</v>
      </c>
      <c r="L151">
        <v>0</v>
      </c>
      <c r="M151">
        <v>2.83</v>
      </c>
      <c r="N151">
        <v>69</v>
      </c>
      <c r="O151" t="s">
        <v>35</v>
      </c>
      <c r="P151">
        <v>24</v>
      </c>
      <c r="Q151">
        <v>7.17</v>
      </c>
      <c r="R151">
        <v>53</v>
      </c>
      <c r="S151">
        <v>97.43</v>
      </c>
      <c r="T151">
        <v>74.5</v>
      </c>
      <c r="U151">
        <v>1</v>
      </c>
      <c r="V151">
        <v>0</v>
      </c>
      <c r="W151">
        <v>171.93</v>
      </c>
      <c r="X151">
        <v>36.299999999999997</v>
      </c>
      <c r="Y151">
        <v>106.27</v>
      </c>
      <c r="Z151">
        <v>21.01</v>
      </c>
      <c r="AA151">
        <v>5.59</v>
      </c>
      <c r="AB151">
        <v>145.33000000000001</v>
      </c>
      <c r="AC151">
        <v>164.52452830188682</v>
      </c>
      <c r="AD151">
        <v>20.269177126917715</v>
      </c>
      <c r="AE151">
        <v>71.06</v>
      </c>
      <c r="AF151">
        <v>10.27</v>
      </c>
      <c r="AG151">
        <v>1</v>
      </c>
      <c r="AH151">
        <v>19.86</v>
      </c>
      <c r="AI151">
        <v>88.86</v>
      </c>
      <c r="AJ151">
        <v>147.6</v>
      </c>
      <c r="AK151">
        <v>71.94</v>
      </c>
      <c r="AL151" t="s">
        <v>14</v>
      </c>
      <c r="AM151" t="s">
        <v>15</v>
      </c>
      <c r="AN151" t="str">
        <f t="shared" si="8"/>
        <v>Night</v>
      </c>
      <c r="AO151" t="str">
        <f t="shared" si="9"/>
        <v>Off-Peak</v>
      </c>
      <c r="AP151" t="str">
        <f t="shared" si="10"/>
        <v>Medium</v>
      </c>
      <c r="AQ151" t="str">
        <f t="shared" si="11"/>
        <v>Medium</v>
      </c>
    </row>
    <row r="152" spans="1:43" x14ac:dyDescent="0.3">
      <c r="A152">
        <v>151</v>
      </c>
      <c r="B152" t="s">
        <v>16</v>
      </c>
      <c r="C152" t="s">
        <v>17</v>
      </c>
      <c r="D152" s="1">
        <v>46191</v>
      </c>
      <c r="E152" t="s">
        <v>41</v>
      </c>
      <c r="F152">
        <v>0</v>
      </c>
      <c r="G152">
        <v>16</v>
      </c>
      <c r="H152" t="s">
        <v>19</v>
      </c>
      <c r="I152" t="s">
        <v>45</v>
      </c>
      <c r="J152">
        <v>1</v>
      </c>
      <c r="K152" t="s">
        <v>12</v>
      </c>
      <c r="L152">
        <v>0</v>
      </c>
      <c r="M152">
        <v>3.01</v>
      </c>
      <c r="N152">
        <v>11</v>
      </c>
      <c r="O152" t="s">
        <v>22</v>
      </c>
      <c r="P152">
        <v>2</v>
      </c>
      <c r="Q152">
        <v>10.050000000000001</v>
      </c>
      <c r="R152">
        <v>75.5</v>
      </c>
      <c r="S152">
        <v>174.99</v>
      </c>
      <c r="T152">
        <v>12.23</v>
      </c>
      <c r="U152">
        <v>1.04</v>
      </c>
      <c r="V152">
        <v>7</v>
      </c>
      <c r="W152">
        <v>194.22</v>
      </c>
      <c r="X152">
        <v>46.5</v>
      </c>
      <c r="Y152">
        <v>104.69</v>
      </c>
      <c r="Z152">
        <v>22.62</v>
      </c>
      <c r="AA152">
        <v>8.07</v>
      </c>
      <c r="AB152">
        <v>163.53</v>
      </c>
      <c r="AC152">
        <v>129.95761589403975</v>
      </c>
      <c r="AD152">
        <v>16.271641791044775</v>
      </c>
      <c r="AE152">
        <v>65.540000000000006</v>
      </c>
      <c r="AF152">
        <v>18.63</v>
      </c>
      <c r="AG152">
        <v>0</v>
      </c>
      <c r="AH152">
        <v>5.31</v>
      </c>
      <c r="AI152">
        <v>16.309999999999999</v>
      </c>
      <c r="AJ152">
        <v>138.58000000000001</v>
      </c>
      <c r="AK152">
        <v>63.46</v>
      </c>
      <c r="AL152" t="s">
        <v>23</v>
      </c>
      <c r="AM152" t="s">
        <v>24</v>
      </c>
      <c r="AN152" t="str">
        <f t="shared" si="8"/>
        <v>Evening</v>
      </c>
      <c r="AO152" t="str">
        <f t="shared" si="9"/>
        <v>Off-Peak</v>
      </c>
      <c r="AP152" t="str">
        <f t="shared" si="10"/>
        <v>Low</v>
      </c>
      <c r="AQ152" t="str">
        <f t="shared" si="11"/>
        <v>Low</v>
      </c>
    </row>
    <row r="153" spans="1:43" x14ac:dyDescent="0.3">
      <c r="A153">
        <v>152</v>
      </c>
      <c r="B153" t="s">
        <v>14</v>
      </c>
      <c r="C153" t="s">
        <v>8</v>
      </c>
      <c r="D153" s="1">
        <v>46105</v>
      </c>
      <c r="E153" t="s">
        <v>44</v>
      </c>
      <c r="F153">
        <v>0</v>
      </c>
      <c r="G153">
        <v>19</v>
      </c>
      <c r="H153" t="s">
        <v>51</v>
      </c>
      <c r="I153" t="s">
        <v>50</v>
      </c>
      <c r="J153">
        <v>1.2</v>
      </c>
      <c r="K153" t="s">
        <v>12</v>
      </c>
      <c r="L153">
        <v>0</v>
      </c>
      <c r="M153">
        <v>3.22</v>
      </c>
      <c r="N153">
        <v>67</v>
      </c>
      <c r="O153" t="s">
        <v>35</v>
      </c>
      <c r="P153">
        <v>28</v>
      </c>
      <c r="Q153">
        <v>3.95</v>
      </c>
      <c r="R153">
        <v>40.9</v>
      </c>
      <c r="S153">
        <v>83.01</v>
      </c>
      <c r="T153">
        <v>82.82</v>
      </c>
      <c r="U153">
        <v>1</v>
      </c>
      <c r="V153">
        <v>0</v>
      </c>
      <c r="W153">
        <v>165.83</v>
      </c>
      <c r="X153">
        <v>38.700000000000003</v>
      </c>
      <c r="Y153">
        <v>108.77</v>
      </c>
      <c r="Z153">
        <v>11.09</v>
      </c>
      <c r="AA153">
        <v>9.44</v>
      </c>
      <c r="AB153">
        <v>145.30000000000001</v>
      </c>
      <c r="AC153">
        <v>213.15403422982888</v>
      </c>
      <c r="AD153">
        <v>36.784810126582279</v>
      </c>
      <c r="AE153">
        <v>80.290000000000006</v>
      </c>
      <c r="AF153">
        <v>16.47</v>
      </c>
      <c r="AG153">
        <v>1</v>
      </c>
      <c r="AH153">
        <v>-5.43</v>
      </c>
      <c r="AI153">
        <v>61.57</v>
      </c>
      <c r="AJ153">
        <v>236.32</v>
      </c>
      <c r="AK153">
        <v>79.97</v>
      </c>
      <c r="AL153" t="s">
        <v>14</v>
      </c>
      <c r="AM153" t="s">
        <v>15</v>
      </c>
      <c r="AN153" t="str">
        <f t="shared" si="8"/>
        <v>Night</v>
      </c>
      <c r="AO153" t="str">
        <f t="shared" si="9"/>
        <v>Peak</v>
      </c>
      <c r="AP153" t="str">
        <f t="shared" si="10"/>
        <v>Medium</v>
      </c>
      <c r="AQ153" t="str">
        <f t="shared" si="11"/>
        <v>Medium</v>
      </c>
    </row>
    <row r="154" spans="1:43" x14ac:dyDescent="0.3">
      <c r="A154">
        <v>153</v>
      </c>
      <c r="B154" t="s">
        <v>23</v>
      </c>
      <c r="C154" t="s">
        <v>17</v>
      </c>
      <c r="D154" s="1">
        <v>46078</v>
      </c>
      <c r="E154" t="s">
        <v>18</v>
      </c>
      <c r="F154">
        <v>0</v>
      </c>
      <c r="G154">
        <v>22</v>
      </c>
      <c r="H154" t="s">
        <v>19</v>
      </c>
      <c r="I154" t="s">
        <v>20</v>
      </c>
      <c r="J154">
        <v>1.25</v>
      </c>
      <c r="K154" t="s">
        <v>21</v>
      </c>
      <c r="L154">
        <v>0</v>
      </c>
      <c r="M154">
        <v>1.61</v>
      </c>
      <c r="N154">
        <v>53</v>
      </c>
      <c r="O154" t="s">
        <v>35</v>
      </c>
      <c r="P154">
        <v>9</v>
      </c>
      <c r="Q154">
        <v>3.96</v>
      </c>
      <c r="R154">
        <v>35.700000000000003</v>
      </c>
      <c r="S154">
        <v>102.5</v>
      </c>
      <c r="T154">
        <v>41.22</v>
      </c>
      <c r="U154">
        <v>1.1100000000000001</v>
      </c>
      <c r="V154">
        <v>11.28</v>
      </c>
      <c r="W154">
        <v>155</v>
      </c>
      <c r="X154">
        <v>48.8</v>
      </c>
      <c r="Y154">
        <v>100.76</v>
      </c>
      <c r="Z154">
        <v>8.17</v>
      </c>
      <c r="AA154">
        <v>10.62</v>
      </c>
      <c r="AB154">
        <v>136.21</v>
      </c>
      <c r="AC154">
        <v>228.92436974789914</v>
      </c>
      <c r="AD154">
        <v>34.396464646464651</v>
      </c>
      <c r="AE154">
        <v>74.41</v>
      </c>
      <c r="AF154">
        <v>13.61</v>
      </c>
      <c r="AG154">
        <v>0</v>
      </c>
      <c r="AH154">
        <v>-22.17</v>
      </c>
      <c r="AI154">
        <v>30.83</v>
      </c>
      <c r="AJ154">
        <v>228.87</v>
      </c>
      <c r="AK154">
        <v>72.14</v>
      </c>
      <c r="AL154" t="s">
        <v>23</v>
      </c>
      <c r="AM154" t="s">
        <v>24</v>
      </c>
      <c r="AN154" t="str">
        <f t="shared" si="8"/>
        <v>Night</v>
      </c>
      <c r="AO154" t="str">
        <f t="shared" si="9"/>
        <v>Off-Peak</v>
      </c>
      <c r="AP154" t="str">
        <f t="shared" si="10"/>
        <v>Medium</v>
      </c>
      <c r="AQ154" t="str">
        <f t="shared" si="11"/>
        <v>Medium</v>
      </c>
    </row>
    <row r="155" spans="1:43" x14ac:dyDescent="0.3">
      <c r="A155">
        <v>154</v>
      </c>
      <c r="B155" t="s">
        <v>48</v>
      </c>
      <c r="C155" t="s">
        <v>30</v>
      </c>
      <c r="D155" s="1">
        <v>46072</v>
      </c>
      <c r="E155" t="s">
        <v>41</v>
      </c>
      <c r="F155">
        <v>0</v>
      </c>
      <c r="G155">
        <v>11</v>
      </c>
      <c r="H155" t="s">
        <v>43</v>
      </c>
      <c r="I155" t="s">
        <v>28</v>
      </c>
      <c r="J155">
        <v>1.03</v>
      </c>
      <c r="K155" t="s">
        <v>34</v>
      </c>
      <c r="L155">
        <v>1</v>
      </c>
      <c r="M155">
        <v>3.61</v>
      </c>
      <c r="N155">
        <v>42</v>
      </c>
      <c r="O155" t="s">
        <v>35</v>
      </c>
      <c r="P155">
        <v>8</v>
      </c>
      <c r="Q155">
        <v>3.8</v>
      </c>
      <c r="R155">
        <v>37.5</v>
      </c>
      <c r="S155">
        <v>80.61</v>
      </c>
      <c r="T155">
        <v>54.69</v>
      </c>
      <c r="U155">
        <v>1</v>
      </c>
      <c r="V155">
        <v>0</v>
      </c>
      <c r="W155">
        <v>135.30000000000001</v>
      </c>
      <c r="X155">
        <v>35.1</v>
      </c>
      <c r="Y155">
        <v>109.8</v>
      </c>
      <c r="Z155">
        <v>11.89</v>
      </c>
      <c r="AA155">
        <v>2.2999999999999998</v>
      </c>
      <c r="AB155">
        <v>121.11</v>
      </c>
      <c r="AC155">
        <v>193.77600000000001</v>
      </c>
      <c r="AD155">
        <v>31.871052631578948</v>
      </c>
      <c r="AE155">
        <v>78.81</v>
      </c>
      <c r="AF155">
        <v>9.19</v>
      </c>
      <c r="AG155">
        <v>0</v>
      </c>
      <c r="AH155">
        <v>35.619999999999997</v>
      </c>
      <c r="AI155">
        <v>77.62</v>
      </c>
      <c r="AJ155">
        <v>158.47</v>
      </c>
      <c r="AK155">
        <v>60</v>
      </c>
      <c r="AL155" t="s">
        <v>23</v>
      </c>
      <c r="AM155" t="s">
        <v>24</v>
      </c>
      <c r="AN155" t="str">
        <f t="shared" si="8"/>
        <v>Afternoon</v>
      </c>
      <c r="AO155" t="str">
        <f t="shared" si="9"/>
        <v>Off-Peak</v>
      </c>
      <c r="AP155" t="str">
        <f t="shared" si="10"/>
        <v>Medium</v>
      </c>
      <c r="AQ155" t="str">
        <f t="shared" si="11"/>
        <v>Medium</v>
      </c>
    </row>
    <row r="156" spans="1:43" x14ac:dyDescent="0.3">
      <c r="A156">
        <v>155</v>
      </c>
      <c r="B156" t="s">
        <v>29</v>
      </c>
      <c r="C156" t="s">
        <v>30</v>
      </c>
      <c r="D156" s="1">
        <v>46276</v>
      </c>
      <c r="E156" t="s">
        <v>9</v>
      </c>
      <c r="F156">
        <v>0</v>
      </c>
      <c r="G156">
        <v>7</v>
      </c>
      <c r="H156" t="s">
        <v>47</v>
      </c>
      <c r="I156" t="s">
        <v>42</v>
      </c>
      <c r="J156">
        <v>1.08</v>
      </c>
      <c r="K156" t="s">
        <v>12</v>
      </c>
      <c r="L156">
        <v>0</v>
      </c>
      <c r="M156">
        <v>3.39</v>
      </c>
      <c r="N156">
        <v>10</v>
      </c>
      <c r="O156" t="s">
        <v>22</v>
      </c>
      <c r="P156">
        <v>3</v>
      </c>
      <c r="Q156">
        <v>2.25</v>
      </c>
      <c r="R156">
        <v>30.5</v>
      </c>
      <c r="S156">
        <v>78.349999999999994</v>
      </c>
      <c r="T156">
        <v>13.44</v>
      </c>
      <c r="U156">
        <v>1</v>
      </c>
      <c r="V156">
        <v>0</v>
      </c>
      <c r="W156">
        <v>91.79</v>
      </c>
      <c r="X156">
        <v>43.3</v>
      </c>
      <c r="Y156">
        <v>100.33</v>
      </c>
      <c r="Z156">
        <v>5.21</v>
      </c>
      <c r="AA156">
        <v>9.27</v>
      </c>
      <c r="AB156">
        <v>77.31</v>
      </c>
      <c r="AC156">
        <v>152.08524590163935</v>
      </c>
      <c r="AD156">
        <v>34.36</v>
      </c>
      <c r="AE156">
        <v>76.7</v>
      </c>
      <c r="AF156">
        <v>16.22</v>
      </c>
      <c r="AG156">
        <v>0</v>
      </c>
      <c r="AH156">
        <v>15.05</v>
      </c>
      <c r="AI156">
        <v>25.05</v>
      </c>
      <c r="AJ156">
        <v>148.41</v>
      </c>
      <c r="AK156">
        <v>70.53</v>
      </c>
      <c r="AL156" t="s">
        <v>23</v>
      </c>
      <c r="AM156" t="s">
        <v>24</v>
      </c>
      <c r="AN156" t="str">
        <f t="shared" si="8"/>
        <v>Morning</v>
      </c>
      <c r="AO156" t="str">
        <f t="shared" si="9"/>
        <v>Peak</v>
      </c>
      <c r="AP156" t="str">
        <f t="shared" si="10"/>
        <v>Medium</v>
      </c>
      <c r="AQ156" t="str">
        <f t="shared" si="11"/>
        <v>Low</v>
      </c>
    </row>
    <row r="157" spans="1:43" x14ac:dyDescent="0.3">
      <c r="A157">
        <v>156</v>
      </c>
      <c r="B157" t="s">
        <v>25</v>
      </c>
      <c r="C157" t="s">
        <v>17</v>
      </c>
      <c r="D157" s="1">
        <v>46049</v>
      </c>
      <c r="E157" t="s">
        <v>44</v>
      </c>
      <c r="F157">
        <v>0</v>
      </c>
      <c r="G157">
        <v>12</v>
      </c>
      <c r="H157" t="s">
        <v>19</v>
      </c>
      <c r="I157" t="s">
        <v>20</v>
      </c>
      <c r="J157">
        <v>1.25</v>
      </c>
      <c r="K157" t="s">
        <v>21</v>
      </c>
      <c r="L157">
        <v>0</v>
      </c>
      <c r="M157">
        <v>3.42</v>
      </c>
      <c r="N157">
        <v>30</v>
      </c>
      <c r="O157" t="s">
        <v>22</v>
      </c>
      <c r="P157">
        <v>4</v>
      </c>
      <c r="Q157">
        <v>3.92</v>
      </c>
      <c r="R157">
        <v>44.2</v>
      </c>
      <c r="S157">
        <v>122.44</v>
      </c>
      <c r="T157">
        <v>22.65</v>
      </c>
      <c r="U157">
        <v>1.01</v>
      </c>
      <c r="V157">
        <v>1.22</v>
      </c>
      <c r="W157">
        <v>146.31</v>
      </c>
      <c r="X157">
        <v>44.3</v>
      </c>
      <c r="Y157">
        <v>102.08</v>
      </c>
      <c r="Z157">
        <v>9.02</v>
      </c>
      <c r="AA157">
        <v>5.14</v>
      </c>
      <c r="AB157">
        <v>132.15</v>
      </c>
      <c r="AC157">
        <v>179.3891402714932</v>
      </c>
      <c r="AD157">
        <v>33.711734693877553</v>
      </c>
      <c r="AE157">
        <v>65.92</v>
      </c>
      <c r="AF157">
        <v>13.54</v>
      </c>
      <c r="AG157">
        <v>0</v>
      </c>
      <c r="AH157">
        <v>15.95</v>
      </c>
      <c r="AI157">
        <v>45.95</v>
      </c>
      <c r="AJ157">
        <v>158.35</v>
      </c>
      <c r="AK157">
        <v>63.32</v>
      </c>
      <c r="AL157" t="s">
        <v>14</v>
      </c>
      <c r="AM157" t="s">
        <v>15</v>
      </c>
      <c r="AN157" t="str">
        <f t="shared" si="8"/>
        <v>Afternoon</v>
      </c>
      <c r="AO157" t="str">
        <f t="shared" si="9"/>
        <v>Off-Peak</v>
      </c>
      <c r="AP157" t="str">
        <f t="shared" si="10"/>
        <v>Medium</v>
      </c>
      <c r="AQ157" t="str">
        <f t="shared" si="11"/>
        <v>Low</v>
      </c>
    </row>
    <row r="158" spans="1:43" x14ac:dyDescent="0.3">
      <c r="A158">
        <v>157</v>
      </c>
      <c r="B158" t="s">
        <v>7</v>
      </c>
      <c r="C158" t="s">
        <v>8</v>
      </c>
      <c r="D158" s="1">
        <v>46229</v>
      </c>
      <c r="E158" t="s">
        <v>26</v>
      </c>
      <c r="F158">
        <v>1</v>
      </c>
      <c r="G158">
        <v>17</v>
      </c>
      <c r="H158" t="s">
        <v>32</v>
      </c>
      <c r="I158" t="s">
        <v>50</v>
      </c>
      <c r="J158">
        <v>1.2</v>
      </c>
      <c r="K158" t="s">
        <v>12</v>
      </c>
      <c r="L158">
        <v>0</v>
      </c>
      <c r="M158">
        <v>3.45</v>
      </c>
      <c r="N158">
        <v>30</v>
      </c>
      <c r="O158" t="s">
        <v>22</v>
      </c>
      <c r="P158">
        <v>12</v>
      </c>
      <c r="Q158">
        <v>3.6</v>
      </c>
      <c r="R158">
        <v>48.1</v>
      </c>
      <c r="S158">
        <v>69.040000000000006</v>
      </c>
      <c r="T158">
        <v>51.24</v>
      </c>
      <c r="U158">
        <v>1</v>
      </c>
      <c r="V158">
        <v>0</v>
      </c>
      <c r="W158">
        <v>120.28</v>
      </c>
      <c r="X158">
        <v>43.7</v>
      </c>
      <c r="Y158">
        <v>107.08</v>
      </c>
      <c r="Z158">
        <v>8.83</v>
      </c>
      <c r="AA158">
        <v>10.39</v>
      </c>
      <c r="AB158">
        <v>101.06</v>
      </c>
      <c r="AC158">
        <v>126.06237006237006</v>
      </c>
      <c r="AD158">
        <v>28.072222222222223</v>
      </c>
      <c r="AE158">
        <v>65.680000000000007</v>
      </c>
      <c r="AF158">
        <v>18.38</v>
      </c>
      <c r="AG158">
        <v>1</v>
      </c>
      <c r="AH158">
        <v>30.28</v>
      </c>
      <c r="AI158">
        <v>60.28</v>
      </c>
      <c r="AJ158">
        <v>117.01</v>
      </c>
      <c r="AK158">
        <v>62.77</v>
      </c>
      <c r="AL158" t="s">
        <v>14</v>
      </c>
      <c r="AM158" t="s">
        <v>15</v>
      </c>
      <c r="AN158" t="str">
        <f t="shared" si="8"/>
        <v>Evening</v>
      </c>
      <c r="AO158" t="str">
        <f t="shared" si="9"/>
        <v>Peak</v>
      </c>
      <c r="AP158" t="str">
        <f t="shared" si="10"/>
        <v>Low</v>
      </c>
      <c r="AQ158" t="str">
        <f t="shared" si="11"/>
        <v>Low</v>
      </c>
    </row>
    <row r="159" spans="1:43" x14ac:dyDescent="0.3">
      <c r="A159">
        <v>158</v>
      </c>
      <c r="B159" t="s">
        <v>29</v>
      </c>
      <c r="C159" t="s">
        <v>30</v>
      </c>
      <c r="D159" s="1">
        <v>46246</v>
      </c>
      <c r="E159" t="s">
        <v>18</v>
      </c>
      <c r="F159">
        <v>0</v>
      </c>
      <c r="G159">
        <v>15</v>
      </c>
      <c r="H159" t="s">
        <v>43</v>
      </c>
      <c r="I159" t="s">
        <v>46</v>
      </c>
      <c r="J159">
        <v>1.1499999999999999</v>
      </c>
      <c r="K159" t="s">
        <v>12</v>
      </c>
      <c r="L159">
        <v>0</v>
      </c>
      <c r="M159">
        <v>1.45</v>
      </c>
      <c r="N159">
        <v>11</v>
      </c>
      <c r="O159" t="s">
        <v>22</v>
      </c>
      <c r="P159">
        <v>3</v>
      </c>
      <c r="Q159">
        <v>3.45</v>
      </c>
      <c r="R159">
        <v>36.799999999999997</v>
      </c>
      <c r="S159">
        <v>84.62</v>
      </c>
      <c r="T159">
        <v>0</v>
      </c>
      <c r="U159">
        <v>1</v>
      </c>
      <c r="V159">
        <v>0</v>
      </c>
      <c r="W159">
        <v>84.62</v>
      </c>
      <c r="X159">
        <v>47.2</v>
      </c>
      <c r="Y159">
        <v>100.85</v>
      </c>
      <c r="Z159">
        <v>7.36</v>
      </c>
      <c r="AA159">
        <v>2.76</v>
      </c>
      <c r="AB159">
        <v>74.5</v>
      </c>
      <c r="AC159">
        <v>121.46739130434784</v>
      </c>
      <c r="AD159">
        <v>21.594202898550723</v>
      </c>
      <c r="AE159">
        <v>71.05</v>
      </c>
      <c r="AF159">
        <v>15.9</v>
      </c>
      <c r="AG159">
        <v>0</v>
      </c>
      <c r="AH159">
        <v>6.36</v>
      </c>
      <c r="AI159">
        <v>17.36</v>
      </c>
      <c r="AJ159">
        <v>143.36000000000001</v>
      </c>
      <c r="AK159">
        <v>67.42</v>
      </c>
      <c r="AL159" t="s">
        <v>14</v>
      </c>
      <c r="AM159" t="s">
        <v>15</v>
      </c>
      <c r="AN159" t="str">
        <f t="shared" si="8"/>
        <v>Evening</v>
      </c>
      <c r="AO159" t="str">
        <f t="shared" si="9"/>
        <v>Off-Peak</v>
      </c>
      <c r="AP159" t="str">
        <f t="shared" si="10"/>
        <v>Low</v>
      </c>
      <c r="AQ159" t="str">
        <f t="shared" si="11"/>
        <v>Low</v>
      </c>
    </row>
    <row r="160" spans="1:43" x14ac:dyDescent="0.3">
      <c r="A160">
        <v>159</v>
      </c>
      <c r="B160" t="s">
        <v>29</v>
      </c>
      <c r="C160" t="s">
        <v>30</v>
      </c>
      <c r="D160" s="1">
        <v>46031</v>
      </c>
      <c r="E160" t="s">
        <v>9</v>
      </c>
      <c r="F160">
        <v>0</v>
      </c>
      <c r="G160">
        <v>8</v>
      </c>
      <c r="H160" t="s">
        <v>47</v>
      </c>
      <c r="I160" t="s">
        <v>46</v>
      </c>
      <c r="J160">
        <v>1.1499999999999999</v>
      </c>
      <c r="K160" t="s">
        <v>12</v>
      </c>
      <c r="L160">
        <v>0</v>
      </c>
      <c r="M160">
        <v>1.91</v>
      </c>
      <c r="N160">
        <v>13</v>
      </c>
      <c r="O160" t="s">
        <v>22</v>
      </c>
      <c r="P160">
        <v>2</v>
      </c>
      <c r="Q160">
        <v>3.41</v>
      </c>
      <c r="R160">
        <v>35</v>
      </c>
      <c r="S160">
        <v>59.12</v>
      </c>
      <c r="T160">
        <v>11.15</v>
      </c>
      <c r="U160">
        <v>1</v>
      </c>
      <c r="V160">
        <v>0</v>
      </c>
      <c r="W160">
        <v>70.27</v>
      </c>
      <c r="X160">
        <v>36.700000000000003</v>
      </c>
      <c r="Y160">
        <v>102.62</v>
      </c>
      <c r="Z160">
        <v>9.5299999999999994</v>
      </c>
      <c r="AA160">
        <v>7.51</v>
      </c>
      <c r="AB160">
        <v>53.23</v>
      </c>
      <c r="AC160">
        <v>91.251428571428562</v>
      </c>
      <c r="AD160">
        <v>15.609970674486801</v>
      </c>
      <c r="AE160">
        <v>66.84</v>
      </c>
      <c r="AF160">
        <v>15.19</v>
      </c>
      <c r="AG160">
        <v>0</v>
      </c>
      <c r="AH160">
        <v>23.29</v>
      </c>
      <c r="AI160">
        <v>36.29</v>
      </c>
      <c r="AJ160">
        <v>54.72</v>
      </c>
      <c r="AK160">
        <v>60.39</v>
      </c>
      <c r="AL160" t="s">
        <v>23</v>
      </c>
      <c r="AM160" t="s">
        <v>24</v>
      </c>
      <c r="AN160" t="str">
        <f t="shared" si="8"/>
        <v>Morning</v>
      </c>
      <c r="AO160" t="str">
        <f t="shared" si="9"/>
        <v>Peak</v>
      </c>
      <c r="AP160" t="str">
        <f t="shared" si="10"/>
        <v>Low</v>
      </c>
      <c r="AQ160" t="str">
        <f t="shared" si="11"/>
        <v>Low</v>
      </c>
    </row>
    <row r="161" spans="1:43" x14ac:dyDescent="0.3">
      <c r="A161">
        <v>160</v>
      </c>
      <c r="B161" t="s">
        <v>16</v>
      </c>
      <c r="C161" t="s">
        <v>17</v>
      </c>
      <c r="D161" s="1">
        <v>46175</v>
      </c>
      <c r="E161" t="s">
        <v>44</v>
      </c>
      <c r="F161">
        <v>0</v>
      </c>
      <c r="G161">
        <v>15</v>
      </c>
      <c r="H161" t="s">
        <v>19</v>
      </c>
      <c r="I161" t="s">
        <v>50</v>
      </c>
      <c r="J161">
        <v>1.2</v>
      </c>
      <c r="K161" t="s">
        <v>12</v>
      </c>
      <c r="L161">
        <v>0</v>
      </c>
      <c r="M161">
        <v>4.58</v>
      </c>
      <c r="N161">
        <v>21</v>
      </c>
      <c r="O161" t="s">
        <v>22</v>
      </c>
      <c r="P161">
        <v>3</v>
      </c>
      <c r="Q161">
        <v>1.57</v>
      </c>
      <c r="R161">
        <v>33.6</v>
      </c>
      <c r="S161">
        <v>84.01</v>
      </c>
      <c r="T161">
        <v>18.18</v>
      </c>
      <c r="U161">
        <v>1.1299999999999999</v>
      </c>
      <c r="V161">
        <v>10.92</v>
      </c>
      <c r="W161">
        <v>113.11</v>
      </c>
      <c r="X161">
        <v>41.2</v>
      </c>
      <c r="Y161">
        <v>101.54</v>
      </c>
      <c r="Z161">
        <v>3.88</v>
      </c>
      <c r="AA161">
        <v>7.49</v>
      </c>
      <c r="AB161">
        <v>101.74</v>
      </c>
      <c r="AC161">
        <v>181.67857142857139</v>
      </c>
      <c r="AD161">
        <v>64.802547770700627</v>
      </c>
      <c r="AE161">
        <v>66.64</v>
      </c>
      <c r="AF161">
        <v>15.73</v>
      </c>
      <c r="AG161">
        <v>0</v>
      </c>
      <c r="AH161">
        <v>-4.18</v>
      </c>
      <c r="AI161">
        <v>16.82</v>
      </c>
      <c r="AJ161">
        <v>169.54</v>
      </c>
      <c r="AK161">
        <v>68.650000000000006</v>
      </c>
      <c r="AL161" t="s">
        <v>23</v>
      </c>
      <c r="AM161" t="s">
        <v>24</v>
      </c>
      <c r="AN161" t="str">
        <f t="shared" si="8"/>
        <v>Evening</v>
      </c>
      <c r="AO161" t="str">
        <f t="shared" si="9"/>
        <v>Off-Peak</v>
      </c>
      <c r="AP161" t="str">
        <f t="shared" si="10"/>
        <v>Medium</v>
      </c>
      <c r="AQ161" t="str">
        <f t="shared" si="11"/>
        <v>Low</v>
      </c>
    </row>
    <row r="162" spans="1:43" x14ac:dyDescent="0.3">
      <c r="A162">
        <v>161</v>
      </c>
      <c r="B162" t="s">
        <v>23</v>
      </c>
      <c r="C162" t="s">
        <v>17</v>
      </c>
      <c r="D162" s="1">
        <v>46171</v>
      </c>
      <c r="E162" t="s">
        <v>9</v>
      </c>
      <c r="F162">
        <v>0</v>
      </c>
      <c r="G162">
        <v>9</v>
      </c>
      <c r="H162" t="s">
        <v>27</v>
      </c>
      <c r="I162" t="s">
        <v>45</v>
      </c>
      <c r="J162">
        <v>1</v>
      </c>
      <c r="K162" t="s">
        <v>12</v>
      </c>
      <c r="L162">
        <v>0</v>
      </c>
      <c r="M162">
        <v>3.26</v>
      </c>
      <c r="N162">
        <v>78</v>
      </c>
      <c r="O162" t="s">
        <v>13</v>
      </c>
      <c r="P162">
        <v>20</v>
      </c>
      <c r="Q162">
        <v>8.24</v>
      </c>
      <c r="R162">
        <v>59.2</v>
      </c>
      <c r="S162">
        <v>135.59</v>
      </c>
      <c r="T162">
        <v>100</v>
      </c>
      <c r="U162">
        <v>1.26</v>
      </c>
      <c r="V162">
        <v>35.25</v>
      </c>
      <c r="W162">
        <v>270.83999999999997</v>
      </c>
      <c r="X162">
        <v>48</v>
      </c>
      <c r="Y162">
        <v>107.24</v>
      </c>
      <c r="Z162">
        <v>18.43</v>
      </c>
      <c r="AA162">
        <v>5.27</v>
      </c>
      <c r="AB162">
        <v>247.14</v>
      </c>
      <c r="AC162">
        <v>250.47972972972971</v>
      </c>
      <c r="AD162">
        <v>29.992718446601938</v>
      </c>
      <c r="AE162">
        <v>91.81</v>
      </c>
      <c r="AF162">
        <v>17.149999999999999</v>
      </c>
      <c r="AG162">
        <v>1</v>
      </c>
      <c r="AH162">
        <v>14.06</v>
      </c>
      <c r="AI162">
        <v>92.06</v>
      </c>
      <c r="AJ162">
        <v>270.94</v>
      </c>
      <c r="AK162">
        <v>70.11</v>
      </c>
      <c r="AL162" t="s">
        <v>23</v>
      </c>
      <c r="AM162" t="s">
        <v>24</v>
      </c>
      <c r="AN162" t="str">
        <f t="shared" si="8"/>
        <v>Morning</v>
      </c>
      <c r="AO162" t="str">
        <f t="shared" si="9"/>
        <v>Peak</v>
      </c>
      <c r="AP162" t="str">
        <f t="shared" si="10"/>
        <v>High</v>
      </c>
      <c r="AQ162" t="str">
        <f t="shared" si="11"/>
        <v>High</v>
      </c>
    </row>
    <row r="163" spans="1:43" x14ac:dyDescent="0.3">
      <c r="A163">
        <v>162</v>
      </c>
      <c r="B163" t="s">
        <v>25</v>
      </c>
      <c r="C163" t="s">
        <v>17</v>
      </c>
      <c r="D163" s="1">
        <v>46115</v>
      </c>
      <c r="E163" t="s">
        <v>9</v>
      </c>
      <c r="F163">
        <v>0</v>
      </c>
      <c r="G163">
        <v>15</v>
      </c>
      <c r="H163" t="s">
        <v>19</v>
      </c>
      <c r="I163" t="s">
        <v>45</v>
      </c>
      <c r="J163">
        <v>1</v>
      </c>
      <c r="K163" t="s">
        <v>21</v>
      </c>
      <c r="L163">
        <v>0</v>
      </c>
      <c r="M163">
        <v>3.49</v>
      </c>
      <c r="N163">
        <v>29</v>
      </c>
      <c r="O163" t="s">
        <v>22</v>
      </c>
      <c r="P163">
        <v>6</v>
      </c>
      <c r="Q163">
        <v>2.63</v>
      </c>
      <c r="R163">
        <v>30</v>
      </c>
      <c r="S163">
        <v>90.31</v>
      </c>
      <c r="T163">
        <v>24.25</v>
      </c>
      <c r="U163">
        <v>1.1000000000000001</v>
      </c>
      <c r="V163">
        <v>9.0299999999999994</v>
      </c>
      <c r="W163">
        <v>123.59</v>
      </c>
      <c r="X163">
        <v>48.3</v>
      </c>
      <c r="Y163">
        <v>105.79</v>
      </c>
      <c r="Z163">
        <v>5.77</v>
      </c>
      <c r="AA163">
        <v>11.7</v>
      </c>
      <c r="AB163">
        <v>106.12</v>
      </c>
      <c r="AC163">
        <v>212.24</v>
      </c>
      <c r="AD163">
        <v>40.349809885931563</v>
      </c>
      <c r="AE163">
        <v>62.05</v>
      </c>
      <c r="AF163">
        <v>15.69</v>
      </c>
      <c r="AG163">
        <v>0</v>
      </c>
      <c r="AH163">
        <v>-6.45</v>
      </c>
      <c r="AI163">
        <v>22.55</v>
      </c>
      <c r="AJ163">
        <v>201.4</v>
      </c>
      <c r="AK163">
        <v>71.87</v>
      </c>
      <c r="AL163" t="s">
        <v>23</v>
      </c>
      <c r="AM163" t="s">
        <v>24</v>
      </c>
      <c r="AN163" t="str">
        <f t="shared" si="8"/>
        <v>Evening</v>
      </c>
      <c r="AO163" t="str">
        <f t="shared" si="9"/>
        <v>Off-Peak</v>
      </c>
      <c r="AP163" t="str">
        <f t="shared" si="10"/>
        <v>Medium</v>
      </c>
      <c r="AQ163" t="str">
        <f t="shared" si="11"/>
        <v>Low</v>
      </c>
    </row>
    <row r="164" spans="1:43" x14ac:dyDescent="0.3">
      <c r="A164">
        <v>163</v>
      </c>
      <c r="B164" t="s">
        <v>48</v>
      </c>
      <c r="C164" t="s">
        <v>30</v>
      </c>
      <c r="D164" s="1">
        <v>46195</v>
      </c>
      <c r="E164" t="s">
        <v>38</v>
      </c>
      <c r="F164">
        <v>0</v>
      </c>
      <c r="G164">
        <v>16</v>
      </c>
      <c r="H164" t="s">
        <v>32</v>
      </c>
      <c r="I164" t="s">
        <v>50</v>
      </c>
      <c r="J164">
        <v>1.2</v>
      </c>
      <c r="K164" t="s">
        <v>21</v>
      </c>
      <c r="L164">
        <v>0</v>
      </c>
      <c r="M164">
        <v>2.4500000000000002</v>
      </c>
      <c r="N164">
        <v>33</v>
      </c>
      <c r="O164" t="s">
        <v>22</v>
      </c>
      <c r="P164">
        <v>6</v>
      </c>
      <c r="Q164">
        <v>10.42</v>
      </c>
      <c r="R164">
        <v>57.4</v>
      </c>
      <c r="S164">
        <v>129.13999999999999</v>
      </c>
      <c r="T164">
        <v>13.15</v>
      </c>
      <c r="U164">
        <v>1</v>
      </c>
      <c r="V164">
        <v>0</v>
      </c>
      <c r="W164">
        <v>142.29</v>
      </c>
      <c r="X164">
        <v>42.5</v>
      </c>
      <c r="Y164">
        <v>100.64</v>
      </c>
      <c r="Z164">
        <v>24.68</v>
      </c>
      <c r="AA164">
        <v>3.07</v>
      </c>
      <c r="AB164">
        <v>114.54</v>
      </c>
      <c r="AC164">
        <v>119.72822299651568</v>
      </c>
      <c r="AD164">
        <v>10.99232245681382</v>
      </c>
      <c r="AE164">
        <v>90.82</v>
      </c>
      <c r="AF164">
        <v>18.13</v>
      </c>
      <c r="AG164">
        <v>0</v>
      </c>
      <c r="AH164">
        <v>-4.5599999999999996</v>
      </c>
      <c r="AI164">
        <v>28.44</v>
      </c>
      <c r="AJ164">
        <v>107.98</v>
      </c>
      <c r="AK164">
        <v>69.98</v>
      </c>
      <c r="AL164" t="s">
        <v>14</v>
      </c>
      <c r="AM164" t="s">
        <v>15</v>
      </c>
      <c r="AN164" t="str">
        <f t="shared" si="8"/>
        <v>Evening</v>
      </c>
      <c r="AO164" t="str">
        <f t="shared" si="9"/>
        <v>Off-Peak</v>
      </c>
      <c r="AP164" t="str">
        <f t="shared" si="10"/>
        <v>Low</v>
      </c>
      <c r="AQ164" t="str">
        <f t="shared" si="11"/>
        <v>Low</v>
      </c>
    </row>
    <row r="165" spans="1:43" x14ac:dyDescent="0.3">
      <c r="A165">
        <v>164</v>
      </c>
      <c r="B165" t="s">
        <v>48</v>
      </c>
      <c r="C165" t="s">
        <v>30</v>
      </c>
      <c r="D165" s="1">
        <v>46128</v>
      </c>
      <c r="E165" t="s">
        <v>41</v>
      </c>
      <c r="F165">
        <v>0</v>
      </c>
      <c r="G165">
        <v>17</v>
      </c>
      <c r="H165" t="s">
        <v>32</v>
      </c>
      <c r="I165" t="s">
        <v>42</v>
      </c>
      <c r="J165">
        <v>1.08</v>
      </c>
      <c r="K165" t="s">
        <v>12</v>
      </c>
      <c r="L165">
        <v>0</v>
      </c>
      <c r="M165">
        <v>4.16</v>
      </c>
      <c r="N165">
        <v>56</v>
      </c>
      <c r="O165" t="s">
        <v>35</v>
      </c>
      <c r="P165">
        <v>18</v>
      </c>
      <c r="Q165">
        <v>1.89</v>
      </c>
      <c r="R165">
        <v>27.5</v>
      </c>
      <c r="S165">
        <v>68.59</v>
      </c>
      <c r="T165">
        <v>61.58</v>
      </c>
      <c r="U165">
        <v>1</v>
      </c>
      <c r="V165">
        <v>0</v>
      </c>
      <c r="W165">
        <v>130.16999999999999</v>
      </c>
      <c r="X165">
        <v>43.4</v>
      </c>
      <c r="Y165">
        <v>104.6</v>
      </c>
      <c r="Z165">
        <v>4.55</v>
      </c>
      <c r="AA165">
        <v>3.36</v>
      </c>
      <c r="AB165">
        <v>122.26</v>
      </c>
      <c r="AC165">
        <v>266.74909090909091</v>
      </c>
      <c r="AD165">
        <v>64.687830687830697</v>
      </c>
      <c r="AE165">
        <v>78.790000000000006</v>
      </c>
      <c r="AF165">
        <v>16.82</v>
      </c>
      <c r="AG165">
        <v>1</v>
      </c>
      <c r="AH165">
        <v>4.46</v>
      </c>
      <c r="AI165">
        <v>60.46</v>
      </c>
      <c r="AJ165">
        <v>305.08999999999997</v>
      </c>
      <c r="AK165">
        <v>69.38</v>
      </c>
      <c r="AL165" t="s">
        <v>23</v>
      </c>
      <c r="AM165" t="s">
        <v>24</v>
      </c>
      <c r="AN165" t="str">
        <f t="shared" si="8"/>
        <v>Evening</v>
      </c>
      <c r="AO165" t="str">
        <f t="shared" si="9"/>
        <v>Peak</v>
      </c>
      <c r="AP165" t="str">
        <f t="shared" si="10"/>
        <v>High</v>
      </c>
      <c r="AQ165" t="str">
        <f t="shared" si="11"/>
        <v>Medium</v>
      </c>
    </row>
    <row r="166" spans="1:43" x14ac:dyDescent="0.3">
      <c r="A166">
        <v>165</v>
      </c>
      <c r="B166" t="s">
        <v>48</v>
      </c>
      <c r="C166" t="s">
        <v>30</v>
      </c>
      <c r="D166" s="1">
        <v>46136</v>
      </c>
      <c r="E166" t="s">
        <v>9</v>
      </c>
      <c r="F166">
        <v>0</v>
      </c>
      <c r="G166">
        <v>13</v>
      </c>
      <c r="H166" t="s">
        <v>43</v>
      </c>
      <c r="I166" t="s">
        <v>39</v>
      </c>
      <c r="J166">
        <v>1.05</v>
      </c>
      <c r="K166" t="s">
        <v>12</v>
      </c>
      <c r="L166">
        <v>0</v>
      </c>
      <c r="M166">
        <v>2.4900000000000002</v>
      </c>
      <c r="N166">
        <v>17</v>
      </c>
      <c r="O166" t="s">
        <v>22</v>
      </c>
      <c r="P166">
        <v>5</v>
      </c>
      <c r="Q166">
        <v>11.97</v>
      </c>
      <c r="R166">
        <v>72.099999999999994</v>
      </c>
      <c r="S166">
        <v>156.62</v>
      </c>
      <c r="T166">
        <v>24.86</v>
      </c>
      <c r="U166">
        <v>1</v>
      </c>
      <c r="V166">
        <v>0</v>
      </c>
      <c r="W166">
        <v>181.48</v>
      </c>
      <c r="X166">
        <v>46.5</v>
      </c>
      <c r="Y166">
        <v>102.09</v>
      </c>
      <c r="Z166">
        <v>26.3</v>
      </c>
      <c r="AA166">
        <v>8.44</v>
      </c>
      <c r="AB166">
        <v>146.74</v>
      </c>
      <c r="AC166">
        <v>122.11373092926492</v>
      </c>
      <c r="AD166">
        <v>12.258980785296576</v>
      </c>
      <c r="AE166">
        <v>81.25</v>
      </c>
      <c r="AF166">
        <v>16.16</v>
      </c>
      <c r="AG166">
        <v>0</v>
      </c>
      <c r="AH166">
        <v>-16.010000000000002</v>
      </c>
      <c r="AI166">
        <v>5</v>
      </c>
      <c r="AJ166">
        <v>127.83</v>
      </c>
      <c r="AK166">
        <v>60.01</v>
      </c>
      <c r="AL166" t="s">
        <v>14</v>
      </c>
      <c r="AM166" t="s">
        <v>15</v>
      </c>
      <c r="AN166" t="str">
        <f t="shared" si="8"/>
        <v>Afternoon</v>
      </c>
      <c r="AO166" t="str">
        <f t="shared" si="9"/>
        <v>Off-Peak</v>
      </c>
      <c r="AP166" t="str">
        <f t="shared" si="10"/>
        <v>Low</v>
      </c>
      <c r="AQ166" t="str">
        <f t="shared" si="11"/>
        <v>Low</v>
      </c>
    </row>
    <row r="167" spans="1:43" x14ac:dyDescent="0.3">
      <c r="A167">
        <v>166</v>
      </c>
      <c r="B167" t="s">
        <v>16</v>
      </c>
      <c r="C167" t="s">
        <v>17</v>
      </c>
      <c r="D167" s="1">
        <v>46134</v>
      </c>
      <c r="E167" t="s">
        <v>18</v>
      </c>
      <c r="F167">
        <v>0</v>
      </c>
      <c r="G167">
        <v>13</v>
      </c>
      <c r="H167" t="s">
        <v>19</v>
      </c>
      <c r="I167" t="s">
        <v>45</v>
      </c>
      <c r="J167">
        <v>1</v>
      </c>
      <c r="K167" t="s">
        <v>12</v>
      </c>
      <c r="L167">
        <v>0</v>
      </c>
      <c r="M167">
        <v>3.45</v>
      </c>
      <c r="N167">
        <v>25</v>
      </c>
      <c r="O167" t="s">
        <v>22</v>
      </c>
      <c r="P167">
        <v>3</v>
      </c>
      <c r="Q167">
        <v>3.16</v>
      </c>
      <c r="R167">
        <v>34.5</v>
      </c>
      <c r="S167">
        <v>83.71</v>
      </c>
      <c r="T167">
        <v>35.340000000000003</v>
      </c>
      <c r="U167">
        <v>1.08</v>
      </c>
      <c r="V167">
        <v>6.7</v>
      </c>
      <c r="W167">
        <v>125.75</v>
      </c>
      <c r="X167">
        <v>46.7</v>
      </c>
      <c r="Y167">
        <v>109.68</v>
      </c>
      <c r="Z167">
        <v>7.41</v>
      </c>
      <c r="AA167">
        <v>7.14</v>
      </c>
      <c r="AB167">
        <v>111.2</v>
      </c>
      <c r="AC167">
        <v>193.39130434782609</v>
      </c>
      <c r="AD167">
        <v>35.189873417721522</v>
      </c>
      <c r="AE167">
        <v>80.95</v>
      </c>
      <c r="AF167">
        <v>15.38</v>
      </c>
      <c r="AG167">
        <v>0</v>
      </c>
      <c r="AH167">
        <v>7.94</v>
      </c>
      <c r="AI167">
        <v>32.94</v>
      </c>
      <c r="AJ167">
        <v>207.2</v>
      </c>
      <c r="AK167">
        <v>63.4</v>
      </c>
      <c r="AL167" t="s">
        <v>14</v>
      </c>
      <c r="AM167" t="s">
        <v>15</v>
      </c>
      <c r="AN167" t="str">
        <f t="shared" si="8"/>
        <v>Afternoon</v>
      </c>
      <c r="AO167" t="str">
        <f t="shared" si="9"/>
        <v>Off-Peak</v>
      </c>
      <c r="AP167" t="str">
        <f t="shared" si="10"/>
        <v>Medium</v>
      </c>
      <c r="AQ167" t="str">
        <f t="shared" si="11"/>
        <v>Low</v>
      </c>
    </row>
    <row r="168" spans="1:43" x14ac:dyDescent="0.3">
      <c r="A168">
        <v>167</v>
      </c>
      <c r="B168" t="s">
        <v>48</v>
      </c>
      <c r="C168" t="s">
        <v>30</v>
      </c>
      <c r="D168" s="1">
        <v>46229</v>
      </c>
      <c r="E168" t="s">
        <v>26</v>
      </c>
      <c r="F168">
        <v>1</v>
      </c>
      <c r="G168">
        <v>17</v>
      </c>
      <c r="H168" t="s">
        <v>32</v>
      </c>
      <c r="I168" t="s">
        <v>50</v>
      </c>
      <c r="J168">
        <v>1.2</v>
      </c>
      <c r="K168" t="s">
        <v>12</v>
      </c>
      <c r="L168">
        <v>0</v>
      </c>
      <c r="M168">
        <v>4.21</v>
      </c>
      <c r="N168">
        <v>84</v>
      </c>
      <c r="O168" t="s">
        <v>13</v>
      </c>
      <c r="P168">
        <v>25</v>
      </c>
      <c r="Q168">
        <v>7.64</v>
      </c>
      <c r="R168">
        <v>51.9</v>
      </c>
      <c r="S168">
        <v>113.59</v>
      </c>
      <c r="T168">
        <v>100</v>
      </c>
      <c r="U168">
        <v>1</v>
      </c>
      <c r="V168">
        <v>0</v>
      </c>
      <c r="W168">
        <v>213.59</v>
      </c>
      <c r="X168">
        <v>48.3</v>
      </c>
      <c r="Y168">
        <v>101.08</v>
      </c>
      <c r="Z168">
        <v>15.98</v>
      </c>
      <c r="AA168">
        <v>4.6399999999999997</v>
      </c>
      <c r="AB168">
        <v>192.97</v>
      </c>
      <c r="AC168">
        <v>223.08670520231215</v>
      </c>
      <c r="AD168">
        <v>25.257853403141361</v>
      </c>
      <c r="AE168">
        <v>83.66</v>
      </c>
      <c r="AF168">
        <v>18.190000000000001</v>
      </c>
      <c r="AG168">
        <v>1</v>
      </c>
      <c r="AH168">
        <v>-1.68</v>
      </c>
      <c r="AI168">
        <v>82.32</v>
      </c>
      <c r="AJ168">
        <v>238.66</v>
      </c>
      <c r="AK168">
        <v>77.83</v>
      </c>
      <c r="AL168" t="s">
        <v>23</v>
      </c>
      <c r="AM168" t="s">
        <v>24</v>
      </c>
      <c r="AN168" t="str">
        <f t="shared" si="8"/>
        <v>Evening</v>
      </c>
      <c r="AO168" t="str">
        <f t="shared" si="9"/>
        <v>Peak</v>
      </c>
      <c r="AP168" t="str">
        <f t="shared" si="10"/>
        <v>Medium</v>
      </c>
      <c r="AQ168" t="str">
        <f t="shared" si="11"/>
        <v>High</v>
      </c>
    </row>
    <row r="169" spans="1:43" x14ac:dyDescent="0.3">
      <c r="A169">
        <v>168</v>
      </c>
      <c r="B169" t="s">
        <v>14</v>
      </c>
      <c r="C169" t="s">
        <v>8</v>
      </c>
      <c r="D169" s="1">
        <v>46186</v>
      </c>
      <c r="E169" t="s">
        <v>31</v>
      </c>
      <c r="F169">
        <v>1</v>
      </c>
      <c r="G169">
        <v>18</v>
      </c>
      <c r="H169" t="s">
        <v>51</v>
      </c>
      <c r="I169" t="s">
        <v>20</v>
      </c>
      <c r="J169">
        <v>1.25</v>
      </c>
      <c r="K169" t="s">
        <v>12</v>
      </c>
      <c r="L169">
        <v>0</v>
      </c>
      <c r="M169">
        <v>3.74</v>
      </c>
      <c r="N169">
        <v>89</v>
      </c>
      <c r="O169" t="s">
        <v>13</v>
      </c>
      <c r="P169">
        <v>35</v>
      </c>
      <c r="Q169">
        <v>4.5599999999999996</v>
      </c>
      <c r="R169">
        <v>43.3</v>
      </c>
      <c r="S169">
        <v>82.92</v>
      </c>
      <c r="T169">
        <v>100</v>
      </c>
      <c r="U169">
        <v>1</v>
      </c>
      <c r="V169">
        <v>0</v>
      </c>
      <c r="W169">
        <v>182.92</v>
      </c>
      <c r="X169">
        <v>47.7</v>
      </c>
      <c r="Y169">
        <v>105.98</v>
      </c>
      <c r="Z169">
        <v>10.15</v>
      </c>
      <c r="AA169">
        <v>5.04</v>
      </c>
      <c r="AB169">
        <v>167.73</v>
      </c>
      <c r="AC169">
        <v>232.42032332563511</v>
      </c>
      <c r="AD169">
        <v>36.782894736842103</v>
      </c>
      <c r="AE169">
        <v>92.41</v>
      </c>
      <c r="AF169">
        <v>15.71</v>
      </c>
      <c r="AG169">
        <v>1</v>
      </c>
      <c r="AH169">
        <v>-26.81</v>
      </c>
      <c r="AI169">
        <v>62.19</v>
      </c>
      <c r="AJ169">
        <v>242.75</v>
      </c>
      <c r="AK169">
        <v>72.569999999999993</v>
      </c>
      <c r="AL169" t="s">
        <v>14</v>
      </c>
      <c r="AM169" t="s">
        <v>15</v>
      </c>
      <c r="AN169" t="str">
        <f t="shared" si="8"/>
        <v>Night</v>
      </c>
      <c r="AO169" t="str">
        <f t="shared" si="9"/>
        <v>Peak</v>
      </c>
      <c r="AP169" t="str">
        <f t="shared" si="10"/>
        <v>Medium</v>
      </c>
      <c r="AQ169" t="str">
        <f t="shared" si="11"/>
        <v>High</v>
      </c>
    </row>
    <row r="170" spans="1:43" x14ac:dyDescent="0.3">
      <c r="A170">
        <v>169</v>
      </c>
      <c r="B170" t="s">
        <v>48</v>
      </c>
      <c r="C170" t="s">
        <v>30</v>
      </c>
      <c r="D170" s="1">
        <v>46120</v>
      </c>
      <c r="E170" t="s">
        <v>18</v>
      </c>
      <c r="F170">
        <v>0</v>
      </c>
      <c r="G170">
        <v>19</v>
      </c>
      <c r="H170" t="s">
        <v>32</v>
      </c>
      <c r="I170" t="s">
        <v>28</v>
      </c>
      <c r="J170">
        <v>1.03</v>
      </c>
      <c r="K170" t="s">
        <v>21</v>
      </c>
      <c r="L170">
        <v>0</v>
      </c>
      <c r="M170">
        <v>3.26</v>
      </c>
      <c r="N170">
        <v>73</v>
      </c>
      <c r="O170" t="s">
        <v>13</v>
      </c>
      <c r="P170">
        <v>15</v>
      </c>
      <c r="Q170">
        <v>1.39</v>
      </c>
      <c r="R170">
        <v>25.7</v>
      </c>
      <c r="S170">
        <v>77.150000000000006</v>
      </c>
      <c r="T170">
        <v>84.58</v>
      </c>
      <c r="U170">
        <v>1</v>
      </c>
      <c r="V170">
        <v>0</v>
      </c>
      <c r="W170">
        <v>161.72999999999999</v>
      </c>
      <c r="X170">
        <v>41.2</v>
      </c>
      <c r="Y170">
        <v>104.82</v>
      </c>
      <c r="Z170">
        <v>3.52</v>
      </c>
      <c r="AA170">
        <v>3.57</v>
      </c>
      <c r="AB170">
        <v>154.63999999999999</v>
      </c>
      <c r="AC170">
        <v>361.02723735408557</v>
      </c>
      <c r="AD170">
        <v>111.25179856115108</v>
      </c>
      <c r="AE170">
        <v>69.180000000000007</v>
      </c>
      <c r="AF170">
        <v>17.22</v>
      </c>
      <c r="AG170">
        <v>1</v>
      </c>
      <c r="AH170">
        <v>-3.86</v>
      </c>
      <c r="AI170">
        <v>69.14</v>
      </c>
      <c r="AJ170">
        <v>388.25</v>
      </c>
      <c r="AK170">
        <v>74.56</v>
      </c>
      <c r="AL170" t="s">
        <v>14</v>
      </c>
      <c r="AM170" t="s">
        <v>15</v>
      </c>
      <c r="AN170" t="str">
        <f t="shared" si="8"/>
        <v>Night</v>
      </c>
      <c r="AO170" t="str">
        <f t="shared" si="9"/>
        <v>Peak</v>
      </c>
      <c r="AP170" t="str">
        <f t="shared" si="10"/>
        <v>High</v>
      </c>
      <c r="AQ170" t="str">
        <f t="shared" si="11"/>
        <v>High</v>
      </c>
    </row>
    <row r="171" spans="1:43" x14ac:dyDescent="0.3">
      <c r="A171">
        <v>170</v>
      </c>
      <c r="B171" t="s">
        <v>7</v>
      </c>
      <c r="C171" t="s">
        <v>8</v>
      </c>
      <c r="D171" s="1">
        <v>46262</v>
      </c>
      <c r="E171" t="s">
        <v>9</v>
      </c>
      <c r="F171">
        <v>0</v>
      </c>
      <c r="G171">
        <v>12</v>
      </c>
      <c r="H171" t="s">
        <v>10</v>
      </c>
      <c r="I171" t="s">
        <v>37</v>
      </c>
      <c r="J171">
        <v>1.02</v>
      </c>
      <c r="K171" t="s">
        <v>34</v>
      </c>
      <c r="L171">
        <v>1</v>
      </c>
      <c r="M171">
        <v>4.8099999999999996</v>
      </c>
      <c r="N171">
        <v>81</v>
      </c>
      <c r="O171" t="s">
        <v>13</v>
      </c>
      <c r="P171">
        <v>41</v>
      </c>
      <c r="Q171">
        <v>1.45</v>
      </c>
      <c r="R171">
        <v>27.9</v>
      </c>
      <c r="S171">
        <v>62.65</v>
      </c>
      <c r="T171">
        <v>80.989999999999995</v>
      </c>
      <c r="U171">
        <v>1</v>
      </c>
      <c r="V171">
        <v>0</v>
      </c>
      <c r="W171">
        <v>143.63999999999999</v>
      </c>
      <c r="X171">
        <v>44.7</v>
      </c>
      <c r="Y171">
        <v>105.78</v>
      </c>
      <c r="Z171">
        <v>3.44</v>
      </c>
      <c r="AA171">
        <v>10.68</v>
      </c>
      <c r="AB171">
        <v>129.52000000000001</v>
      </c>
      <c r="AC171">
        <v>278.53763440860217</v>
      </c>
      <c r="AD171">
        <v>89.3241379310345</v>
      </c>
      <c r="AE171">
        <v>77.23</v>
      </c>
      <c r="AF171">
        <v>16.739999999999998</v>
      </c>
      <c r="AG171">
        <v>1</v>
      </c>
      <c r="AH171">
        <v>-2.1800000000000002</v>
      </c>
      <c r="AI171">
        <v>78.819999999999993</v>
      </c>
      <c r="AJ171">
        <v>319.77</v>
      </c>
      <c r="AK171">
        <v>83.18</v>
      </c>
      <c r="AL171" t="s">
        <v>14</v>
      </c>
      <c r="AM171" t="s">
        <v>15</v>
      </c>
      <c r="AN171" t="str">
        <f t="shared" si="8"/>
        <v>Afternoon</v>
      </c>
      <c r="AO171" t="str">
        <f t="shared" si="9"/>
        <v>Off-Peak</v>
      </c>
      <c r="AP171" t="str">
        <f t="shared" si="10"/>
        <v>High</v>
      </c>
      <c r="AQ171" t="str">
        <f t="shared" si="11"/>
        <v>High</v>
      </c>
    </row>
    <row r="172" spans="1:43" x14ac:dyDescent="0.3">
      <c r="A172">
        <v>171</v>
      </c>
      <c r="B172" t="s">
        <v>7</v>
      </c>
      <c r="C172" t="s">
        <v>8</v>
      </c>
      <c r="D172" s="1">
        <v>46229</v>
      </c>
      <c r="E172" t="s">
        <v>26</v>
      </c>
      <c r="F172">
        <v>1</v>
      </c>
      <c r="G172">
        <v>13</v>
      </c>
      <c r="H172" t="s">
        <v>10</v>
      </c>
      <c r="I172" t="s">
        <v>11</v>
      </c>
      <c r="J172">
        <v>1.18</v>
      </c>
      <c r="K172" t="s">
        <v>12</v>
      </c>
      <c r="L172">
        <v>0</v>
      </c>
      <c r="M172">
        <v>3.13</v>
      </c>
      <c r="N172">
        <v>94</v>
      </c>
      <c r="O172" t="s">
        <v>13</v>
      </c>
      <c r="P172">
        <v>32</v>
      </c>
      <c r="Q172">
        <v>2.46</v>
      </c>
      <c r="R172">
        <v>29.7</v>
      </c>
      <c r="S172">
        <v>59.45</v>
      </c>
      <c r="T172">
        <v>100</v>
      </c>
      <c r="U172">
        <v>1</v>
      </c>
      <c r="V172">
        <v>0</v>
      </c>
      <c r="W172">
        <v>159.44999999999999</v>
      </c>
      <c r="X172">
        <v>42.2</v>
      </c>
      <c r="Y172">
        <v>109.56</v>
      </c>
      <c r="Z172">
        <v>6.38</v>
      </c>
      <c r="AA172">
        <v>7.7</v>
      </c>
      <c r="AB172">
        <v>145.37</v>
      </c>
      <c r="AC172">
        <v>293.67676767676767</v>
      </c>
      <c r="AD172">
        <v>59.09349593495935</v>
      </c>
      <c r="AE172">
        <v>72.7</v>
      </c>
      <c r="AF172">
        <v>13.31</v>
      </c>
      <c r="AG172">
        <v>1</v>
      </c>
      <c r="AH172">
        <v>15.79</v>
      </c>
      <c r="AI172">
        <v>109.79</v>
      </c>
      <c r="AJ172">
        <v>275.97000000000003</v>
      </c>
      <c r="AK172">
        <v>75.31</v>
      </c>
      <c r="AL172" t="s">
        <v>14</v>
      </c>
      <c r="AM172" t="s">
        <v>15</v>
      </c>
      <c r="AN172" t="str">
        <f t="shared" si="8"/>
        <v>Afternoon</v>
      </c>
      <c r="AO172" t="str">
        <f t="shared" si="9"/>
        <v>Off-Peak</v>
      </c>
      <c r="AP172" t="str">
        <f t="shared" si="10"/>
        <v>High</v>
      </c>
      <c r="AQ172" t="str">
        <f t="shared" si="11"/>
        <v>High</v>
      </c>
    </row>
    <row r="173" spans="1:43" x14ac:dyDescent="0.3">
      <c r="A173">
        <v>172</v>
      </c>
      <c r="B173" t="s">
        <v>7</v>
      </c>
      <c r="C173" t="s">
        <v>8</v>
      </c>
      <c r="D173" s="1">
        <v>46263</v>
      </c>
      <c r="E173" t="s">
        <v>31</v>
      </c>
      <c r="F173">
        <v>1</v>
      </c>
      <c r="G173">
        <v>12</v>
      </c>
      <c r="H173" t="s">
        <v>10</v>
      </c>
      <c r="I173" t="s">
        <v>50</v>
      </c>
      <c r="J173">
        <v>1.2</v>
      </c>
      <c r="K173" t="s">
        <v>12</v>
      </c>
      <c r="L173">
        <v>0</v>
      </c>
      <c r="M173">
        <v>4.4400000000000004</v>
      </c>
      <c r="N173">
        <v>111</v>
      </c>
      <c r="O173" t="s">
        <v>13</v>
      </c>
      <c r="P173">
        <v>37</v>
      </c>
      <c r="Q173">
        <v>3.02</v>
      </c>
      <c r="R173">
        <v>37.700000000000003</v>
      </c>
      <c r="S173">
        <v>68.849999999999994</v>
      </c>
      <c r="T173">
        <v>100</v>
      </c>
      <c r="U173">
        <v>1</v>
      </c>
      <c r="V173">
        <v>0</v>
      </c>
      <c r="W173">
        <v>168.85</v>
      </c>
      <c r="X173">
        <v>36.799999999999997</v>
      </c>
      <c r="Y173">
        <v>103.41</v>
      </c>
      <c r="Z173">
        <v>8.49</v>
      </c>
      <c r="AA173">
        <v>4.45</v>
      </c>
      <c r="AB173">
        <v>155.91</v>
      </c>
      <c r="AC173">
        <v>248.13262599469493</v>
      </c>
      <c r="AD173">
        <v>51.625827814569533</v>
      </c>
      <c r="AE173">
        <v>67.31</v>
      </c>
      <c r="AF173">
        <v>15.97</v>
      </c>
      <c r="AG173">
        <v>1</v>
      </c>
      <c r="AH173">
        <v>7.28</v>
      </c>
      <c r="AI173">
        <v>118.28</v>
      </c>
      <c r="AJ173">
        <v>255.28</v>
      </c>
      <c r="AK173">
        <v>80.58</v>
      </c>
      <c r="AL173" t="s">
        <v>14</v>
      </c>
      <c r="AM173" t="s">
        <v>15</v>
      </c>
      <c r="AN173" t="str">
        <f t="shared" si="8"/>
        <v>Afternoon</v>
      </c>
      <c r="AO173" t="str">
        <f t="shared" si="9"/>
        <v>Off-Peak</v>
      </c>
      <c r="AP173" t="str">
        <f t="shared" si="10"/>
        <v>Medium</v>
      </c>
      <c r="AQ173" t="str">
        <f t="shared" si="11"/>
        <v>High</v>
      </c>
    </row>
    <row r="174" spans="1:43" x14ac:dyDescent="0.3">
      <c r="A174">
        <v>173</v>
      </c>
      <c r="B174" t="s">
        <v>16</v>
      </c>
      <c r="C174" t="s">
        <v>17</v>
      </c>
      <c r="D174" s="1">
        <v>46211</v>
      </c>
      <c r="E174" t="s">
        <v>18</v>
      </c>
      <c r="F174">
        <v>0</v>
      </c>
      <c r="G174">
        <v>15</v>
      </c>
      <c r="H174" t="s">
        <v>19</v>
      </c>
      <c r="I174" t="s">
        <v>20</v>
      </c>
      <c r="J174">
        <v>1.25</v>
      </c>
      <c r="K174" t="s">
        <v>21</v>
      </c>
      <c r="L174">
        <v>0</v>
      </c>
      <c r="M174">
        <v>5</v>
      </c>
      <c r="N174">
        <v>25</v>
      </c>
      <c r="O174" t="s">
        <v>22</v>
      </c>
      <c r="P174">
        <v>4</v>
      </c>
      <c r="Q174">
        <v>4.04</v>
      </c>
      <c r="R174">
        <v>43.1</v>
      </c>
      <c r="S174">
        <v>117.33</v>
      </c>
      <c r="T174">
        <v>20.92</v>
      </c>
      <c r="U174">
        <v>1.02</v>
      </c>
      <c r="V174">
        <v>2.35</v>
      </c>
      <c r="W174">
        <v>140.6</v>
      </c>
      <c r="X174">
        <v>47.3</v>
      </c>
      <c r="Y174">
        <v>107.49</v>
      </c>
      <c r="Z174">
        <v>9.17</v>
      </c>
      <c r="AA174">
        <v>5.93</v>
      </c>
      <c r="AB174">
        <v>125.5</v>
      </c>
      <c r="AC174">
        <v>174.70997679814383</v>
      </c>
      <c r="AD174">
        <v>31.064356435643564</v>
      </c>
      <c r="AE174">
        <v>68.709999999999994</v>
      </c>
      <c r="AF174">
        <v>20</v>
      </c>
      <c r="AG174">
        <v>0</v>
      </c>
      <c r="AH174">
        <v>24.71</v>
      </c>
      <c r="AI174">
        <v>49.71</v>
      </c>
      <c r="AJ174">
        <v>174.08</v>
      </c>
      <c r="AK174">
        <v>61.93</v>
      </c>
      <c r="AL174" t="s">
        <v>23</v>
      </c>
      <c r="AM174" t="s">
        <v>24</v>
      </c>
      <c r="AN174" t="str">
        <f t="shared" si="8"/>
        <v>Evening</v>
      </c>
      <c r="AO174" t="str">
        <f t="shared" si="9"/>
        <v>Off-Peak</v>
      </c>
      <c r="AP174" t="str">
        <f t="shared" si="10"/>
        <v>Medium</v>
      </c>
      <c r="AQ174" t="str">
        <f t="shared" si="11"/>
        <v>Low</v>
      </c>
    </row>
    <row r="175" spans="1:43" x14ac:dyDescent="0.3">
      <c r="A175">
        <v>174</v>
      </c>
      <c r="B175" t="s">
        <v>16</v>
      </c>
      <c r="C175" t="s">
        <v>17</v>
      </c>
      <c r="D175" s="1">
        <v>46124</v>
      </c>
      <c r="E175" t="s">
        <v>26</v>
      </c>
      <c r="F175">
        <v>1</v>
      </c>
      <c r="G175">
        <v>9</v>
      </c>
      <c r="H175" t="s">
        <v>27</v>
      </c>
      <c r="I175" t="s">
        <v>20</v>
      </c>
      <c r="J175">
        <v>1.25</v>
      </c>
      <c r="K175" t="s">
        <v>21</v>
      </c>
      <c r="L175">
        <v>0</v>
      </c>
      <c r="M175">
        <v>5</v>
      </c>
      <c r="N175">
        <v>107</v>
      </c>
      <c r="O175" t="s">
        <v>13</v>
      </c>
      <c r="P175">
        <v>24</v>
      </c>
      <c r="Q175">
        <v>5.28</v>
      </c>
      <c r="R175">
        <v>56.4</v>
      </c>
      <c r="S175">
        <v>125.08</v>
      </c>
      <c r="T175">
        <v>100</v>
      </c>
      <c r="U175">
        <v>1.29</v>
      </c>
      <c r="V175">
        <v>36.270000000000003</v>
      </c>
      <c r="W175">
        <v>261.35000000000002</v>
      </c>
      <c r="X175">
        <v>44</v>
      </c>
      <c r="Y175">
        <v>104.47</v>
      </c>
      <c r="Z175">
        <v>12.53</v>
      </c>
      <c r="AA175">
        <v>11.07</v>
      </c>
      <c r="AB175">
        <v>237.75</v>
      </c>
      <c r="AC175">
        <v>252.92553191489364</v>
      </c>
      <c r="AD175">
        <v>45.028409090909086</v>
      </c>
      <c r="AE175">
        <v>95.54</v>
      </c>
      <c r="AF175">
        <v>17.79</v>
      </c>
      <c r="AG175">
        <v>1</v>
      </c>
      <c r="AH175">
        <v>10.8</v>
      </c>
      <c r="AI175">
        <v>117.8</v>
      </c>
      <c r="AJ175">
        <v>254.51</v>
      </c>
      <c r="AK175">
        <v>85.31</v>
      </c>
      <c r="AL175" t="s">
        <v>23</v>
      </c>
      <c r="AM175" t="s">
        <v>24</v>
      </c>
      <c r="AN175" t="str">
        <f t="shared" si="8"/>
        <v>Morning</v>
      </c>
      <c r="AO175" t="str">
        <f t="shared" si="9"/>
        <v>Peak</v>
      </c>
      <c r="AP175" t="str">
        <f t="shared" si="10"/>
        <v>High</v>
      </c>
      <c r="AQ175" t="str">
        <f t="shared" si="11"/>
        <v>High</v>
      </c>
    </row>
    <row r="176" spans="1:43" x14ac:dyDescent="0.3">
      <c r="A176">
        <v>175</v>
      </c>
      <c r="B176" t="s">
        <v>25</v>
      </c>
      <c r="C176" t="s">
        <v>17</v>
      </c>
      <c r="D176" s="1">
        <v>46222</v>
      </c>
      <c r="E176" t="s">
        <v>26</v>
      </c>
      <c r="F176">
        <v>1</v>
      </c>
      <c r="G176">
        <v>13</v>
      </c>
      <c r="H176" t="s">
        <v>19</v>
      </c>
      <c r="I176" t="s">
        <v>11</v>
      </c>
      <c r="J176">
        <v>1.18</v>
      </c>
      <c r="K176" t="s">
        <v>12</v>
      </c>
      <c r="L176">
        <v>0</v>
      </c>
      <c r="M176">
        <v>3.57</v>
      </c>
      <c r="N176">
        <v>53</v>
      </c>
      <c r="O176" t="s">
        <v>35</v>
      </c>
      <c r="P176">
        <v>12</v>
      </c>
      <c r="Q176">
        <v>3.66</v>
      </c>
      <c r="R176">
        <v>29.3</v>
      </c>
      <c r="S176">
        <v>98.83</v>
      </c>
      <c r="T176">
        <v>48.18</v>
      </c>
      <c r="U176">
        <v>1.07</v>
      </c>
      <c r="V176">
        <v>6.92</v>
      </c>
      <c r="W176">
        <v>153.93</v>
      </c>
      <c r="X176">
        <v>35.9</v>
      </c>
      <c r="Y176">
        <v>106.61</v>
      </c>
      <c r="Z176">
        <v>10.88</v>
      </c>
      <c r="AA176">
        <v>10.87</v>
      </c>
      <c r="AB176">
        <v>132.18</v>
      </c>
      <c r="AC176">
        <v>270.67576791808875</v>
      </c>
      <c r="AD176">
        <v>36.114754098360656</v>
      </c>
      <c r="AE176">
        <v>74.849999999999994</v>
      </c>
      <c r="AF176">
        <v>15.78</v>
      </c>
      <c r="AG176">
        <v>1</v>
      </c>
      <c r="AH176">
        <v>-5.31</v>
      </c>
      <c r="AI176">
        <v>47.69</v>
      </c>
      <c r="AJ176">
        <v>285.83</v>
      </c>
      <c r="AK176">
        <v>68.34</v>
      </c>
      <c r="AL176" t="s">
        <v>14</v>
      </c>
      <c r="AM176" t="s">
        <v>15</v>
      </c>
      <c r="AN176" t="str">
        <f t="shared" si="8"/>
        <v>Afternoon</v>
      </c>
      <c r="AO176" t="str">
        <f t="shared" si="9"/>
        <v>Off-Peak</v>
      </c>
      <c r="AP176" t="str">
        <f t="shared" si="10"/>
        <v>High</v>
      </c>
      <c r="AQ176" t="str">
        <f t="shared" si="11"/>
        <v>Medium</v>
      </c>
    </row>
    <row r="177" spans="1:43" x14ac:dyDescent="0.3">
      <c r="A177">
        <v>176</v>
      </c>
      <c r="B177" t="s">
        <v>29</v>
      </c>
      <c r="C177" t="s">
        <v>30</v>
      </c>
      <c r="D177" s="1">
        <v>46107</v>
      </c>
      <c r="E177" t="s">
        <v>41</v>
      </c>
      <c r="F177">
        <v>0</v>
      </c>
      <c r="G177">
        <v>10</v>
      </c>
      <c r="H177" t="s">
        <v>47</v>
      </c>
      <c r="I177" t="s">
        <v>28</v>
      </c>
      <c r="J177">
        <v>1.03</v>
      </c>
      <c r="K177" t="s">
        <v>12</v>
      </c>
      <c r="L177">
        <v>0</v>
      </c>
      <c r="M177">
        <v>2.93</v>
      </c>
      <c r="N177">
        <v>5</v>
      </c>
      <c r="O177" t="s">
        <v>22</v>
      </c>
      <c r="P177">
        <v>2</v>
      </c>
      <c r="Q177">
        <v>5.08</v>
      </c>
      <c r="R177">
        <v>32.700000000000003</v>
      </c>
      <c r="S177">
        <v>90.8</v>
      </c>
      <c r="T177">
        <v>4.8499999999999996</v>
      </c>
      <c r="U177">
        <v>1</v>
      </c>
      <c r="V177">
        <v>0</v>
      </c>
      <c r="W177">
        <v>95.65</v>
      </c>
      <c r="X177">
        <v>45.2</v>
      </c>
      <c r="Y177">
        <v>103.66</v>
      </c>
      <c r="Z177">
        <v>11.67</v>
      </c>
      <c r="AA177">
        <v>2.69</v>
      </c>
      <c r="AB177">
        <v>81.290000000000006</v>
      </c>
      <c r="AC177">
        <v>149.1559633027523</v>
      </c>
      <c r="AD177">
        <v>16.001968503937007</v>
      </c>
      <c r="AE177">
        <v>88.27</v>
      </c>
      <c r="AF177">
        <v>12.51</v>
      </c>
      <c r="AG177">
        <v>0</v>
      </c>
      <c r="AH177">
        <v>2.12</v>
      </c>
      <c r="AI177">
        <v>7.12</v>
      </c>
      <c r="AJ177">
        <v>153.12</v>
      </c>
      <c r="AK177">
        <v>74.53</v>
      </c>
      <c r="AL177" t="s">
        <v>14</v>
      </c>
      <c r="AM177" t="s">
        <v>15</v>
      </c>
      <c r="AN177" t="str">
        <f t="shared" si="8"/>
        <v>Morning</v>
      </c>
      <c r="AO177" t="str">
        <f t="shared" si="9"/>
        <v>Peak</v>
      </c>
      <c r="AP177" t="str">
        <f t="shared" si="10"/>
        <v>Low</v>
      </c>
      <c r="AQ177" t="str">
        <f t="shared" si="11"/>
        <v>Low</v>
      </c>
    </row>
    <row r="178" spans="1:43" x14ac:dyDescent="0.3">
      <c r="A178">
        <v>177</v>
      </c>
      <c r="B178" t="s">
        <v>16</v>
      </c>
      <c r="C178" t="s">
        <v>17</v>
      </c>
      <c r="D178" s="1">
        <v>46092</v>
      </c>
      <c r="E178" t="s">
        <v>18</v>
      </c>
      <c r="F178">
        <v>0</v>
      </c>
      <c r="G178">
        <v>15</v>
      </c>
      <c r="H178" t="s">
        <v>19</v>
      </c>
      <c r="I178" t="s">
        <v>28</v>
      </c>
      <c r="J178">
        <v>1.03</v>
      </c>
      <c r="K178" t="s">
        <v>21</v>
      </c>
      <c r="L178">
        <v>0</v>
      </c>
      <c r="M178">
        <v>1.45</v>
      </c>
      <c r="N178">
        <v>9</v>
      </c>
      <c r="O178" t="s">
        <v>22</v>
      </c>
      <c r="P178">
        <v>1</v>
      </c>
      <c r="Q178">
        <v>5.68</v>
      </c>
      <c r="R178">
        <v>39.4</v>
      </c>
      <c r="S178">
        <v>122.8</v>
      </c>
      <c r="T178">
        <v>10.77</v>
      </c>
      <c r="U178">
        <v>1.04</v>
      </c>
      <c r="V178">
        <v>4.91</v>
      </c>
      <c r="W178">
        <v>138.47999999999999</v>
      </c>
      <c r="X178">
        <v>39.200000000000003</v>
      </c>
      <c r="Y178">
        <v>102.27</v>
      </c>
      <c r="Z178">
        <v>14.79</v>
      </c>
      <c r="AA178">
        <v>8.5399999999999991</v>
      </c>
      <c r="AB178">
        <v>115.15</v>
      </c>
      <c r="AC178">
        <v>175.35532994923861</v>
      </c>
      <c r="AD178">
        <v>20.272887323943664</v>
      </c>
      <c r="AE178">
        <v>89.41</v>
      </c>
      <c r="AF178">
        <v>15.48</v>
      </c>
      <c r="AG178">
        <v>0</v>
      </c>
      <c r="AH178">
        <v>-2.2200000000000002</v>
      </c>
      <c r="AI178">
        <v>6.78</v>
      </c>
      <c r="AJ178">
        <v>204.41</v>
      </c>
      <c r="AK178">
        <v>72.3</v>
      </c>
      <c r="AL178" t="s">
        <v>23</v>
      </c>
      <c r="AM178" t="s">
        <v>24</v>
      </c>
      <c r="AN178" t="str">
        <f t="shared" si="8"/>
        <v>Evening</v>
      </c>
      <c r="AO178" t="str">
        <f t="shared" si="9"/>
        <v>Off-Peak</v>
      </c>
      <c r="AP178" t="str">
        <f t="shared" si="10"/>
        <v>Medium</v>
      </c>
      <c r="AQ178" t="str">
        <f t="shared" si="11"/>
        <v>Low</v>
      </c>
    </row>
    <row r="179" spans="1:43" x14ac:dyDescent="0.3">
      <c r="A179">
        <v>178</v>
      </c>
      <c r="B179" t="s">
        <v>14</v>
      </c>
      <c r="C179" t="s">
        <v>8</v>
      </c>
      <c r="D179" s="1">
        <v>46139</v>
      </c>
      <c r="E179" t="s">
        <v>38</v>
      </c>
      <c r="F179">
        <v>0</v>
      </c>
      <c r="G179">
        <v>20</v>
      </c>
      <c r="H179" t="s">
        <v>51</v>
      </c>
      <c r="I179" t="s">
        <v>33</v>
      </c>
      <c r="J179">
        <v>1</v>
      </c>
      <c r="K179" t="s">
        <v>34</v>
      </c>
      <c r="L179">
        <v>1</v>
      </c>
      <c r="M179">
        <v>3.54</v>
      </c>
      <c r="N179">
        <v>75</v>
      </c>
      <c r="O179" t="s">
        <v>13</v>
      </c>
      <c r="P179">
        <v>36</v>
      </c>
      <c r="Q179">
        <v>3.54</v>
      </c>
      <c r="R179">
        <v>38.6</v>
      </c>
      <c r="S179">
        <v>74.55</v>
      </c>
      <c r="T179">
        <v>91.81</v>
      </c>
      <c r="U179">
        <v>1</v>
      </c>
      <c r="V179">
        <v>0</v>
      </c>
      <c r="W179">
        <v>166.36</v>
      </c>
      <c r="X179">
        <v>36</v>
      </c>
      <c r="Y179">
        <v>100.84</v>
      </c>
      <c r="Z179">
        <v>9.9</v>
      </c>
      <c r="AA179">
        <v>3.53</v>
      </c>
      <c r="AB179">
        <v>152.93</v>
      </c>
      <c r="AC179">
        <v>237.71502590673578</v>
      </c>
      <c r="AD179">
        <v>43.200564971751412</v>
      </c>
      <c r="AE179">
        <v>99</v>
      </c>
      <c r="AF179">
        <v>11.81</v>
      </c>
      <c r="AG179">
        <v>1</v>
      </c>
      <c r="AH179">
        <v>10.32</v>
      </c>
      <c r="AI179">
        <v>85.32</v>
      </c>
      <c r="AJ179">
        <v>267.37</v>
      </c>
      <c r="AK179">
        <v>75.040000000000006</v>
      </c>
      <c r="AL179" t="s">
        <v>14</v>
      </c>
      <c r="AM179" t="s">
        <v>15</v>
      </c>
      <c r="AN179" t="str">
        <f t="shared" si="8"/>
        <v>Night</v>
      </c>
      <c r="AO179" t="str">
        <f t="shared" si="9"/>
        <v>Peak</v>
      </c>
      <c r="AP179" t="str">
        <f t="shared" si="10"/>
        <v>Medium</v>
      </c>
      <c r="AQ179" t="str">
        <f t="shared" si="11"/>
        <v>High</v>
      </c>
    </row>
    <row r="180" spans="1:43" x14ac:dyDescent="0.3">
      <c r="A180">
        <v>179</v>
      </c>
      <c r="B180" t="s">
        <v>23</v>
      </c>
      <c r="C180" t="s">
        <v>17</v>
      </c>
      <c r="D180" s="1">
        <v>46273</v>
      </c>
      <c r="E180" t="s">
        <v>44</v>
      </c>
      <c r="F180">
        <v>0</v>
      </c>
      <c r="G180">
        <v>22</v>
      </c>
      <c r="H180" t="s">
        <v>19</v>
      </c>
      <c r="I180" t="s">
        <v>39</v>
      </c>
      <c r="J180">
        <v>1.05</v>
      </c>
      <c r="K180" t="s">
        <v>12</v>
      </c>
      <c r="L180">
        <v>0</v>
      </c>
      <c r="M180">
        <v>4.03</v>
      </c>
      <c r="N180">
        <v>13</v>
      </c>
      <c r="O180" t="s">
        <v>22</v>
      </c>
      <c r="P180">
        <v>3</v>
      </c>
      <c r="Q180">
        <v>6.49</v>
      </c>
      <c r="R180">
        <v>55.3</v>
      </c>
      <c r="S180">
        <v>117.44</v>
      </c>
      <c r="T180">
        <v>12.82</v>
      </c>
      <c r="U180">
        <v>1</v>
      </c>
      <c r="V180">
        <v>0</v>
      </c>
      <c r="W180">
        <v>130.26</v>
      </c>
      <c r="X180">
        <v>44.1</v>
      </c>
      <c r="Y180">
        <v>101.02</v>
      </c>
      <c r="Z180">
        <v>14.87</v>
      </c>
      <c r="AA180">
        <v>4.1100000000000003</v>
      </c>
      <c r="AB180">
        <v>111.28</v>
      </c>
      <c r="AC180">
        <v>120.73779385171791</v>
      </c>
      <c r="AD180">
        <v>17.146379044684128</v>
      </c>
      <c r="AE180">
        <v>88.28</v>
      </c>
      <c r="AF180">
        <v>17.649999999999999</v>
      </c>
      <c r="AG180">
        <v>0</v>
      </c>
      <c r="AH180">
        <v>3.9</v>
      </c>
      <c r="AI180">
        <v>16.899999999999999</v>
      </c>
      <c r="AJ180">
        <v>141.12</v>
      </c>
      <c r="AK180">
        <v>73.12</v>
      </c>
      <c r="AL180" t="s">
        <v>23</v>
      </c>
      <c r="AM180" t="s">
        <v>24</v>
      </c>
      <c r="AN180" t="str">
        <f t="shared" si="8"/>
        <v>Night</v>
      </c>
      <c r="AO180" t="str">
        <f t="shared" si="9"/>
        <v>Off-Peak</v>
      </c>
      <c r="AP180" t="str">
        <f t="shared" si="10"/>
        <v>Low</v>
      </c>
      <c r="AQ180" t="str">
        <f t="shared" si="11"/>
        <v>Low</v>
      </c>
    </row>
    <row r="181" spans="1:43" x14ac:dyDescent="0.3">
      <c r="A181">
        <v>180</v>
      </c>
      <c r="B181" t="s">
        <v>29</v>
      </c>
      <c r="C181" t="s">
        <v>30</v>
      </c>
      <c r="D181" s="1">
        <v>46169</v>
      </c>
      <c r="E181" t="s">
        <v>18</v>
      </c>
      <c r="F181">
        <v>0</v>
      </c>
      <c r="G181">
        <v>14</v>
      </c>
      <c r="H181" t="s">
        <v>43</v>
      </c>
      <c r="I181" t="s">
        <v>39</v>
      </c>
      <c r="J181">
        <v>1.05</v>
      </c>
      <c r="K181" t="s">
        <v>34</v>
      </c>
      <c r="L181">
        <v>1</v>
      </c>
      <c r="M181">
        <v>2.87</v>
      </c>
      <c r="N181">
        <v>40</v>
      </c>
      <c r="O181" t="s">
        <v>35</v>
      </c>
      <c r="P181">
        <v>9</v>
      </c>
      <c r="Q181">
        <v>7.49</v>
      </c>
      <c r="R181">
        <v>50.5</v>
      </c>
      <c r="S181">
        <v>107.19</v>
      </c>
      <c r="T181">
        <v>28.33</v>
      </c>
      <c r="U181">
        <v>1</v>
      </c>
      <c r="V181">
        <v>0</v>
      </c>
      <c r="W181">
        <v>135.52000000000001</v>
      </c>
      <c r="X181">
        <v>46</v>
      </c>
      <c r="Y181">
        <v>109.59</v>
      </c>
      <c r="Z181">
        <v>17.850000000000001</v>
      </c>
      <c r="AA181">
        <v>10.64</v>
      </c>
      <c r="AB181">
        <v>107.03</v>
      </c>
      <c r="AC181">
        <v>127.16435643564357</v>
      </c>
      <c r="AD181">
        <v>14.289719626168225</v>
      </c>
      <c r="AE181">
        <v>94.07</v>
      </c>
      <c r="AF181">
        <v>14.67</v>
      </c>
      <c r="AG181">
        <v>0</v>
      </c>
      <c r="AH181">
        <v>-6.43</v>
      </c>
      <c r="AI181">
        <v>33.57</v>
      </c>
      <c r="AJ181">
        <v>114.2</v>
      </c>
      <c r="AK181">
        <v>70.14</v>
      </c>
      <c r="AL181" t="s">
        <v>14</v>
      </c>
      <c r="AM181" t="s">
        <v>15</v>
      </c>
      <c r="AN181" t="str">
        <f t="shared" si="8"/>
        <v>Afternoon</v>
      </c>
      <c r="AO181" t="str">
        <f t="shared" si="9"/>
        <v>Off-Peak</v>
      </c>
      <c r="AP181" t="str">
        <f t="shared" si="10"/>
        <v>Low</v>
      </c>
      <c r="AQ181" t="str">
        <f t="shared" si="11"/>
        <v>Medium</v>
      </c>
    </row>
    <row r="182" spans="1:43" x14ac:dyDescent="0.3">
      <c r="A182">
        <v>181</v>
      </c>
      <c r="B182" t="s">
        <v>23</v>
      </c>
      <c r="C182" t="s">
        <v>17</v>
      </c>
      <c r="D182" s="1">
        <v>46121</v>
      </c>
      <c r="E182" t="s">
        <v>41</v>
      </c>
      <c r="F182">
        <v>0</v>
      </c>
      <c r="G182">
        <v>7</v>
      </c>
      <c r="H182" t="s">
        <v>27</v>
      </c>
      <c r="I182" t="s">
        <v>28</v>
      </c>
      <c r="J182">
        <v>1.03</v>
      </c>
      <c r="K182" t="s">
        <v>12</v>
      </c>
      <c r="L182">
        <v>0</v>
      </c>
      <c r="M182">
        <v>3.54</v>
      </c>
      <c r="N182">
        <v>75</v>
      </c>
      <c r="O182" t="s">
        <v>13</v>
      </c>
      <c r="P182">
        <v>9</v>
      </c>
      <c r="Q182">
        <v>5.78</v>
      </c>
      <c r="R182">
        <v>43.6</v>
      </c>
      <c r="S182">
        <v>131.28</v>
      </c>
      <c r="T182">
        <v>68.459999999999994</v>
      </c>
      <c r="U182">
        <v>1.17</v>
      </c>
      <c r="V182">
        <v>22.32</v>
      </c>
      <c r="W182">
        <v>222.06</v>
      </c>
      <c r="X182">
        <v>42.8</v>
      </c>
      <c r="Y182">
        <v>107.88</v>
      </c>
      <c r="Z182">
        <v>14.58</v>
      </c>
      <c r="AA182">
        <v>10.95</v>
      </c>
      <c r="AB182">
        <v>196.53</v>
      </c>
      <c r="AC182">
        <v>270.45412844036696</v>
      </c>
      <c r="AD182">
        <v>34.001730103806224</v>
      </c>
      <c r="AE182">
        <v>80.599999999999994</v>
      </c>
      <c r="AF182">
        <v>11.85</v>
      </c>
      <c r="AG182">
        <v>1</v>
      </c>
      <c r="AH182">
        <v>3.13</v>
      </c>
      <c r="AI182">
        <v>78.13</v>
      </c>
      <c r="AJ182">
        <v>266.52999999999997</v>
      </c>
      <c r="AK182">
        <v>79.14</v>
      </c>
      <c r="AL182" t="s">
        <v>23</v>
      </c>
      <c r="AM182" t="s">
        <v>24</v>
      </c>
      <c r="AN182" t="str">
        <f t="shared" si="8"/>
        <v>Morning</v>
      </c>
      <c r="AO182" t="str">
        <f t="shared" si="9"/>
        <v>Peak</v>
      </c>
      <c r="AP182" t="str">
        <f t="shared" si="10"/>
        <v>High</v>
      </c>
      <c r="AQ182" t="str">
        <f t="shared" si="11"/>
        <v>High</v>
      </c>
    </row>
    <row r="183" spans="1:43" x14ac:dyDescent="0.3">
      <c r="A183">
        <v>182</v>
      </c>
      <c r="B183" t="s">
        <v>14</v>
      </c>
      <c r="C183" t="s">
        <v>8</v>
      </c>
      <c r="D183" s="1">
        <v>46142</v>
      </c>
      <c r="E183" t="s">
        <v>41</v>
      </c>
      <c r="F183">
        <v>0</v>
      </c>
      <c r="G183">
        <v>10</v>
      </c>
      <c r="H183" t="s">
        <v>49</v>
      </c>
      <c r="I183" t="s">
        <v>42</v>
      </c>
      <c r="J183">
        <v>1.08</v>
      </c>
      <c r="K183" t="s">
        <v>21</v>
      </c>
      <c r="L183">
        <v>0</v>
      </c>
      <c r="M183">
        <v>2.87</v>
      </c>
      <c r="N183">
        <v>39</v>
      </c>
      <c r="O183" t="s">
        <v>35</v>
      </c>
      <c r="P183">
        <v>19</v>
      </c>
      <c r="Q183">
        <v>6.01</v>
      </c>
      <c r="R183">
        <v>46.5</v>
      </c>
      <c r="S183">
        <v>95.38</v>
      </c>
      <c r="T183">
        <v>42.2</v>
      </c>
      <c r="U183">
        <v>1</v>
      </c>
      <c r="V183">
        <v>0</v>
      </c>
      <c r="W183">
        <v>137.58000000000001</v>
      </c>
      <c r="X183">
        <v>35.1</v>
      </c>
      <c r="Y183">
        <v>102.45</v>
      </c>
      <c r="Z183">
        <v>17.54</v>
      </c>
      <c r="AA183">
        <v>2.83</v>
      </c>
      <c r="AB183">
        <v>117.21</v>
      </c>
      <c r="AC183">
        <v>151.23870967741934</v>
      </c>
      <c r="AD183">
        <v>19.502495840266224</v>
      </c>
      <c r="AE183">
        <v>76.95</v>
      </c>
      <c r="AF183">
        <v>15.68</v>
      </c>
      <c r="AG183">
        <v>0</v>
      </c>
      <c r="AH183">
        <v>9.92</v>
      </c>
      <c r="AI183">
        <v>48.92</v>
      </c>
      <c r="AJ183">
        <v>140.51</v>
      </c>
      <c r="AK183">
        <v>67.72</v>
      </c>
      <c r="AL183" t="s">
        <v>14</v>
      </c>
      <c r="AM183" t="s">
        <v>15</v>
      </c>
      <c r="AN183" t="str">
        <f t="shared" si="8"/>
        <v>Morning</v>
      </c>
      <c r="AO183" t="str">
        <f t="shared" si="9"/>
        <v>Peak</v>
      </c>
      <c r="AP183" t="str">
        <f t="shared" si="10"/>
        <v>Medium</v>
      </c>
      <c r="AQ183" t="str">
        <f t="shared" si="11"/>
        <v>Medium</v>
      </c>
    </row>
    <row r="184" spans="1:43" x14ac:dyDescent="0.3">
      <c r="A184">
        <v>183</v>
      </c>
      <c r="B184" t="s">
        <v>29</v>
      </c>
      <c r="C184" t="s">
        <v>30</v>
      </c>
      <c r="D184" s="1">
        <v>46098</v>
      </c>
      <c r="E184" t="s">
        <v>44</v>
      </c>
      <c r="F184">
        <v>0</v>
      </c>
      <c r="G184">
        <v>8</v>
      </c>
      <c r="H184" t="s">
        <v>47</v>
      </c>
      <c r="I184" t="s">
        <v>50</v>
      </c>
      <c r="J184">
        <v>1.2</v>
      </c>
      <c r="K184" t="s">
        <v>12</v>
      </c>
      <c r="L184">
        <v>0</v>
      </c>
      <c r="M184">
        <v>2.15</v>
      </c>
      <c r="N184">
        <v>30</v>
      </c>
      <c r="O184" t="s">
        <v>22</v>
      </c>
      <c r="P184">
        <v>6</v>
      </c>
      <c r="Q184">
        <v>4.7699999999999996</v>
      </c>
      <c r="R184">
        <v>35.9</v>
      </c>
      <c r="S184">
        <v>89.44</v>
      </c>
      <c r="T184">
        <v>32.729999999999997</v>
      </c>
      <c r="U184">
        <v>1</v>
      </c>
      <c r="V184">
        <v>0</v>
      </c>
      <c r="W184">
        <v>122.17</v>
      </c>
      <c r="X184">
        <v>43.7</v>
      </c>
      <c r="Y184">
        <v>105.29</v>
      </c>
      <c r="Z184">
        <v>11.51</v>
      </c>
      <c r="AA184">
        <v>10.74</v>
      </c>
      <c r="AB184">
        <v>99.92</v>
      </c>
      <c r="AC184">
        <v>166.99721448467969</v>
      </c>
      <c r="AD184">
        <v>20.947589098532497</v>
      </c>
      <c r="AE184">
        <v>76.760000000000005</v>
      </c>
      <c r="AF184">
        <v>18.48</v>
      </c>
      <c r="AG184">
        <v>0</v>
      </c>
      <c r="AH184">
        <v>-12.1</v>
      </c>
      <c r="AI184">
        <v>17.899999999999999</v>
      </c>
      <c r="AJ184">
        <v>187.03</v>
      </c>
      <c r="AK184">
        <v>71.53</v>
      </c>
      <c r="AL184" t="s">
        <v>23</v>
      </c>
      <c r="AM184" t="s">
        <v>24</v>
      </c>
      <c r="AN184" t="str">
        <f t="shared" si="8"/>
        <v>Morning</v>
      </c>
      <c r="AO184" t="str">
        <f t="shared" si="9"/>
        <v>Peak</v>
      </c>
      <c r="AP184" t="str">
        <f t="shared" si="10"/>
        <v>Medium</v>
      </c>
      <c r="AQ184" t="str">
        <f t="shared" si="11"/>
        <v>Low</v>
      </c>
    </row>
    <row r="185" spans="1:43" x14ac:dyDescent="0.3">
      <c r="A185">
        <v>184</v>
      </c>
      <c r="B185" t="s">
        <v>25</v>
      </c>
      <c r="C185" t="s">
        <v>17</v>
      </c>
      <c r="D185" s="1">
        <v>46192</v>
      </c>
      <c r="E185" t="s">
        <v>9</v>
      </c>
      <c r="F185">
        <v>0</v>
      </c>
      <c r="G185">
        <v>19</v>
      </c>
      <c r="H185" t="s">
        <v>40</v>
      </c>
      <c r="I185" t="s">
        <v>11</v>
      </c>
      <c r="J185">
        <v>1.18</v>
      </c>
      <c r="K185" t="s">
        <v>12</v>
      </c>
      <c r="L185">
        <v>0</v>
      </c>
      <c r="M185">
        <v>3.12</v>
      </c>
      <c r="N185">
        <v>66</v>
      </c>
      <c r="O185" t="s">
        <v>35</v>
      </c>
      <c r="P185">
        <v>14</v>
      </c>
      <c r="Q185">
        <v>8.7200000000000006</v>
      </c>
      <c r="R185">
        <v>67.5</v>
      </c>
      <c r="S185">
        <v>161.91</v>
      </c>
      <c r="T185">
        <v>70.86</v>
      </c>
      <c r="U185">
        <v>1.23</v>
      </c>
      <c r="V185">
        <v>37.24</v>
      </c>
      <c r="W185">
        <v>270.01</v>
      </c>
      <c r="X185">
        <v>35.1</v>
      </c>
      <c r="Y185">
        <v>107.14</v>
      </c>
      <c r="Z185">
        <v>26.62</v>
      </c>
      <c r="AA185">
        <v>9.2799999999999994</v>
      </c>
      <c r="AB185">
        <v>234.11</v>
      </c>
      <c r="AC185">
        <v>208.09777777777779</v>
      </c>
      <c r="AD185">
        <v>26.847477064220183</v>
      </c>
      <c r="AE185">
        <v>77.28</v>
      </c>
      <c r="AF185">
        <v>13.74</v>
      </c>
      <c r="AG185">
        <v>1</v>
      </c>
      <c r="AH185">
        <v>7.76</v>
      </c>
      <c r="AI185">
        <v>73.760000000000005</v>
      </c>
      <c r="AJ185">
        <v>201.67</v>
      </c>
      <c r="AK185">
        <v>71.97</v>
      </c>
      <c r="AL185" t="s">
        <v>23</v>
      </c>
      <c r="AM185" t="s">
        <v>24</v>
      </c>
      <c r="AN185" t="str">
        <f t="shared" si="8"/>
        <v>Night</v>
      </c>
      <c r="AO185" t="str">
        <f t="shared" si="9"/>
        <v>Peak</v>
      </c>
      <c r="AP185" t="str">
        <f t="shared" si="10"/>
        <v>Medium</v>
      </c>
      <c r="AQ185" t="str">
        <f t="shared" si="11"/>
        <v>Medium</v>
      </c>
    </row>
    <row r="186" spans="1:43" x14ac:dyDescent="0.3">
      <c r="A186">
        <v>185</v>
      </c>
      <c r="B186" t="s">
        <v>29</v>
      </c>
      <c r="C186" t="s">
        <v>30</v>
      </c>
      <c r="D186" s="1">
        <v>46113</v>
      </c>
      <c r="E186" t="s">
        <v>18</v>
      </c>
      <c r="F186">
        <v>0</v>
      </c>
      <c r="G186">
        <v>22</v>
      </c>
      <c r="H186" t="s">
        <v>36</v>
      </c>
      <c r="I186" t="s">
        <v>50</v>
      </c>
      <c r="J186">
        <v>1.2</v>
      </c>
      <c r="K186" t="s">
        <v>12</v>
      </c>
      <c r="L186">
        <v>0</v>
      </c>
      <c r="M186">
        <v>2.96</v>
      </c>
      <c r="N186">
        <v>5</v>
      </c>
      <c r="O186" t="s">
        <v>22</v>
      </c>
      <c r="P186">
        <v>1</v>
      </c>
      <c r="Q186">
        <v>4.1100000000000003</v>
      </c>
      <c r="R186">
        <v>36.700000000000003</v>
      </c>
      <c r="S186">
        <v>100.39</v>
      </c>
      <c r="T186">
        <v>4.83</v>
      </c>
      <c r="U186">
        <v>1</v>
      </c>
      <c r="V186">
        <v>0</v>
      </c>
      <c r="W186">
        <v>105.22</v>
      </c>
      <c r="X186">
        <v>48.9</v>
      </c>
      <c r="Y186">
        <v>103.53</v>
      </c>
      <c r="Z186">
        <v>8.6999999999999993</v>
      </c>
      <c r="AA186">
        <v>9.76</v>
      </c>
      <c r="AB186">
        <v>86.76</v>
      </c>
      <c r="AC186">
        <v>141.84196185286103</v>
      </c>
      <c r="AD186">
        <v>21.10948905109489</v>
      </c>
      <c r="AE186">
        <v>73.599999999999994</v>
      </c>
      <c r="AF186">
        <v>17.8</v>
      </c>
      <c r="AG186">
        <v>0</v>
      </c>
      <c r="AH186">
        <v>-20.68</v>
      </c>
      <c r="AI186">
        <v>5</v>
      </c>
      <c r="AJ186">
        <v>127.76</v>
      </c>
      <c r="AK186">
        <v>60.27</v>
      </c>
      <c r="AL186" t="s">
        <v>14</v>
      </c>
      <c r="AM186" t="s">
        <v>15</v>
      </c>
      <c r="AN186" t="str">
        <f t="shared" si="8"/>
        <v>Night</v>
      </c>
      <c r="AO186" t="str">
        <f t="shared" si="9"/>
        <v>Off-Peak</v>
      </c>
      <c r="AP186" t="str">
        <f t="shared" si="10"/>
        <v>Low</v>
      </c>
      <c r="AQ186" t="str">
        <f t="shared" si="11"/>
        <v>Low</v>
      </c>
    </row>
    <row r="187" spans="1:43" x14ac:dyDescent="0.3">
      <c r="A187">
        <v>186</v>
      </c>
      <c r="B187" t="s">
        <v>29</v>
      </c>
      <c r="C187" t="s">
        <v>30</v>
      </c>
      <c r="D187" s="1">
        <v>46166</v>
      </c>
      <c r="E187" t="s">
        <v>26</v>
      </c>
      <c r="F187">
        <v>1</v>
      </c>
      <c r="G187">
        <v>15</v>
      </c>
      <c r="H187" t="s">
        <v>43</v>
      </c>
      <c r="I187" t="s">
        <v>42</v>
      </c>
      <c r="J187">
        <v>1.08</v>
      </c>
      <c r="K187" t="s">
        <v>12</v>
      </c>
      <c r="L187">
        <v>0</v>
      </c>
      <c r="M187">
        <v>2.29</v>
      </c>
      <c r="N187">
        <v>45</v>
      </c>
      <c r="O187" t="s">
        <v>35</v>
      </c>
      <c r="P187">
        <v>8</v>
      </c>
      <c r="Q187">
        <v>2.5</v>
      </c>
      <c r="R187">
        <v>28.1</v>
      </c>
      <c r="S187">
        <v>72.040000000000006</v>
      </c>
      <c r="T187">
        <v>57.38</v>
      </c>
      <c r="U187">
        <v>1</v>
      </c>
      <c r="V187">
        <v>0</v>
      </c>
      <c r="W187">
        <v>129.41999999999999</v>
      </c>
      <c r="X187">
        <v>39</v>
      </c>
      <c r="Y187">
        <v>104.4</v>
      </c>
      <c r="Z187">
        <v>6.68</v>
      </c>
      <c r="AA187">
        <v>9.92</v>
      </c>
      <c r="AB187">
        <v>112.82</v>
      </c>
      <c r="AC187">
        <v>240.89679715302486</v>
      </c>
      <c r="AD187">
        <v>45.128</v>
      </c>
      <c r="AE187">
        <v>81.62</v>
      </c>
      <c r="AF187">
        <v>18.57</v>
      </c>
      <c r="AG187">
        <v>1</v>
      </c>
      <c r="AH187">
        <v>19.579999999999998</v>
      </c>
      <c r="AI187">
        <v>64.58</v>
      </c>
      <c r="AJ187">
        <v>223.9</v>
      </c>
      <c r="AK187">
        <v>69.63</v>
      </c>
      <c r="AL187" t="s">
        <v>14</v>
      </c>
      <c r="AM187" t="s">
        <v>15</v>
      </c>
      <c r="AN187" t="str">
        <f t="shared" si="8"/>
        <v>Evening</v>
      </c>
      <c r="AO187" t="str">
        <f t="shared" si="9"/>
        <v>Off-Peak</v>
      </c>
      <c r="AP187" t="str">
        <f t="shared" si="10"/>
        <v>Medium</v>
      </c>
      <c r="AQ187" t="str">
        <f t="shared" si="11"/>
        <v>Medium</v>
      </c>
    </row>
    <row r="188" spans="1:43" x14ac:dyDescent="0.3">
      <c r="A188">
        <v>187</v>
      </c>
      <c r="B188" t="s">
        <v>14</v>
      </c>
      <c r="C188" t="s">
        <v>8</v>
      </c>
      <c r="D188" s="1">
        <v>46118</v>
      </c>
      <c r="E188" t="s">
        <v>38</v>
      </c>
      <c r="F188">
        <v>0</v>
      </c>
      <c r="G188">
        <v>9</v>
      </c>
      <c r="H188" t="s">
        <v>49</v>
      </c>
      <c r="I188" t="s">
        <v>39</v>
      </c>
      <c r="J188">
        <v>1.05</v>
      </c>
      <c r="K188" t="s">
        <v>12</v>
      </c>
      <c r="L188">
        <v>0</v>
      </c>
      <c r="M188">
        <v>2.41</v>
      </c>
      <c r="N188">
        <v>23</v>
      </c>
      <c r="O188" t="s">
        <v>22</v>
      </c>
      <c r="P188">
        <v>13</v>
      </c>
      <c r="Q188">
        <v>4.2</v>
      </c>
      <c r="R188">
        <v>48.9</v>
      </c>
      <c r="S188">
        <v>91.23</v>
      </c>
      <c r="T188">
        <v>39.61</v>
      </c>
      <c r="U188">
        <v>1</v>
      </c>
      <c r="V188">
        <v>0</v>
      </c>
      <c r="W188">
        <v>130.84</v>
      </c>
      <c r="X188">
        <v>48.1</v>
      </c>
      <c r="Y188">
        <v>107.18</v>
      </c>
      <c r="Z188">
        <v>9.36</v>
      </c>
      <c r="AA188">
        <v>7.07</v>
      </c>
      <c r="AB188">
        <v>114.41</v>
      </c>
      <c r="AC188">
        <v>140.38036809815952</v>
      </c>
      <c r="AD188">
        <v>27.240476190476187</v>
      </c>
      <c r="AE188">
        <v>70.11</v>
      </c>
      <c r="AF188">
        <v>16.53</v>
      </c>
      <c r="AG188">
        <v>0</v>
      </c>
      <c r="AH188">
        <v>10.91</v>
      </c>
      <c r="AI188">
        <v>33.909999999999997</v>
      </c>
      <c r="AJ188">
        <v>181.7</v>
      </c>
      <c r="AK188">
        <v>71.28</v>
      </c>
      <c r="AL188" t="s">
        <v>14</v>
      </c>
      <c r="AM188" t="s">
        <v>15</v>
      </c>
      <c r="AN188" t="str">
        <f t="shared" si="8"/>
        <v>Morning</v>
      </c>
      <c r="AO188" t="str">
        <f t="shared" si="9"/>
        <v>Peak</v>
      </c>
      <c r="AP188" t="str">
        <f t="shared" si="10"/>
        <v>Low</v>
      </c>
      <c r="AQ188" t="str">
        <f t="shared" si="11"/>
        <v>Low</v>
      </c>
    </row>
    <row r="189" spans="1:43" x14ac:dyDescent="0.3">
      <c r="A189">
        <v>188</v>
      </c>
      <c r="B189" t="s">
        <v>48</v>
      </c>
      <c r="C189" t="s">
        <v>30</v>
      </c>
      <c r="D189" s="1">
        <v>46105</v>
      </c>
      <c r="E189" t="s">
        <v>44</v>
      </c>
      <c r="F189">
        <v>0</v>
      </c>
      <c r="G189">
        <v>7</v>
      </c>
      <c r="H189" t="s">
        <v>47</v>
      </c>
      <c r="I189" t="s">
        <v>50</v>
      </c>
      <c r="J189">
        <v>1.2</v>
      </c>
      <c r="K189" t="s">
        <v>12</v>
      </c>
      <c r="L189">
        <v>0</v>
      </c>
      <c r="M189">
        <v>2.38</v>
      </c>
      <c r="N189">
        <v>29</v>
      </c>
      <c r="O189" t="s">
        <v>22</v>
      </c>
      <c r="P189">
        <v>10</v>
      </c>
      <c r="Q189">
        <v>1.41</v>
      </c>
      <c r="R189">
        <v>22.9</v>
      </c>
      <c r="S189">
        <v>62.07</v>
      </c>
      <c r="T189">
        <v>23.3</v>
      </c>
      <c r="U189">
        <v>1</v>
      </c>
      <c r="V189">
        <v>0</v>
      </c>
      <c r="W189">
        <v>85.37</v>
      </c>
      <c r="X189">
        <v>35.200000000000003</v>
      </c>
      <c r="Y189">
        <v>102.27</v>
      </c>
      <c r="Z189">
        <v>4.09</v>
      </c>
      <c r="AA189">
        <v>11.47</v>
      </c>
      <c r="AB189">
        <v>69.81</v>
      </c>
      <c r="AC189">
        <v>182.90829694323145</v>
      </c>
      <c r="AD189">
        <v>49.510638297872347</v>
      </c>
      <c r="AE189">
        <v>63.3</v>
      </c>
      <c r="AF189">
        <v>13.26</v>
      </c>
      <c r="AG189">
        <v>0</v>
      </c>
      <c r="AH189">
        <v>27.44</v>
      </c>
      <c r="AI189">
        <v>56.44</v>
      </c>
      <c r="AJ189">
        <v>181.09</v>
      </c>
      <c r="AK189">
        <v>60</v>
      </c>
      <c r="AL189" t="s">
        <v>23</v>
      </c>
      <c r="AM189" t="s">
        <v>24</v>
      </c>
      <c r="AN189" t="str">
        <f t="shared" si="8"/>
        <v>Morning</v>
      </c>
      <c r="AO189" t="str">
        <f t="shared" si="9"/>
        <v>Peak</v>
      </c>
      <c r="AP189" t="str">
        <f t="shared" si="10"/>
        <v>Medium</v>
      </c>
      <c r="AQ189" t="str">
        <f t="shared" si="11"/>
        <v>Low</v>
      </c>
    </row>
    <row r="190" spans="1:43" x14ac:dyDescent="0.3">
      <c r="A190">
        <v>189</v>
      </c>
      <c r="B190" t="s">
        <v>14</v>
      </c>
      <c r="C190" t="s">
        <v>8</v>
      </c>
      <c r="D190" s="1">
        <v>46273</v>
      </c>
      <c r="E190" t="s">
        <v>44</v>
      </c>
      <c r="F190">
        <v>0</v>
      </c>
      <c r="G190">
        <v>22</v>
      </c>
      <c r="H190" t="s">
        <v>51</v>
      </c>
      <c r="I190" t="s">
        <v>11</v>
      </c>
      <c r="J190">
        <v>1.18</v>
      </c>
      <c r="K190" t="s">
        <v>12</v>
      </c>
      <c r="L190">
        <v>0</v>
      </c>
      <c r="M190">
        <v>3.42</v>
      </c>
      <c r="N190">
        <v>51</v>
      </c>
      <c r="O190" t="s">
        <v>35</v>
      </c>
      <c r="P190">
        <v>20</v>
      </c>
      <c r="Q190">
        <v>1.26</v>
      </c>
      <c r="R190">
        <v>30.1</v>
      </c>
      <c r="S190">
        <v>58.23</v>
      </c>
      <c r="T190">
        <v>51.79</v>
      </c>
      <c r="U190">
        <v>1</v>
      </c>
      <c r="V190">
        <v>0</v>
      </c>
      <c r="W190">
        <v>110.02</v>
      </c>
      <c r="X190">
        <v>36.5</v>
      </c>
      <c r="Y190">
        <v>105.26</v>
      </c>
      <c r="Z190">
        <v>3.63</v>
      </c>
      <c r="AA190">
        <v>4</v>
      </c>
      <c r="AB190">
        <v>102.39</v>
      </c>
      <c r="AC190">
        <v>204.09966777408636</v>
      </c>
      <c r="AD190">
        <v>81.261904761904759</v>
      </c>
      <c r="AE190">
        <v>78.989999999999995</v>
      </c>
      <c r="AF190">
        <v>15.82</v>
      </c>
      <c r="AG190">
        <v>0</v>
      </c>
      <c r="AH190">
        <v>-13.75</v>
      </c>
      <c r="AI190">
        <v>37.25</v>
      </c>
      <c r="AJ190">
        <v>212.03</v>
      </c>
      <c r="AK190">
        <v>73.16</v>
      </c>
      <c r="AL190" t="s">
        <v>14</v>
      </c>
      <c r="AM190" t="s">
        <v>15</v>
      </c>
      <c r="AN190" t="str">
        <f t="shared" si="8"/>
        <v>Night</v>
      </c>
      <c r="AO190" t="str">
        <f t="shared" si="9"/>
        <v>Off-Peak</v>
      </c>
      <c r="AP190" t="str">
        <f t="shared" si="10"/>
        <v>Medium</v>
      </c>
      <c r="AQ190" t="str">
        <f t="shared" si="11"/>
        <v>Medium</v>
      </c>
    </row>
    <row r="191" spans="1:43" x14ac:dyDescent="0.3">
      <c r="A191">
        <v>190</v>
      </c>
      <c r="B191" t="s">
        <v>48</v>
      </c>
      <c r="C191" t="s">
        <v>30</v>
      </c>
      <c r="D191" s="1">
        <v>46112</v>
      </c>
      <c r="E191" t="s">
        <v>44</v>
      </c>
      <c r="F191">
        <v>0</v>
      </c>
      <c r="G191">
        <v>12</v>
      </c>
      <c r="H191" t="s">
        <v>43</v>
      </c>
      <c r="I191" t="s">
        <v>28</v>
      </c>
      <c r="J191">
        <v>1.03</v>
      </c>
      <c r="K191" t="s">
        <v>12</v>
      </c>
      <c r="L191">
        <v>0</v>
      </c>
      <c r="M191">
        <v>2.81</v>
      </c>
      <c r="N191">
        <v>38</v>
      </c>
      <c r="O191" t="s">
        <v>35</v>
      </c>
      <c r="P191">
        <v>11</v>
      </c>
      <c r="Q191">
        <v>7.52</v>
      </c>
      <c r="R191">
        <v>56.3</v>
      </c>
      <c r="S191">
        <v>115.21</v>
      </c>
      <c r="T191">
        <v>48.78</v>
      </c>
      <c r="U191">
        <v>1</v>
      </c>
      <c r="V191">
        <v>0</v>
      </c>
      <c r="W191">
        <v>163.99</v>
      </c>
      <c r="X191">
        <v>41.8</v>
      </c>
      <c r="Y191">
        <v>102.1</v>
      </c>
      <c r="Z191">
        <v>18.37</v>
      </c>
      <c r="AA191">
        <v>7.05</v>
      </c>
      <c r="AB191">
        <v>138.57</v>
      </c>
      <c r="AC191">
        <v>147.67673179396093</v>
      </c>
      <c r="AD191">
        <v>18.42686170212766</v>
      </c>
      <c r="AE191">
        <v>69.5</v>
      </c>
      <c r="AF191">
        <v>15.85</v>
      </c>
      <c r="AG191">
        <v>0</v>
      </c>
      <c r="AH191">
        <v>20</v>
      </c>
      <c r="AI191">
        <v>58</v>
      </c>
      <c r="AJ191">
        <v>130.55000000000001</v>
      </c>
      <c r="AK191">
        <v>61.77</v>
      </c>
      <c r="AL191" t="s">
        <v>14</v>
      </c>
      <c r="AM191" t="s">
        <v>15</v>
      </c>
      <c r="AN191" t="str">
        <f t="shared" si="8"/>
        <v>Afternoon</v>
      </c>
      <c r="AO191" t="str">
        <f t="shared" si="9"/>
        <v>Off-Peak</v>
      </c>
      <c r="AP191" t="str">
        <f t="shared" si="10"/>
        <v>Low</v>
      </c>
      <c r="AQ191" t="str">
        <f t="shared" si="11"/>
        <v>Medium</v>
      </c>
    </row>
    <row r="192" spans="1:43" x14ac:dyDescent="0.3">
      <c r="A192">
        <v>191</v>
      </c>
      <c r="B192" t="s">
        <v>25</v>
      </c>
      <c r="C192" t="s">
        <v>17</v>
      </c>
      <c r="D192" s="1">
        <v>46041</v>
      </c>
      <c r="E192" t="s">
        <v>38</v>
      </c>
      <c r="F192">
        <v>0</v>
      </c>
      <c r="G192">
        <v>8</v>
      </c>
      <c r="H192" t="s">
        <v>27</v>
      </c>
      <c r="I192" t="s">
        <v>50</v>
      </c>
      <c r="J192">
        <v>1.2</v>
      </c>
      <c r="K192" t="s">
        <v>21</v>
      </c>
      <c r="L192">
        <v>0</v>
      </c>
      <c r="M192">
        <v>3.96</v>
      </c>
      <c r="N192">
        <v>81</v>
      </c>
      <c r="O192" t="s">
        <v>13</v>
      </c>
      <c r="P192">
        <v>15</v>
      </c>
      <c r="Q192">
        <v>10.53</v>
      </c>
      <c r="R192">
        <v>74.900000000000006</v>
      </c>
      <c r="S192">
        <v>175.36</v>
      </c>
      <c r="T192">
        <v>82.14</v>
      </c>
      <c r="U192">
        <v>1.18</v>
      </c>
      <c r="V192">
        <v>31.56</v>
      </c>
      <c r="W192">
        <v>289.06</v>
      </c>
      <c r="X192">
        <v>46.4</v>
      </c>
      <c r="Y192">
        <v>100.03</v>
      </c>
      <c r="Z192">
        <v>22.7</v>
      </c>
      <c r="AA192">
        <v>5.19</v>
      </c>
      <c r="AB192">
        <v>261.17</v>
      </c>
      <c r="AC192">
        <v>209.21495327102801</v>
      </c>
      <c r="AD192">
        <v>24.802469135802472</v>
      </c>
      <c r="AE192">
        <v>73.77</v>
      </c>
      <c r="AF192">
        <v>17.97</v>
      </c>
      <c r="AG192">
        <v>1</v>
      </c>
      <c r="AH192">
        <v>17.04</v>
      </c>
      <c r="AI192">
        <v>98.04</v>
      </c>
      <c r="AJ192">
        <v>231.74</v>
      </c>
      <c r="AK192">
        <v>64.73</v>
      </c>
      <c r="AL192" t="s">
        <v>23</v>
      </c>
      <c r="AM192" t="s">
        <v>24</v>
      </c>
      <c r="AN192" t="str">
        <f t="shared" si="8"/>
        <v>Morning</v>
      </c>
      <c r="AO192" t="str">
        <f t="shared" si="9"/>
        <v>Peak</v>
      </c>
      <c r="AP192" t="str">
        <f t="shared" si="10"/>
        <v>Medium</v>
      </c>
      <c r="AQ192" t="str">
        <f t="shared" si="11"/>
        <v>High</v>
      </c>
    </row>
    <row r="193" spans="1:43" x14ac:dyDescent="0.3">
      <c r="A193">
        <v>192</v>
      </c>
      <c r="B193" t="s">
        <v>25</v>
      </c>
      <c r="C193" t="s">
        <v>17</v>
      </c>
      <c r="D193" s="1">
        <v>46120</v>
      </c>
      <c r="E193" t="s">
        <v>18</v>
      </c>
      <c r="F193">
        <v>0</v>
      </c>
      <c r="G193">
        <v>9</v>
      </c>
      <c r="H193" t="s">
        <v>27</v>
      </c>
      <c r="I193" t="s">
        <v>39</v>
      </c>
      <c r="J193">
        <v>1.05</v>
      </c>
      <c r="K193" t="s">
        <v>34</v>
      </c>
      <c r="L193">
        <v>1</v>
      </c>
      <c r="M193">
        <v>5</v>
      </c>
      <c r="N193">
        <v>75</v>
      </c>
      <c r="O193" t="s">
        <v>13</v>
      </c>
      <c r="P193">
        <v>17</v>
      </c>
      <c r="Q193">
        <v>3.23</v>
      </c>
      <c r="R193">
        <v>44</v>
      </c>
      <c r="S193">
        <v>99.12</v>
      </c>
      <c r="T193">
        <v>84.34</v>
      </c>
      <c r="U193">
        <v>1.48</v>
      </c>
      <c r="V193">
        <v>47.58</v>
      </c>
      <c r="W193">
        <v>231.04</v>
      </c>
      <c r="X193">
        <v>49.1</v>
      </c>
      <c r="Y193">
        <v>106.9</v>
      </c>
      <c r="Z193">
        <v>7.03</v>
      </c>
      <c r="AA193">
        <v>10.220000000000001</v>
      </c>
      <c r="AB193">
        <v>213.79</v>
      </c>
      <c r="AC193">
        <v>291.53181818181821</v>
      </c>
      <c r="AD193">
        <v>66.188854489164086</v>
      </c>
      <c r="AE193">
        <v>76.86</v>
      </c>
      <c r="AF193">
        <v>19.3</v>
      </c>
      <c r="AG193">
        <v>1</v>
      </c>
      <c r="AH193">
        <v>0.27</v>
      </c>
      <c r="AI193">
        <v>75.27</v>
      </c>
      <c r="AJ193">
        <v>278.01</v>
      </c>
      <c r="AK193">
        <v>76.150000000000006</v>
      </c>
      <c r="AL193" t="s">
        <v>23</v>
      </c>
      <c r="AM193" t="s">
        <v>24</v>
      </c>
      <c r="AN193" t="str">
        <f t="shared" si="8"/>
        <v>Morning</v>
      </c>
      <c r="AO193" t="str">
        <f t="shared" si="9"/>
        <v>Peak</v>
      </c>
      <c r="AP193" t="str">
        <f t="shared" si="10"/>
        <v>High</v>
      </c>
      <c r="AQ193" t="str">
        <f t="shared" si="11"/>
        <v>High</v>
      </c>
    </row>
    <row r="194" spans="1:43" x14ac:dyDescent="0.3">
      <c r="A194">
        <v>193</v>
      </c>
      <c r="B194" t="s">
        <v>25</v>
      </c>
      <c r="C194" t="s">
        <v>17</v>
      </c>
      <c r="D194" s="1">
        <v>46160</v>
      </c>
      <c r="E194" t="s">
        <v>38</v>
      </c>
      <c r="F194">
        <v>0</v>
      </c>
      <c r="G194">
        <v>11</v>
      </c>
      <c r="H194" t="s">
        <v>19</v>
      </c>
      <c r="I194" t="s">
        <v>28</v>
      </c>
      <c r="J194">
        <v>1.03</v>
      </c>
      <c r="K194" t="s">
        <v>21</v>
      </c>
      <c r="L194">
        <v>0</v>
      </c>
      <c r="M194">
        <v>2.89</v>
      </c>
      <c r="N194">
        <v>17</v>
      </c>
      <c r="O194" t="s">
        <v>22</v>
      </c>
      <c r="P194">
        <v>2</v>
      </c>
      <c r="Q194">
        <v>7.56</v>
      </c>
      <c r="R194">
        <v>54.5</v>
      </c>
      <c r="S194">
        <v>154.41</v>
      </c>
      <c r="T194">
        <v>19.920000000000002</v>
      </c>
      <c r="U194">
        <v>1</v>
      </c>
      <c r="V194">
        <v>0</v>
      </c>
      <c r="W194">
        <v>174.33</v>
      </c>
      <c r="X194">
        <v>42.8</v>
      </c>
      <c r="Y194">
        <v>107.07</v>
      </c>
      <c r="Z194">
        <v>18.91</v>
      </c>
      <c r="AA194">
        <v>2.83</v>
      </c>
      <c r="AB194">
        <v>152.59</v>
      </c>
      <c r="AC194">
        <v>167.98899082568809</v>
      </c>
      <c r="AD194">
        <v>20.183862433862437</v>
      </c>
      <c r="AE194">
        <v>70.38</v>
      </c>
      <c r="AF194">
        <v>10.19</v>
      </c>
      <c r="AG194">
        <v>0</v>
      </c>
      <c r="AH194">
        <v>-2.65</v>
      </c>
      <c r="AI194">
        <v>14.35</v>
      </c>
      <c r="AJ194">
        <v>153.15</v>
      </c>
      <c r="AK194">
        <v>72.83</v>
      </c>
      <c r="AL194" t="s">
        <v>23</v>
      </c>
      <c r="AM194" t="s">
        <v>24</v>
      </c>
      <c r="AN194" t="str">
        <f t="shared" si="8"/>
        <v>Afternoon</v>
      </c>
      <c r="AO194" t="str">
        <f t="shared" si="9"/>
        <v>Off-Peak</v>
      </c>
      <c r="AP194" t="str">
        <f t="shared" si="10"/>
        <v>Medium</v>
      </c>
      <c r="AQ194" t="str">
        <f t="shared" si="11"/>
        <v>Low</v>
      </c>
    </row>
    <row r="195" spans="1:43" x14ac:dyDescent="0.3">
      <c r="A195">
        <v>194</v>
      </c>
      <c r="B195" t="s">
        <v>48</v>
      </c>
      <c r="C195" t="s">
        <v>30</v>
      </c>
      <c r="D195" s="1">
        <v>46047</v>
      </c>
      <c r="E195" t="s">
        <v>26</v>
      </c>
      <c r="F195">
        <v>1</v>
      </c>
      <c r="G195">
        <v>17</v>
      </c>
      <c r="H195" t="s">
        <v>32</v>
      </c>
      <c r="I195" t="s">
        <v>33</v>
      </c>
      <c r="J195">
        <v>1</v>
      </c>
      <c r="K195" t="s">
        <v>12</v>
      </c>
      <c r="L195">
        <v>0</v>
      </c>
      <c r="M195">
        <v>3.88</v>
      </c>
      <c r="N195">
        <v>86</v>
      </c>
      <c r="O195" t="s">
        <v>13</v>
      </c>
      <c r="P195">
        <v>22</v>
      </c>
      <c r="Q195">
        <v>1</v>
      </c>
      <c r="R195">
        <v>28.5</v>
      </c>
      <c r="S195">
        <v>57.4</v>
      </c>
      <c r="T195">
        <v>89.29</v>
      </c>
      <c r="U195">
        <v>1</v>
      </c>
      <c r="V195">
        <v>0</v>
      </c>
      <c r="W195">
        <v>146.69</v>
      </c>
      <c r="X195">
        <v>40.299999999999997</v>
      </c>
      <c r="Y195">
        <v>109.96</v>
      </c>
      <c r="Z195">
        <v>2.73</v>
      </c>
      <c r="AA195">
        <v>6.34</v>
      </c>
      <c r="AB195">
        <v>137.62</v>
      </c>
      <c r="AC195">
        <v>289.72631578947369</v>
      </c>
      <c r="AD195">
        <v>137.62</v>
      </c>
      <c r="AE195">
        <v>87.76</v>
      </c>
      <c r="AF195">
        <v>13.09</v>
      </c>
      <c r="AG195">
        <v>1</v>
      </c>
      <c r="AH195">
        <v>-13.28</v>
      </c>
      <c r="AI195">
        <v>72.72</v>
      </c>
      <c r="AJ195">
        <v>286.64</v>
      </c>
      <c r="AK195">
        <v>75.540000000000006</v>
      </c>
      <c r="AL195" t="s">
        <v>23</v>
      </c>
      <c r="AM195" t="s">
        <v>24</v>
      </c>
      <c r="AN195" t="str">
        <f t="shared" ref="AN195:AN258" si="12">IF(G195&lt;11,"Morning",IF(G195&lt;15,"Afternoon",IF(G195&lt;18,"Evening","Night")))</f>
        <v>Evening</v>
      </c>
      <c r="AO195" t="str">
        <f t="shared" ref="AO195:AO258" si="13">IF(OR(AND(G195&gt;=7,G195&lt;=10),AND(G195&gt;=17,G195&lt;=20)),"Peak","Off-Peak")</f>
        <v>Peak</v>
      </c>
      <c r="AP195" t="str">
        <f t="shared" ref="AP195:AP258" si="14">IF(AC195&lt;150,"Low",IF(AC195&lt;=250,"Medium","High"))</f>
        <v>High</v>
      </c>
      <c r="AQ195" t="str">
        <f t="shared" ref="AQ195:AQ258" si="15">IF(N195&lt;=35,"Low",IF(N195&lt;=70,"Medium","High"))</f>
        <v>High</v>
      </c>
    </row>
    <row r="196" spans="1:43" x14ac:dyDescent="0.3">
      <c r="A196">
        <v>195</v>
      </c>
      <c r="B196" t="s">
        <v>23</v>
      </c>
      <c r="C196" t="s">
        <v>17</v>
      </c>
      <c r="D196" s="1">
        <v>46101</v>
      </c>
      <c r="E196" t="s">
        <v>9</v>
      </c>
      <c r="F196">
        <v>0</v>
      </c>
      <c r="G196">
        <v>21</v>
      </c>
      <c r="H196" t="s">
        <v>19</v>
      </c>
      <c r="I196" t="s">
        <v>42</v>
      </c>
      <c r="J196">
        <v>1.08</v>
      </c>
      <c r="K196" t="s">
        <v>12</v>
      </c>
      <c r="L196">
        <v>0</v>
      </c>
      <c r="M196">
        <v>4.4800000000000004</v>
      </c>
      <c r="N196">
        <v>59</v>
      </c>
      <c r="O196" t="s">
        <v>35</v>
      </c>
      <c r="P196">
        <v>10</v>
      </c>
      <c r="Q196">
        <v>5.79</v>
      </c>
      <c r="R196">
        <v>49.1</v>
      </c>
      <c r="S196">
        <v>121.69</v>
      </c>
      <c r="T196">
        <v>71.78</v>
      </c>
      <c r="U196">
        <v>1.29</v>
      </c>
      <c r="V196">
        <v>35.29</v>
      </c>
      <c r="W196">
        <v>228.76</v>
      </c>
      <c r="X196">
        <v>35.700000000000003</v>
      </c>
      <c r="Y196">
        <v>101.81</v>
      </c>
      <c r="Z196">
        <v>16.53</v>
      </c>
      <c r="AA196">
        <v>9.73</v>
      </c>
      <c r="AB196">
        <v>202.5</v>
      </c>
      <c r="AC196">
        <v>247.45417515274949</v>
      </c>
      <c r="AD196">
        <v>34.974093264248701</v>
      </c>
      <c r="AE196">
        <v>75.39</v>
      </c>
      <c r="AF196">
        <v>16.510000000000002</v>
      </c>
      <c r="AG196">
        <v>1</v>
      </c>
      <c r="AH196">
        <v>-17.190000000000001</v>
      </c>
      <c r="AI196">
        <v>41.81</v>
      </c>
      <c r="AJ196">
        <v>258.82</v>
      </c>
      <c r="AK196">
        <v>67.83</v>
      </c>
      <c r="AL196" t="s">
        <v>14</v>
      </c>
      <c r="AM196" t="s">
        <v>15</v>
      </c>
      <c r="AN196" t="str">
        <f t="shared" si="12"/>
        <v>Night</v>
      </c>
      <c r="AO196" t="str">
        <f t="shared" si="13"/>
        <v>Off-Peak</v>
      </c>
      <c r="AP196" t="str">
        <f t="shared" si="14"/>
        <v>Medium</v>
      </c>
      <c r="AQ196" t="str">
        <f t="shared" si="15"/>
        <v>Medium</v>
      </c>
    </row>
    <row r="197" spans="1:43" x14ac:dyDescent="0.3">
      <c r="A197">
        <v>196</v>
      </c>
      <c r="B197" t="s">
        <v>7</v>
      </c>
      <c r="C197" t="s">
        <v>8</v>
      </c>
      <c r="D197" s="1">
        <v>46065</v>
      </c>
      <c r="E197" t="s">
        <v>41</v>
      </c>
      <c r="F197">
        <v>0</v>
      </c>
      <c r="G197">
        <v>11</v>
      </c>
      <c r="H197" t="s">
        <v>10</v>
      </c>
      <c r="I197" t="s">
        <v>39</v>
      </c>
      <c r="J197">
        <v>1.05</v>
      </c>
      <c r="K197" t="s">
        <v>34</v>
      </c>
      <c r="L197">
        <v>1</v>
      </c>
      <c r="M197">
        <v>4.03</v>
      </c>
      <c r="N197">
        <v>47</v>
      </c>
      <c r="O197" t="s">
        <v>35</v>
      </c>
      <c r="P197">
        <v>18</v>
      </c>
      <c r="Q197">
        <v>4.12</v>
      </c>
      <c r="R197">
        <v>44.3</v>
      </c>
      <c r="S197">
        <v>85.92</v>
      </c>
      <c r="T197">
        <v>47.62</v>
      </c>
      <c r="U197">
        <v>1</v>
      </c>
      <c r="V197">
        <v>0</v>
      </c>
      <c r="W197">
        <v>133.54</v>
      </c>
      <c r="X197">
        <v>43.8</v>
      </c>
      <c r="Y197">
        <v>107.4</v>
      </c>
      <c r="Z197">
        <v>10.11</v>
      </c>
      <c r="AA197">
        <v>5.12</v>
      </c>
      <c r="AB197">
        <v>118.31</v>
      </c>
      <c r="AC197">
        <v>160.23927765237022</v>
      </c>
      <c r="AD197">
        <v>28.716019417475728</v>
      </c>
      <c r="AE197">
        <v>85.04</v>
      </c>
      <c r="AF197">
        <v>14.38</v>
      </c>
      <c r="AG197">
        <v>0</v>
      </c>
      <c r="AH197">
        <v>-8.27</v>
      </c>
      <c r="AI197">
        <v>38.729999999999997</v>
      </c>
      <c r="AJ197">
        <v>153.32</v>
      </c>
      <c r="AK197">
        <v>71.959999999999994</v>
      </c>
      <c r="AL197" t="s">
        <v>14</v>
      </c>
      <c r="AM197" t="s">
        <v>15</v>
      </c>
      <c r="AN197" t="str">
        <f t="shared" si="12"/>
        <v>Afternoon</v>
      </c>
      <c r="AO197" t="str">
        <f t="shared" si="13"/>
        <v>Off-Peak</v>
      </c>
      <c r="AP197" t="str">
        <f t="shared" si="14"/>
        <v>Medium</v>
      </c>
      <c r="AQ197" t="str">
        <f t="shared" si="15"/>
        <v>Medium</v>
      </c>
    </row>
    <row r="198" spans="1:43" x14ac:dyDescent="0.3">
      <c r="A198">
        <v>197</v>
      </c>
      <c r="B198" t="s">
        <v>48</v>
      </c>
      <c r="C198" t="s">
        <v>30</v>
      </c>
      <c r="D198" s="1">
        <v>46152</v>
      </c>
      <c r="E198" t="s">
        <v>26</v>
      </c>
      <c r="F198">
        <v>1</v>
      </c>
      <c r="G198">
        <v>17</v>
      </c>
      <c r="H198" t="s">
        <v>32</v>
      </c>
      <c r="I198" t="s">
        <v>37</v>
      </c>
      <c r="J198">
        <v>1.02</v>
      </c>
      <c r="K198" t="s">
        <v>12</v>
      </c>
      <c r="L198">
        <v>0</v>
      </c>
      <c r="M198">
        <v>3.98</v>
      </c>
      <c r="N198">
        <v>92</v>
      </c>
      <c r="O198" t="s">
        <v>13</v>
      </c>
      <c r="P198">
        <v>24</v>
      </c>
      <c r="Q198">
        <v>11.64</v>
      </c>
      <c r="R198">
        <v>86.5</v>
      </c>
      <c r="S198">
        <v>142.38</v>
      </c>
      <c r="T198">
        <v>100</v>
      </c>
      <c r="U198">
        <v>1</v>
      </c>
      <c r="V198">
        <v>0</v>
      </c>
      <c r="W198">
        <v>242.38</v>
      </c>
      <c r="X198">
        <v>40.700000000000003</v>
      </c>
      <c r="Y198">
        <v>109.48</v>
      </c>
      <c r="Z198">
        <v>31.32</v>
      </c>
      <c r="AA198">
        <v>4.4000000000000004</v>
      </c>
      <c r="AB198">
        <v>206.66</v>
      </c>
      <c r="AC198">
        <v>143.34797687861271</v>
      </c>
      <c r="AD198">
        <v>17.754295532646047</v>
      </c>
      <c r="AE198">
        <v>81.010000000000005</v>
      </c>
      <c r="AF198">
        <v>7.35</v>
      </c>
      <c r="AG198">
        <v>1</v>
      </c>
      <c r="AH198">
        <v>-15.84</v>
      </c>
      <c r="AI198">
        <v>76.16</v>
      </c>
      <c r="AJ198">
        <v>174.25</v>
      </c>
      <c r="AK198">
        <v>75.55</v>
      </c>
      <c r="AL198" t="s">
        <v>23</v>
      </c>
      <c r="AM198" t="s">
        <v>24</v>
      </c>
      <c r="AN198" t="str">
        <f t="shared" si="12"/>
        <v>Evening</v>
      </c>
      <c r="AO198" t="str">
        <f t="shared" si="13"/>
        <v>Peak</v>
      </c>
      <c r="AP198" t="str">
        <f t="shared" si="14"/>
        <v>Low</v>
      </c>
      <c r="AQ198" t="str">
        <f t="shared" si="15"/>
        <v>High</v>
      </c>
    </row>
    <row r="199" spans="1:43" x14ac:dyDescent="0.3">
      <c r="A199">
        <v>198</v>
      </c>
      <c r="B199" t="s">
        <v>7</v>
      </c>
      <c r="C199" t="s">
        <v>8</v>
      </c>
      <c r="D199" s="1">
        <v>46209</v>
      </c>
      <c r="E199" t="s">
        <v>38</v>
      </c>
      <c r="F199">
        <v>0</v>
      </c>
      <c r="G199">
        <v>8</v>
      </c>
      <c r="H199" t="s">
        <v>49</v>
      </c>
      <c r="I199" t="s">
        <v>37</v>
      </c>
      <c r="J199">
        <v>1.02</v>
      </c>
      <c r="K199" t="s">
        <v>12</v>
      </c>
      <c r="L199">
        <v>0</v>
      </c>
      <c r="M199">
        <v>3.06</v>
      </c>
      <c r="N199">
        <v>9</v>
      </c>
      <c r="O199" t="s">
        <v>22</v>
      </c>
      <c r="P199">
        <v>3</v>
      </c>
      <c r="Q199">
        <v>3.71</v>
      </c>
      <c r="R199">
        <v>43</v>
      </c>
      <c r="S199">
        <v>85.33</v>
      </c>
      <c r="T199">
        <v>1.23</v>
      </c>
      <c r="U199">
        <v>1</v>
      </c>
      <c r="V199">
        <v>0</v>
      </c>
      <c r="W199">
        <v>86.56</v>
      </c>
      <c r="X199">
        <v>48.6</v>
      </c>
      <c r="Y199">
        <v>106.45</v>
      </c>
      <c r="Z199">
        <v>8.1199999999999992</v>
      </c>
      <c r="AA199">
        <v>4.63</v>
      </c>
      <c r="AB199">
        <v>73.81</v>
      </c>
      <c r="AC199">
        <v>102.99069767441861</v>
      </c>
      <c r="AD199">
        <v>19.89487870619946</v>
      </c>
      <c r="AE199">
        <v>72.010000000000005</v>
      </c>
      <c r="AF199">
        <v>14.83</v>
      </c>
      <c r="AG199">
        <v>0</v>
      </c>
      <c r="AH199">
        <v>26.94</v>
      </c>
      <c r="AI199">
        <v>35.94</v>
      </c>
      <c r="AJ199">
        <v>110.54</v>
      </c>
      <c r="AK199">
        <v>61.06</v>
      </c>
      <c r="AL199" t="s">
        <v>14</v>
      </c>
      <c r="AM199" t="s">
        <v>15</v>
      </c>
      <c r="AN199" t="str">
        <f t="shared" si="12"/>
        <v>Morning</v>
      </c>
      <c r="AO199" t="str">
        <f t="shared" si="13"/>
        <v>Peak</v>
      </c>
      <c r="AP199" t="str">
        <f t="shared" si="14"/>
        <v>Low</v>
      </c>
      <c r="AQ199" t="str">
        <f t="shared" si="15"/>
        <v>Low</v>
      </c>
    </row>
    <row r="200" spans="1:43" x14ac:dyDescent="0.3">
      <c r="A200">
        <v>199</v>
      </c>
      <c r="B200" t="s">
        <v>48</v>
      </c>
      <c r="C200" t="s">
        <v>30</v>
      </c>
      <c r="D200" s="1">
        <v>46272</v>
      </c>
      <c r="E200" t="s">
        <v>38</v>
      </c>
      <c r="F200">
        <v>0</v>
      </c>
      <c r="G200">
        <v>7</v>
      </c>
      <c r="H200" t="s">
        <v>47</v>
      </c>
      <c r="I200" t="s">
        <v>45</v>
      </c>
      <c r="J200">
        <v>1</v>
      </c>
      <c r="K200" t="s">
        <v>34</v>
      </c>
      <c r="L200">
        <v>1</v>
      </c>
      <c r="M200">
        <v>2.87</v>
      </c>
      <c r="N200">
        <v>54</v>
      </c>
      <c r="O200" t="s">
        <v>35</v>
      </c>
      <c r="P200">
        <v>19</v>
      </c>
      <c r="Q200">
        <v>1.77</v>
      </c>
      <c r="R200">
        <v>29</v>
      </c>
      <c r="S200">
        <v>69.67</v>
      </c>
      <c r="T200">
        <v>53.7</v>
      </c>
      <c r="U200">
        <v>1</v>
      </c>
      <c r="V200">
        <v>0</v>
      </c>
      <c r="W200">
        <v>123.37</v>
      </c>
      <c r="X200">
        <v>42.2</v>
      </c>
      <c r="Y200">
        <v>109.63</v>
      </c>
      <c r="Z200">
        <v>4.5999999999999996</v>
      </c>
      <c r="AA200">
        <v>9.14</v>
      </c>
      <c r="AB200">
        <v>109.63</v>
      </c>
      <c r="AC200">
        <v>226.8206896551724</v>
      </c>
      <c r="AD200">
        <v>61.93785310734463</v>
      </c>
      <c r="AE200">
        <v>77.59</v>
      </c>
      <c r="AF200">
        <v>14.41</v>
      </c>
      <c r="AG200">
        <v>0</v>
      </c>
      <c r="AH200">
        <v>-19.53</v>
      </c>
      <c r="AI200">
        <v>34.47</v>
      </c>
      <c r="AJ200">
        <v>221.63</v>
      </c>
      <c r="AK200">
        <v>61.84</v>
      </c>
      <c r="AL200" t="s">
        <v>23</v>
      </c>
      <c r="AM200" t="s">
        <v>24</v>
      </c>
      <c r="AN200" t="str">
        <f t="shared" si="12"/>
        <v>Morning</v>
      </c>
      <c r="AO200" t="str">
        <f t="shared" si="13"/>
        <v>Peak</v>
      </c>
      <c r="AP200" t="str">
        <f t="shared" si="14"/>
        <v>Medium</v>
      </c>
      <c r="AQ200" t="str">
        <f t="shared" si="15"/>
        <v>Medium</v>
      </c>
    </row>
    <row r="201" spans="1:43" x14ac:dyDescent="0.3">
      <c r="A201">
        <v>200</v>
      </c>
      <c r="B201" t="s">
        <v>23</v>
      </c>
      <c r="C201" t="s">
        <v>17</v>
      </c>
      <c r="D201" s="1">
        <v>46123</v>
      </c>
      <c r="E201" t="s">
        <v>31</v>
      </c>
      <c r="F201">
        <v>1</v>
      </c>
      <c r="G201">
        <v>7</v>
      </c>
      <c r="H201" t="s">
        <v>27</v>
      </c>
      <c r="I201" t="s">
        <v>42</v>
      </c>
      <c r="J201">
        <v>1.08</v>
      </c>
      <c r="K201" t="s">
        <v>34</v>
      </c>
      <c r="L201">
        <v>1</v>
      </c>
      <c r="M201">
        <v>3.91</v>
      </c>
      <c r="N201">
        <v>108</v>
      </c>
      <c r="O201" t="s">
        <v>13</v>
      </c>
      <c r="P201">
        <v>13</v>
      </c>
      <c r="Q201">
        <v>1.1000000000000001</v>
      </c>
      <c r="R201">
        <v>32.9</v>
      </c>
      <c r="S201">
        <v>68.91</v>
      </c>
      <c r="T201">
        <v>100</v>
      </c>
      <c r="U201">
        <v>1.4</v>
      </c>
      <c r="V201">
        <v>27.56</v>
      </c>
      <c r="W201">
        <v>196.47</v>
      </c>
      <c r="X201">
        <v>46.5</v>
      </c>
      <c r="Y201">
        <v>109.94</v>
      </c>
      <c r="Z201">
        <v>2.6</v>
      </c>
      <c r="AA201">
        <v>4.87</v>
      </c>
      <c r="AB201">
        <v>189</v>
      </c>
      <c r="AC201">
        <v>344.68085106382978</v>
      </c>
      <c r="AD201">
        <v>171.81818181818181</v>
      </c>
      <c r="AE201">
        <v>70.31</v>
      </c>
      <c r="AF201">
        <v>13.04</v>
      </c>
      <c r="AG201">
        <v>1</v>
      </c>
      <c r="AH201">
        <v>5.23</v>
      </c>
      <c r="AI201">
        <v>113.23</v>
      </c>
      <c r="AJ201">
        <v>373.04</v>
      </c>
      <c r="AK201">
        <v>81.7</v>
      </c>
      <c r="AL201" t="s">
        <v>23</v>
      </c>
      <c r="AM201" t="s">
        <v>24</v>
      </c>
      <c r="AN201" t="str">
        <f t="shared" si="12"/>
        <v>Morning</v>
      </c>
      <c r="AO201" t="str">
        <f t="shared" si="13"/>
        <v>Peak</v>
      </c>
      <c r="AP201" t="str">
        <f t="shared" si="14"/>
        <v>High</v>
      </c>
      <c r="AQ201" t="str">
        <f t="shared" si="15"/>
        <v>High</v>
      </c>
    </row>
    <row r="202" spans="1:43" x14ac:dyDescent="0.3">
      <c r="A202">
        <v>201</v>
      </c>
      <c r="B202" t="s">
        <v>48</v>
      </c>
      <c r="C202" t="s">
        <v>30</v>
      </c>
      <c r="D202" s="1">
        <v>46245</v>
      </c>
      <c r="E202" t="s">
        <v>44</v>
      </c>
      <c r="F202">
        <v>0</v>
      </c>
      <c r="G202">
        <v>21</v>
      </c>
      <c r="H202" t="s">
        <v>36</v>
      </c>
      <c r="I202" t="s">
        <v>11</v>
      </c>
      <c r="J202">
        <v>1.18</v>
      </c>
      <c r="K202" t="s">
        <v>12</v>
      </c>
      <c r="L202">
        <v>0</v>
      </c>
      <c r="M202">
        <v>3.62</v>
      </c>
      <c r="N202">
        <v>5</v>
      </c>
      <c r="O202" t="s">
        <v>22</v>
      </c>
      <c r="P202">
        <v>1</v>
      </c>
      <c r="Q202">
        <v>4.1900000000000004</v>
      </c>
      <c r="R202">
        <v>37</v>
      </c>
      <c r="S202">
        <v>74.5</v>
      </c>
      <c r="T202">
        <v>30.27</v>
      </c>
      <c r="U202">
        <v>1</v>
      </c>
      <c r="V202">
        <v>0</v>
      </c>
      <c r="W202">
        <v>104.77</v>
      </c>
      <c r="X202">
        <v>47.7</v>
      </c>
      <c r="Y202">
        <v>108.02</v>
      </c>
      <c r="Z202">
        <v>9.49</v>
      </c>
      <c r="AA202">
        <v>6.03</v>
      </c>
      <c r="AB202">
        <v>89.25</v>
      </c>
      <c r="AC202">
        <v>144.72972972972971</v>
      </c>
      <c r="AD202">
        <v>21.300715990453458</v>
      </c>
      <c r="AE202">
        <v>75.099999999999994</v>
      </c>
      <c r="AF202">
        <v>15.25</v>
      </c>
      <c r="AG202">
        <v>0</v>
      </c>
      <c r="AH202">
        <v>9.5399999999999991</v>
      </c>
      <c r="AI202">
        <v>14.54</v>
      </c>
      <c r="AJ202">
        <v>138.86000000000001</v>
      </c>
      <c r="AK202">
        <v>65.430000000000007</v>
      </c>
      <c r="AL202" t="s">
        <v>14</v>
      </c>
      <c r="AM202" t="s">
        <v>15</v>
      </c>
      <c r="AN202" t="str">
        <f t="shared" si="12"/>
        <v>Night</v>
      </c>
      <c r="AO202" t="str">
        <f t="shared" si="13"/>
        <v>Off-Peak</v>
      </c>
      <c r="AP202" t="str">
        <f t="shared" si="14"/>
        <v>Low</v>
      </c>
      <c r="AQ202" t="str">
        <f t="shared" si="15"/>
        <v>Low</v>
      </c>
    </row>
    <row r="203" spans="1:43" x14ac:dyDescent="0.3">
      <c r="A203">
        <v>202</v>
      </c>
      <c r="B203" t="s">
        <v>23</v>
      </c>
      <c r="C203" t="s">
        <v>17</v>
      </c>
      <c r="D203" s="1">
        <v>46078</v>
      </c>
      <c r="E203" t="s">
        <v>18</v>
      </c>
      <c r="F203">
        <v>0</v>
      </c>
      <c r="G203">
        <v>16</v>
      </c>
      <c r="H203" t="s">
        <v>19</v>
      </c>
      <c r="I203" t="s">
        <v>42</v>
      </c>
      <c r="J203">
        <v>1.08</v>
      </c>
      <c r="K203" t="s">
        <v>21</v>
      </c>
      <c r="L203">
        <v>0</v>
      </c>
      <c r="M203">
        <v>3.36</v>
      </c>
      <c r="N203">
        <v>23</v>
      </c>
      <c r="O203" t="s">
        <v>22</v>
      </c>
      <c r="P203">
        <v>4</v>
      </c>
      <c r="Q203">
        <v>4.76</v>
      </c>
      <c r="R203">
        <v>41.6</v>
      </c>
      <c r="S203">
        <v>107.79</v>
      </c>
      <c r="T203">
        <v>38.5</v>
      </c>
      <c r="U203">
        <v>1.02</v>
      </c>
      <c r="V203">
        <v>2.16</v>
      </c>
      <c r="W203">
        <v>148.44999999999999</v>
      </c>
      <c r="X203">
        <v>36.5</v>
      </c>
      <c r="Y203">
        <v>109.99</v>
      </c>
      <c r="Z203">
        <v>14.37</v>
      </c>
      <c r="AA203">
        <v>7.46</v>
      </c>
      <c r="AB203">
        <v>126.62</v>
      </c>
      <c r="AC203">
        <v>182.625</v>
      </c>
      <c r="AD203">
        <v>26.600840336134457</v>
      </c>
      <c r="AE203">
        <v>80.63</v>
      </c>
      <c r="AF203">
        <v>16.309999999999999</v>
      </c>
      <c r="AG203">
        <v>0</v>
      </c>
      <c r="AH203">
        <v>8.36</v>
      </c>
      <c r="AI203">
        <v>31.36</v>
      </c>
      <c r="AJ203">
        <v>173.95</v>
      </c>
      <c r="AK203">
        <v>62.64</v>
      </c>
      <c r="AL203" t="s">
        <v>23</v>
      </c>
      <c r="AM203" t="s">
        <v>24</v>
      </c>
      <c r="AN203" t="str">
        <f t="shared" si="12"/>
        <v>Evening</v>
      </c>
      <c r="AO203" t="str">
        <f t="shared" si="13"/>
        <v>Off-Peak</v>
      </c>
      <c r="AP203" t="str">
        <f t="shared" si="14"/>
        <v>Medium</v>
      </c>
      <c r="AQ203" t="str">
        <f t="shared" si="15"/>
        <v>Low</v>
      </c>
    </row>
    <row r="204" spans="1:43" x14ac:dyDescent="0.3">
      <c r="A204">
        <v>203</v>
      </c>
      <c r="B204" t="s">
        <v>29</v>
      </c>
      <c r="C204" t="s">
        <v>30</v>
      </c>
      <c r="D204" s="1">
        <v>46224</v>
      </c>
      <c r="E204" t="s">
        <v>44</v>
      </c>
      <c r="F204">
        <v>0</v>
      </c>
      <c r="G204">
        <v>19</v>
      </c>
      <c r="H204" t="s">
        <v>32</v>
      </c>
      <c r="I204" t="s">
        <v>42</v>
      </c>
      <c r="J204">
        <v>1.08</v>
      </c>
      <c r="K204" t="s">
        <v>12</v>
      </c>
      <c r="L204">
        <v>0</v>
      </c>
      <c r="M204">
        <v>4.46</v>
      </c>
      <c r="N204">
        <v>72</v>
      </c>
      <c r="O204" t="s">
        <v>13</v>
      </c>
      <c r="P204">
        <v>21</v>
      </c>
      <c r="Q204">
        <v>3.54</v>
      </c>
      <c r="R204">
        <v>46.5</v>
      </c>
      <c r="S204">
        <v>82.94</v>
      </c>
      <c r="T204">
        <v>70.03</v>
      </c>
      <c r="U204">
        <v>1</v>
      </c>
      <c r="V204">
        <v>0</v>
      </c>
      <c r="W204">
        <v>152.97</v>
      </c>
      <c r="X204">
        <v>41.6</v>
      </c>
      <c r="Y204">
        <v>106.26</v>
      </c>
      <c r="Z204">
        <v>9.0399999999999991</v>
      </c>
      <c r="AA204">
        <v>11.41</v>
      </c>
      <c r="AB204">
        <v>132.52000000000001</v>
      </c>
      <c r="AC204">
        <v>170.99354838709678</v>
      </c>
      <c r="AD204">
        <v>37.435028248587571</v>
      </c>
      <c r="AE204">
        <v>85.69</v>
      </c>
      <c r="AF204">
        <v>16.86</v>
      </c>
      <c r="AG204">
        <v>1</v>
      </c>
      <c r="AH204">
        <v>9.68</v>
      </c>
      <c r="AI204">
        <v>81.680000000000007</v>
      </c>
      <c r="AJ204">
        <v>192.31</v>
      </c>
      <c r="AK204">
        <v>69.41</v>
      </c>
      <c r="AL204" t="s">
        <v>14</v>
      </c>
      <c r="AM204" t="s">
        <v>15</v>
      </c>
      <c r="AN204" t="str">
        <f t="shared" si="12"/>
        <v>Night</v>
      </c>
      <c r="AO204" t="str">
        <f t="shared" si="13"/>
        <v>Peak</v>
      </c>
      <c r="AP204" t="str">
        <f t="shared" si="14"/>
        <v>Medium</v>
      </c>
      <c r="AQ204" t="str">
        <f t="shared" si="15"/>
        <v>High</v>
      </c>
    </row>
    <row r="205" spans="1:43" x14ac:dyDescent="0.3">
      <c r="A205">
        <v>204</v>
      </c>
      <c r="B205" t="s">
        <v>25</v>
      </c>
      <c r="C205" t="s">
        <v>17</v>
      </c>
      <c r="D205" s="1">
        <v>46168</v>
      </c>
      <c r="E205" t="s">
        <v>44</v>
      </c>
      <c r="F205">
        <v>0</v>
      </c>
      <c r="G205">
        <v>7</v>
      </c>
      <c r="H205" t="s">
        <v>27</v>
      </c>
      <c r="I205" t="s">
        <v>50</v>
      </c>
      <c r="J205">
        <v>1.2</v>
      </c>
      <c r="K205" t="s">
        <v>21</v>
      </c>
      <c r="L205">
        <v>0</v>
      </c>
      <c r="M205">
        <v>4.32</v>
      </c>
      <c r="N205">
        <v>83</v>
      </c>
      <c r="O205" t="s">
        <v>13</v>
      </c>
      <c r="P205">
        <v>12</v>
      </c>
      <c r="Q205">
        <v>7.68</v>
      </c>
      <c r="R205">
        <v>67.3</v>
      </c>
      <c r="S205">
        <v>161.65</v>
      </c>
      <c r="T205">
        <v>96.21</v>
      </c>
      <c r="U205">
        <v>1.26</v>
      </c>
      <c r="V205">
        <v>42.03</v>
      </c>
      <c r="W205">
        <v>299.89</v>
      </c>
      <c r="X205">
        <v>48.4</v>
      </c>
      <c r="Y205">
        <v>104.97</v>
      </c>
      <c r="Z205">
        <v>16.649999999999999</v>
      </c>
      <c r="AA205">
        <v>9.94</v>
      </c>
      <c r="AB205">
        <v>273.3</v>
      </c>
      <c r="AC205">
        <v>243.65527488855872</v>
      </c>
      <c r="AD205">
        <v>35.5859375</v>
      </c>
      <c r="AE205">
        <v>67.819999999999993</v>
      </c>
      <c r="AF205">
        <v>14.64</v>
      </c>
      <c r="AG205">
        <v>1</v>
      </c>
      <c r="AH205">
        <v>17.2</v>
      </c>
      <c r="AI205">
        <v>100.2</v>
      </c>
      <c r="AJ205">
        <v>214.95</v>
      </c>
      <c r="AK205">
        <v>72.11</v>
      </c>
      <c r="AL205" t="s">
        <v>23</v>
      </c>
      <c r="AM205" t="s">
        <v>24</v>
      </c>
      <c r="AN205" t="str">
        <f t="shared" si="12"/>
        <v>Morning</v>
      </c>
      <c r="AO205" t="str">
        <f t="shared" si="13"/>
        <v>Peak</v>
      </c>
      <c r="AP205" t="str">
        <f t="shared" si="14"/>
        <v>Medium</v>
      </c>
      <c r="AQ205" t="str">
        <f t="shared" si="15"/>
        <v>High</v>
      </c>
    </row>
    <row r="206" spans="1:43" x14ac:dyDescent="0.3">
      <c r="A206">
        <v>205</v>
      </c>
      <c r="B206" t="s">
        <v>29</v>
      </c>
      <c r="C206" t="s">
        <v>30</v>
      </c>
      <c r="D206" s="1">
        <v>46218</v>
      </c>
      <c r="E206" t="s">
        <v>18</v>
      </c>
      <c r="F206">
        <v>0</v>
      </c>
      <c r="G206">
        <v>7</v>
      </c>
      <c r="H206" t="s">
        <v>47</v>
      </c>
      <c r="I206" t="s">
        <v>46</v>
      </c>
      <c r="J206">
        <v>1.1499999999999999</v>
      </c>
      <c r="K206" t="s">
        <v>12</v>
      </c>
      <c r="L206">
        <v>0</v>
      </c>
      <c r="M206">
        <v>3.04</v>
      </c>
      <c r="N206">
        <v>21</v>
      </c>
      <c r="O206" t="s">
        <v>22</v>
      </c>
      <c r="P206">
        <v>6</v>
      </c>
      <c r="Q206">
        <v>9.8000000000000007</v>
      </c>
      <c r="R206">
        <v>60.4</v>
      </c>
      <c r="S206">
        <v>134.36000000000001</v>
      </c>
      <c r="T206">
        <v>19.07</v>
      </c>
      <c r="U206">
        <v>1</v>
      </c>
      <c r="V206">
        <v>0</v>
      </c>
      <c r="W206">
        <v>153.43</v>
      </c>
      <c r="X206">
        <v>41.4</v>
      </c>
      <c r="Y206">
        <v>109.18</v>
      </c>
      <c r="Z206">
        <v>25.86</v>
      </c>
      <c r="AA206">
        <v>3.85</v>
      </c>
      <c r="AB206">
        <v>123.72</v>
      </c>
      <c r="AC206">
        <v>122.90066225165563</v>
      </c>
      <c r="AD206">
        <v>12.624489795918366</v>
      </c>
      <c r="AE206">
        <v>61.53</v>
      </c>
      <c r="AF206">
        <v>18.559999999999999</v>
      </c>
      <c r="AG206">
        <v>0</v>
      </c>
      <c r="AH206">
        <v>-3.69</v>
      </c>
      <c r="AI206">
        <v>17.309999999999999</v>
      </c>
      <c r="AJ206">
        <v>133.96</v>
      </c>
      <c r="AK206">
        <v>69.709999999999994</v>
      </c>
      <c r="AL206" t="s">
        <v>23</v>
      </c>
      <c r="AM206" t="s">
        <v>24</v>
      </c>
      <c r="AN206" t="str">
        <f t="shared" si="12"/>
        <v>Morning</v>
      </c>
      <c r="AO206" t="str">
        <f t="shared" si="13"/>
        <v>Peak</v>
      </c>
      <c r="AP206" t="str">
        <f t="shared" si="14"/>
        <v>Low</v>
      </c>
      <c r="AQ206" t="str">
        <f t="shared" si="15"/>
        <v>Low</v>
      </c>
    </row>
    <row r="207" spans="1:43" x14ac:dyDescent="0.3">
      <c r="A207">
        <v>206</v>
      </c>
      <c r="B207" t="s">
        <v>14</v>
      </c>
      <c r="C207" t="s">
        <v>8</v>
      </c>
      <c r="D207" s="1">
        <v>46217</v>
      </c>
      <c r="E207" t="s">
        <v>44</v>
      </c>
      <c r="F207">
        <v>0</v>
      </c>
      <c r="G207">
        <v>20</v>
      </c>
      <c r="H207" t="s">
        <v>51</v>
      </c>
      <c r="I207" t="s">
        <v>46</v>
      </c>
      <c r="J207">
        <v>1.1499999999999999</v>
      </c>
      <c r="K207" t="s">
        <v>12</v>
      </c>
      <c r="L207">
        <v>0</v>
      </c>
      <c r="M207">
        <v>4.66</v>
      </c>
      <c r="N207">
        <v>80</v>
      </c>
      <c r="O207" t="s">
        <v>13</v>
      </c>
      <c r="P207">
        <v>37</v>
      </c>
      <c r="Q207">
        <v>3.2</v>
      </c>
      <c r="R207">
        <v>38.6</v>
      </c>
      <c r="S207">
        <v>83.52</v>
      </c>
      <c r="T207">
        <v>91.84</v>
      </c>
      <c r="U207">
        <v>1</v>
      </c>
      <c r="V207">
        <v>0</v>
      </c>
      <c r="W207">
        <v>175.36</v>
      </c>
      <c r="X207">
        <v>43.5</v>
      </c>
      <c r="Y207">
        <v>108.31</v>
      </c>
      <c r="Z207">
        <v>7.98</v>
      </c>
      <c r="AA207">
        <v>10.83</v>
      </c>
      <c r="AB207">
        <v>156.55000000000001</v>
      </c>
      <c r="AC207">
        <v>243.34196891191712</v>
      </c>
      <c r="AD207">
        <v>48.921875</v>
      </c>
      <c r="AE207">
        <v>74.11</v>
      </c>
      <c r="AF207">
        <v>16.3</v>
      </c>
      <c r="AG207">
        <v>1</v>
      </c>
      <c r="AH207">
        <v>4.3099999999999996</v>
      </c>
      <c r="AI207">
        <v>84.31</v>
      </c>
      <c r="AJ207">
        <v>240.45</v>
      </c>
      <c r="AK207">
        <v>78.319999999999993</v>
      </c>
      <c r="AL207" t="s">
        <v>14</v>
      </c>
      <c r="AM207" t="s">
        <v>15</v>
      </c>
      <c r="AN207" t="str">
        <f t="shared" si="12"/>
        <v>Night</v>
      </c>
      <c r="AO207" t="str">
        <f t="shared" si="13"/>
        <v>Peak</v>
      </c>
      <c r="AP207" t="str">
        <f t="shared" si="14"/>
        <v>Medium</v>
      </c>
      <c r="AQ207" t="str">
        <f t="shared" si="15"/>
        <v>High</v>
      </c>
    </row>
    <row r="208" spans="1:43" x14ac:dyDescent="0.3">
      <c r="A208">
        <v>207</v>
      </c>
      <c r="B208" t="s">
        <v>16</v>
      </c>
      <c r="C208" t="s">
        <v>17</v>
      </c>
      <c r="D208" s="1">
        <v>46160</v>
      </c>
      <c r="E208" t="s">
        <v>38</v>
      </c>
      <c r="F208">
        <v>0</v>
      </c>
      <c r="G208">
        <v>8</v>
      </c>
      <c r="H208" t="s">
        <v>27</v>
      </c>
      <c r="I208" t="s">
        <v>50</v>
      </c>
      <c r="J208">
        <v>1.2</v>
      </c>
      <c r="K208" t="s">
        <v>12</v>
      </c>
      <c r="L208">
        <v>0</v>
      </c>
      <c r="M208">
        <v>4.8499999999999996</v>
      </c>
      <c r="N208">
        <v>74</v>
      </c>
      <c r="O208" t="s">
        <v>13</v>
      </c>
      <c r="P208">
        <v>10</v>
      </c>
      <c r="Q208">
        <v>1</v>
      </c>
      <c r="R208">
        <v>42.8</v>
      </c>
      <c r="S208">
        <v>64.540000000000006</v>
      </c>
      <c r="T208">
        <v>75.88</v>
      </c>
      <c r="U208">
        <v>1.36</v>
      </c>
      <c r="V208">
        <v>23.23</v>
      </c>
      <c r="W208">
        <v>163.65</v>
      </c>
      <c r="X208">
        <v>48.1</v>
      </c>
      <c r="Y208">
        <v>101.1</v>
      </c>
      <c r="Z208">
        <v>2.1</v>
      </c>
      <c r="AA208">
        <v>10.45</v>
      </c>
      <c r="AB208">
        <v>151.1</v>
      </c>
      <c r="AC208">
        <v>211.82242990654206</v>
      </c>
      <c r="AD208">
        <v>151.1</v>
      </c>
      <c r="AE208">
        <v>89</v>
      </c>
      <c r="AF208">
        <v>14.94</v>
      </c>
      <c r="AG208">
        <v>1</v>
      </c>
      <c r="AH208">
        <v>-1.4</v>
      </c>
      <c r="AI208">
        <v>72.599999999999994</v>
      </c>
      <c r="AJ208">
        <v>209.11</v>
      </c>
      <c r="AK208">
        <v>76.31</v>
      </c>
      <c r="AL208" t="s">
        <v>23</v>
      </c>
      <c r="AM208" t="s">
        <v>24</v>
      </c>
      <c r="AN208" t="str">
        <f t="shared" si="12"/>
        <v>Morning</v>
      </c>
      <c r="AO208" t="str">
        <f t="shared" si="13"/>
        <v>Peak</v>
      </c>
      <c r="AP208" t="str">
        <f t="shared" si="14"/>
        <v>Medium</v>
      </c>
      <c r="AQ208" t="str">
        <f t="shared" si="15"/>
        <v>High</v>
      </c>
    </row>
    <row r="209" spans="1:43" x14ac:dyDescent="0.3">
      <c r="A209">
        <v>208</v>
      </c>
      <c r="B209" t="s">
        <v>23</v>
      </c>
      <c r="C209" t="s">
        <v>17</v>
      </c>
      <c r="D209" s="1">
        <v>46089</v>
      </c>
      <c r="E209" t="s">
        <v>26</v>
      </c>
      <c r="F209">
        <v>1</v>
      </c>
      <c r="G209">
        <v>9</v>
      </c>
      <c r="H209" t="s">
        <v>27</v>
      </c>
      <c r="I209" t="s">
        <v>11</v>
      </c>
      <c r="J209">
        <v>1.18</v>
      </c>
      <c r="K209" t="s">
        <v>12</v>
      </c>
      <c r="L209">
        <v>0</v>
      </c>
      <c r="M209">
        <v>4.83</v>
      </c>
      <c r="N209">
        <v>75</v>
      </c>
      <c r="O209" t="s">
        <v>13</v>
      </c>
      <c r="P209">
        <v>19</v>
      </c>
      <c r="Q209">
        <v>5.0999999999999996</v>
      </c>
      <c r="R209">
        <v>50.8</v>
      </c>
      <c r="S209">
        <v>113.26</v>
      </c>
      <c r="T209">
        <v>75.37</v>
      </c>
      <c r="U209">
        <v>1.19</v>
      </c>
      <c r="V209">
        <v>21.52</v>
      </c>
      <c r="W209">
        <v>210.15</v>
      </c>
      <c r="X209">
        <v>38.5</v>
      </c>
      <c r="Y209">
        <v>103.03</v>
      </c>
      <c r="Z209">
        <v>13.66</v>
      </c>
      <c r="AA209">
        <v>9.4499999999999993</v>
      </c>
      <c r="AB209">
        <v>187.04</v>
      </c>
      <c r="AC209">
        <v>220.91338582677167</v>
      </c>
      <c r="AD209">
        <v>36.674509803921566</v>
      </c>
      <c r="AE209">
        <v>79.77</v>
      </c>
      <c r="AF209">
        <v>14.37</v>
      </c>
      <c r="AG209">
        <v>1</v>
      </c>
      <c r="AH209">
        <v>22.54</v>
      </c>
      <c r="AI209">
        <v>97.54</v>
      </c>
      <c r="AJ209">
        <v>258.42</v>
      </c>
      <c r="AK209">
        <v>67.84</v>
      </c>
      <c r="AL209" t="s">
        <v>23</v>
      </c>
      <c r="AM209" t="s">
        <v>24</v>
      </c>
      <c r="AN209" t="str">
        <f t="shared" si="12"/>
        <v>Morning</v>
      </c>
      <c r="AO209" t="str">
        <f t="shared" si="13"/>
        <v>Peak</v>
      </c>
      <c r="AP209" t="str">
        <f t="shared" si="14"/>
        <v>Medium</v>
      </c>
      <c r="AQ209" t="str">
        <f t="shared" si="15"/>
        <v>High</v>
      </c>
    </row>
    <row r="210" spans="1:43" x14ac:dyDescent="0.3">
      <c r="A210">
        <v>209</v>
      </c>
      <c r="B210" t="s">
        <v>14</v>
      </c>
      <c r="C210" t="s">
        <v>8</v>
      </c>
      <c r="D210" s="1">
        <v>46158</v>
      </c>
      <c r="E210" t="s">
        <v>31</v>
      </c>
      <c r="F210">
        <v>1</v>
      </c>
      <c r="G210">
        <v>15</v>
      </c>
      <c r="H210" t="s">
        <v>32</v>
      </c>
      <c r="I210" t="s">
        <v>45</v>
      </c>
      <c r="J210">
        <v>1</v>
      </c>
      <c r="K210" t="s">
        <v>21</v>
      </c>
      <c r="L210">
        <v>0</v>
      </c>
      <c r="M210">
        <v>2.92</v>
      </c>
      <c r="N210">
        <v>25</v>
      </c>
      <c r="O210" t="s">
        <v>22</v>
      </c>
      <c r="P210">
        <v>9</v>
      </c>
      <c r="Q210">
        <v>8.84</v>
      </c>
      <c r="R210">
        <v>68.599999999999994</v>
      </c>
      <c r="S210">
        <v>129.22999999999999</v>
      </c>
      <c r="T210">
        <v>32.049999999999997</v>
      </c>
      <c r="U210">
        <v>1</v>
      </c>
      <c r="V210">
        <v>0</v>
      </c>
      <c r="W210">
        <v>161.28</v>
      </c>
      <c r="X210">
        <v>48.4</v>
      </c>
      <c r="Y210">
        <v>102.61</v>
      </c>
      <c r="Z210">
        <v>18.72</v>
      </c>
      <c r="AA210">
        <v>7.17</v>
      </c>
      <c r="AB210">
        <v>135.38999999999999</v>
      </c>
      <c r="AC210">
        <v>118.41690962099125</v>
      </c>
      <c r="AD210">
        <v>15.315610859728505</v>
      </c>
      <c r="AE210">
        <v>67.8</v>
      </c>
      <c r="AF210">
        <v>15.08</v>
      </c>
      <c r="AG210">
        <v>1</v>
      </c>
      <c r="AH210">
        <v>34.5</v>
      </c>
      <c r="AI210">
        <v>59.5</v>
      </c>
      <c r="AJ210">
        <v>110.53</v>
      </c>
      <c r="AK210">
        <v>60</v>
      </c>
      <c r="AL210" t="s">
        <v>14</v>
      </c>
      <c r="AM210" t="s">
        <v>15</v>
      </c>
      <c r="AN210" t="str">
        <f t="shared" si="12"/>
        <v>Evening</v>
      </c>
      <c r="AO210" t="str">
        <f t="shared" si="13"/>
        <v>Off-Peak</v>
      </c>
      <c r="AP210" t="str">
        <f t="shared" si="14"/>
        <v>Low</v>
      </c>
      <c r="AQ210" t="str">
        <f t="shared" si="15"/>
        <v>Low</v>
      </c>
    </row>
    <row r="211" spans="1:43" x14ac:dyDescent="0.3">
      <c r="A211">
        <v>210</v>
      </c>
      <c r="B211" t="s">
        <v>16</v>
      </c>
      <c r="C211" t="s">
        <v>17</v>
      </c>
      <c r="D211" s="1">
        <v>46236</v>
      </c>
      <c r="E211" t="s">
        <v>26</v>
      </c>
      <c r="F211">
        <v>1</v>
      </c>
      <c r="G211">
        <v>16</v>
      </c>
      <c r="H211" t="s">
        <v>19</v>
      </c>
      <c r="I211" t="s">
        <v>42</v>
      </c>
      <c r="J211">
        <v>1.08</v>
      </c>
      <c r="K211" t="s">
        <v>12</v>
      </c>
      <c r="L211">
        <v>0</v>
      </c>
      <c r="M211">
        <v>4.1100000000000003</v>
      </c>
      <c r="N211">
        <v>57</v>
      </c>
      <c r="O211" t="s">
        <v>35</v>
      </c>
      <c r="P211">
        <v>12</v>
      </c>
      <c r="Q211">
        <v>3.22</v>
      </c>
      <c r="R211">
        <v>39.9</v>
      </c>
      <c r="S211">
        <v>91.16</v>
      </c>
      <c r="T211">
        <v>71.53</v>
      </c>
      <c r="U211">
        <v>1</v>
      </c>
      <c r="V211">
        <v>0</v>
      </c>
      <c r="W211">
        <v>162.69</v>
      </c>
      <c r="X211">
        <v>41</v>
      </c>
      <c r="Y211">
        <v>108.55</v>
      </c>
      <c r="Z211">
        <v>8.52</v>
      </c>
      <c r="AA211">
        <v>2.7</v>
      </c>
      <c r="AB211">
        <v>151.47</v>
      </c>
      <c r="AC211">
        <v>227.77443609022558</v>
      </c>
      <c r="AD211">
        <v>47.04037267080745</v>
      </c>
      <c r="AE211">
        <v>64.94</v>
      </c>
      <c r="AF211">
        <v>18.399999999999999</v>
      </c>
      <c r="AG211">
        <v>1</v>
      </c>
      <c r="AH211">
        <v>-14.91</v>
      </c>
      <c r="AI211">
        <v>42.09</v>
      </c>
      <c r="AJ211">
        <v>241.87</v>
      </c>
      <c r="AK211">
        <v>71.78</v>
      </c>
      <c r="AL211" t="s">
        <v>23</v>
      </c>
      <c r="AM211" t="s">
        <v>24</v>
      </c>
      <c r="AN211" t="str">
        <f t="shared" si="12"/>
        <v>Evening</v>
      </c>
      <c r="AO211" t="str">
        <f t="shared" si="13"/>
        <v>Off-Peak</v>
      </c>
      <c r="AP211" t="str">
        <f t="shared" si="14"/>
        <v>Medium</v>
      </c>
      <c r="AQ211" t="str">
        <f t="shared" si="15"/>
        <v>Medium</v>
      </c>
    </row>
    <row r="212" spans="1:43" x14ac:dyDescent="0.3">
      <c r="A212">
        <v>211</v>
      </c>
      <c r="B212" t="s">
        <v>14</v>
      </c>
      <c r="C212" t="s">
        <v>8</v>
      </c>
      <c r="D212" s="1">
        <v>46273</v>
      </c>
      <c r="E212" t="s">
        <v>44</v>
      </c>
      <c r="F212">
        <v>0</v>
      </c>
      <c r="G212">
        <v>10</v>
      </c>
      <c r="H212" t="s">
        <v>49</v>
      </c>
      <c r="I212" t="s">
        <v>45</v>
      </c>
      <c r="J212">
        <v>1</v>
      </c>
      <c r="K212" t="s">
        <v>34</v>
      </c>
      <c r="L212">
        <v>1</v>
      </c>
      <c r="M212">
        <v>3.68</v>
      </c>
      <c r="N212">
        <v>54</v>
      </c>
      <c r="O212" t="s">
        <v>35</v>
      </c>
      <c r="P212">
        <v>15</v>
      </c>
      <c r="Q212">
        <v>6</v>
      </c>
      <c r="R212">
        <v>51</v>
      </c>
      <c r="S212">
        <v>104.8</v>
      </c>
      <c r="T212">
        <v>56.48</v>
      </c>
      <c r="U212">
        <v>1</v>
      </c>
      <c r="V212">
        <v>0</v>
      </c>
      <c r="W212">
        <v>161.28</v>
      </c>
      <c r="X212">
        <v>43.9</v>
      </c>
      <c r="Y212">
        <v>102.33</v>
      </c>
      <c r="Z212">
        <v>14</v>
      </c>
      <c r="AA212">
        <v>9.1199999999999992</v>
      </c>
      <c r="AB212">
        <v>138.16</v>
      </c>
      <c r="AC212">
        <v>162.54117647058823</v>
      </c>
      <c r="AD212">
        <v>23.026666666666667</v>
      </c>
      <c r="AE212">
        <v>70.849999999999994</v>
      </c>
      <c r="AF212">
        <v>13.99</v>
      </c>
      <c r="AG212">
        <v>0</v>
      </c>
      <c r="AH212">
        <v>-27.47</v>
      </c>
      <c r="AI212">
        <v>26.53</v>
      </c>
      <c r="AJ212">
        <v>171.78</v>
      </c>
      <c r="AK212">
        <v>70.09</v>
      </c>
      <c r="AL212" t="s">
        <v>14</v>
      </c>
      <c r="AM212" t="s">
        <v>15</v>
      </c>
      <c r="AN212" t="str">
        <f t="shared" si="12"/>
        <v>Morning</v>
      </c>
      <c r="AO212" t="str">
        <f t="shared" si="13"/>
        <v>Peak</v>
      </c>
      <c r="AP212" t="str">
        <f t="shared" si="14"/>
        <v>Medium</v>
      </c>
      <c r="AQ212" t="str">
        <f t="shared" si="15"/>
        <v>Medium</v>
      </c>
    </row>
    <row r="213" spans="1:43" x14ac:dyDescent="0.3">
      <c r="A213">
        <v>212</v>
      </c>
      <c r="B213" t="s">
        <v>16</v>
      </c>
      <c r="C213" t="s">
        <v>17</v>
      </c>
      <c r="D213" s="1">
        <v>46262</v>
      </c>
      <c r="E213" t="s">
        <v>9</v>
      </c>
      <c r="F213">
        <v>0</v>
      </c>
      <c r="G213">
        <v>14</v>
      </c>
      <c r="H213" t="s">
        <v>19</v>
      </c>
      <c r="I213" t="s">
        <v>39</v>
      </c>
      <c r="J213">
        <v>1.05</v>
      </c>
      <c r="K213" t="s">
        <v>21</v>
      </c>
      <c r="L213">
        <v>0</v>
      </c>
      <c r="M213">
        <v>3.51</v>
      </c>
      <c r="N213">
        <v>27</v>
      </c>
      <c r="O213" t="s">
        <v>22</v>
      </c>
      <c r="P213">
        <v>6</v>
      </c>
      <c r="Q213">
        <v>1.66</v>
      </c>
      <c r="R213">
        <v>28</v>
      </c>
      <c r="S213">
        <v>85.38</v>
      </c>
      <c r="T213">
        <v>33.33</v>
      </c>
      <c r="U213">
        <v>1.01</v>
      </c>
      <c r="V213">
        <v>0.85</v>
      </c>
      <c r="W213">
        <v>119.56</v>
      </c>
      <c r="X213">
        <v>39.9</v>
      </c>
      <c r="Y213">
        <v>103.04</v>
      </c>
      <c r="Z213">
        <v>4.28</v>
      </c>
      <c r="AA213">
        <v>7.18</v>
      </c>
      <c r="AB213">
        <v>108.1</v>
      </c>
      <c r="AC213">
        <v>231.64285714285714</v>
      </c>
      <c r="AD213">
        <v>65.120481927710841</v>
      </c>
      <c r="AE213">
        <v>68.150000000000006</v>
      </c>
      <c r="AF213">
        <v>17.510000000000002</v>
      </c>
      <c r="AG213">
        <v>0</v>
      </c>
      <c r="AH213">
        <v>11.54</v>
      </c>
      <c r="AI213">
        <v>38.54</v>
      </c>
      <c r="AJ213">
        <v>237.71</v>
      </c>
      <c r="AK213">
        <v>60</v>
      </c>
      <c r="AL213" t="s">
        <v>14</v>
      </c>
      <c r="AM213" t="s">
        <v>15</v>
      </c>
      <c r="AN213" t="str">
        <f t="shared" si="12"/>
        <v>Afternoon</v>
      </c>
      <c r="AO213" t="str">
        <f t="shared" si="13"/>
        <v>Off-Peak</v>
      </c>
      <c r="AP213" t="str">
        <f t="shared" si="14"/>
        <v>Medium</v>
      </c>
      <c r="AQ213" t="str">
        <f t="shared" si="15"/>
        <v>Low</v>
      </c>
    </row>
    <row r="214" spans="1:43" x14ac:dyDescent="0.3">
      <c r="A214">
        <v>213</v>
      </c>
      <c r="B214" t="s">
        <v>16</v>
      </c>
      <c r="C214" t="s">
        <v>17</v>
      </c>
      <c r="D214" s="1">
        <v>46069</v>
      </c>
      <c r="E214" t="s">
        <v>38</v>
      </c>
      <c r="F214">
        <v>0</v>
      </c>
      <c r="G214">
        <v>17</v>
      </c>
      <c r="H214" t="s">
        <v>40</v>
      </c>
      <c r="I214" t="s">
        <v>42</v>
      </c>
      <c r="J214">
        <v>1.08</v>
      </c>
      <c r="K214" t="s">
        <v>12</v>
      </c>
      <c r="L214">
        <v>0</v>
      </c>
      <c r="M214">
        <v>4.33</v>
      </c>
      <c r="N214">
        <v>87</v>
      </c>
      <c r="O214" t="s">
        <v>13</v>
      </c>
      <c r="P214">
        <v>21</v>
      </c>
      <c r="Q214">
        <v>5.0199999999999996</v>
      </c>
      <c r="R214">
        <v>52.6</v>
      </c>
      <c r="S214">
        <v>119.13</v>
      </c>
      <c r="T214">
        <v>97.46</v>
      </c>
      <c r="U214">
        <v>1.34</v>
      </c>
      <c r="V214">
        <v>40.5</v>
      </c>
      <c r="W214">
        <v>257.08999999999997</v>
      </c>
      <c r="X214">
        <v>42.9</v>
      </c>
      <c r="Y214">
        <v>105.19</v>
      </c>
      <c r="Z214">
        <v>12.3</v>
      </c>
      <c r="AA214">
        <v>5.0999999999999996</v>
      </c>
      <c r="AB214">
        <v>239.69</v>
      </c>
      <c r="AC214">
        <v>273.41064638783268</v>
      </c>
      <c r="AD214">
        <v>47.747011952191237</v>
      </c>
      <c r="AE214">
        <v>86.44</v>
      </c>
      <c r="AF214">
        <v>15.63</v>
      </c>
      <c r="AG214">
        <v>1</v>
      </c>
      <c r="AH214">
        <v>19.059999999999999</v>
      </c>
      <c r="AI214">
        <v>106.06</v>
      </c>
      <c r="AJ214">
        <v>277.66000000000003</v>
      </c>
      <c r="AK214">
        <v>75.92</v>
      </c>
      <c r="AL214" t="s">
        <v>23</v>
      </c>
      <c r="AM214" t="s">
        <v>24</v>
      </c>
      <c r="AN214" t="str">
        <f t="shared" si="12"/>
        <v>Evening</v>
      </c>
      <c r="AO214" t="str">
        <f t="shared" si="13"/>
        <v>Peak</v>
      </c>
      <c r="AP214" t="str">
        <f t="shared" si="14"/>
        <v>High</v>
      </c>
      <c r="AQ214" t="str">
        <f t="shared" si="15"/>
        <v>High</v>
      </c>
    </row>
    <row r="215" spans="1:43" x14ac:dyDescent="0.3">
      <c r="A215">
        <v>214</v>
      </c>
      <c r="B215" t="s">
        <v>29</v>
      </c>
      <c r="C215" t="s">
        <v>30</v>
      </c>
      <c r="D215" s="1">
        <v>46177</v>
      </c>
      <c r="E215" t="s">
        <v>41</v>
      </c>
      <c r="F215">
        <v>0</v>
      </c>
      <c r="G215">
        <v>14</v>
      </c>
      <c r="H215" t="s">
        <v>43</v>
      </c>
      <c r="I215" t="s">
        <v>33</v>
      </c>
      <c r="J215">
        <v>1</v>
      </c>
      <c r="K215" t="s">
        <v>21</v>
      </c>
      <c r="L215">
        <v>0</v>
      </c>
      <c r="M215">
        <v>3.2</v>
      </c>
      <c r="N215">
        <v>35</v>
      </c>
      <c r="O215" t="s">
        <v>22</v>
      </c>
      <c r="P215">
        <v>7</v>
      </c>
      <c r="Q215">
        <v>6.08</v>
      </c>
      <c r="R215">
        <v>54.9</v>
      </c>
      <c r="S215">
        <v>98.34</v>
      </c>
      <c r="T215">
        <v>40.549999999999997</v>
      </c>
      <c r="U215">
        <v>1</v>
      </c>
      <c r="V215">
        <v>0</v>
      </c>
      <c r="W215">
        <v>138.88999999999999</v>
      </c>
      <c r="X215">
        <v>35.700000000000003</v>
      </c>
      <c r="Y215">
        <v>100.76</v>
      </c>
      <c r="Z215">
        <v>17.14</v>
      </c>
      <c r="AA215">
        <v>2.1</v>
      </c>
      <c r="AB215">
        <v>119.65</v>
      </c>
      <c r="AC215">
        <v>130.76502732240439</v>
      </c>
      <c r="AD215">
        <v>19.679276315789476</v>
      </c>
      <c r="AE215">
        <v>82.9</v>
      </c>
      <c r="AF215">
        <v>19.559999999999999</v>
      </c>
      <c r="AG215">
        <v>0</v>
      </c>
      <c r="AH215">
        <v>32.35</v>
      </c>
      <c r="AI215">
        <v>67.349999999999994</v>
      </c>
      <c r="AJ215">
        <v>126.13</v>
      </c>
      <c r="AK215">
        <v>60</v>
      </c>
      <c r="AL215" t="s">
        <v>14</v>
      </c>
      <c r="AM215" t="s">
        <v>15</v>
      </c>
      <c r="AN215" t="str">
        <f t="shared" si="12"/>
        <v>Afternoon</v>
      </c>
      <c r="AO215" t="str">
        <f t="shared" si="13"/>
        <v>Off-Peak</v>
      </c>
      <c r="AP215" t="str">
        <f t="shared" si="14"/>
        <v>Low</v>
      </c>
      <c r="AQ215" t="str">
        <f t="shared" si="15"/>
        <v>Low</v>
      </c>
    </row>
    <row r="216" spans="1:43" x14ac:dyDescent="0.3">
      <c r="A216">
        <v>215</v>
      </c>
      <c r="B216" t="s">
        <v>16</v>
      </c>
      <c r="C216" t="s">
        <v>17</v>
      </c>
      <c r="D216" s="1">
        <v>46049</v>
      </c>
      <c r="E216" t="s">
        <v>44</v>
      </c>
      <c r="F216">
        <v>0</v>
      </c>
      <c r="G216">
        <v>13</v>
      </c>
      <c r="H216" t="s">
        <v>19</v>
      </c>
      <c r="I216" t="s">
        <v>39</v>
      </c>
      <c r="J216">
        <v>1.05</v>
      </c>
      <c r="K216" t="s">
        <v>12</v>
      </c>
      <c r="L216">
        <v>0</v>
      </c>
      <c r="M216">
        <v>2.41</v>
      </c>
      <c r="N216">
        <v>31</v>
      </c>
      <c r="O216" t="s">
        <v>22</v>
      </c>
      <c r="P216">
        <v>4</v>
      </c>
      <c r="Q216">
        <v>5.12</v>
      </c>
      <c r="R216">
        <v>35.5</v>
      </c>
      <c r="S216">
        <v>111.39</v>
      </c>
      <c r="T216">
        <v>38.200000000000003</v>
      </c>
      <c r="U216">
        <v>1</v>
      </c>
      <c r="V216">
        <v>0</v>
      </c>
      <c r="W216">
        <v>149.59</v>
      </c>
      <c r="X216">
        <v>36</v>
      </c>
      <c r="Y216">
        <v>109.61</v>
      </c>
      <c r="Z216">
        <v>15.59</v>
      </c>
      <c r="AA216">
        <v>4.3099999999999996</v>
      </c>
      <c r="AB216">
        <v>129.69</v>
      </c>
      <c r="AC216">
        <v>219.19436619718309</v>
      </c>
      <c r="AD216">
        <v>25.330078125</v>
      </c>
      <c r="AE216">
        <v>66.08</v>
      </c>
      <c r="AF216">
        <v>15.31</v>
      </c>
      <c r="AG216">
        <v>0</v>
      </c>
      <c r="AH216">
        <v>14.07</v>
      </c>
      <c r="AI216">
        <v>45.07</v>
      </c>
      <c r="AJ216">
        <v>242.11</v>
      </c>
      <c r="AK216">
        <v>69.12</v>
      </c>
      <c r="AL216" t="s">
        <v>14</v>
      </c>
      <c r="AM216" t="s">
        <v>15</v>
      </c>
      <c r="AN216" t="str">
        <f t="shared" si="12"/>
        <v>Afternoon</v>
      </c>
      <c r="AO216" t="str">
        <f t="shared" si="13"/>
        <v>Off-Peak</v>
      </c>
      <c r="AP216" t="str">
        <f t="shared" si="14"/>
        <v>Medium</v>
      </c>
      <c r="AQ216" t="str">
        <f t="shared" si="15"/>
        <v>Low</v>
      </c>
    </row>
    <row r="217" spans="1:43" x14ac:dyDescent="0.3">
      <c r="A217">
        <v>216</v>
      </c>
      <c r="B217" t="s">
        <v>14</v>
      </c>
      <c r="C217" t="s">
        <v>8</v>
      </c>
      <c r="D217" s="1">
        <v>46195</v>
      </c>
      <c r="E217" t="s">
        <v>38</v>
      </c>
      <c r="F217">
        <v>0</v>
      </c>
      <c r="G217">
        <v>8</v>
      </c>
      <c r="H217" t="s">
        <v>49</v>
      </c>
      <c r="I217" t="s">
        <v>33</v>
      </c>
      <c r="J217">
        <v>1</v>
      </c>
      <c r="K217" t="s">
        <v>12</v>
      </c>
      <c r="L217">
        <v>0</v>
      </c>
      <c r="M217">
        <v>3.56</v>
      </c>
      <c r="N217">
        <v>11</v>
      </c>
      <c r="O217" t="s">
        <v>22</v>
      </c>
      <c r="P217">
        <v>4</v>
      </c>
      <c r="Q217">
        <v>13.63</v>
      </c>
      <c r="R217">
        <v>81.8</v>
      </c>
      <c r="S217">
        <v>171.45</v>
      </c>
      <c r="T217">
        <v>12.15</v>
      </c>
      <c r="U217">
        <v>1</v>
      </c>
      <c r="V217">
        <v>0</v>
      </c>
      <c r="W217">
        <v>183.6</v>
      </c>
      <c r="X217">
        <v>41.2</v>
      </c>
      <c r="Y217">
        <v>104.91</v>
      </c>
      <c r="Z217">
        <v>34.69</v>
      </c>
      <c r="AA217">
        <v>8.06</v>
      </c>
      <c r="AB217">
        <v>140.85</v>
      </c>
      <c r="AC217">
        <v>103.31295843520782</v>
      </c>
      <c r="AD217">
        <v>10.333822450476887</v>
      </c>
      <c r="AE217">
        <v>78.91</v>
      </c>
      <c r="AF217">
        <v>15.56</v>
      </c>
      <c r="AG217">
        <v>0</v>
      </c>
      <c r="AH217">
        <v>23.94</v>
      </c>
      <c r="AI217">
        <v>34.94</v>
      </c>
      <c r="AJ217">
        <v>117.26</v>
      </c>
      <c r="AK217">
        <v>64.819999999999993</v>
      </c>
      <c r="AL217" t="s">
        <v>14</v>
      </c>
      <c r="AM217" t="s">
        <v>15</v>
      </c>
      <c r="AN217" t="str">
        <f t="shared" si="12"/>
        <v>Morning</v>
      </c>
      <c r="AO217" t="str">
        <f t="shared" si="13"/>
        <v>Peak</v>
      </c>
      <c r="AP217" t="str">
        <f t="shared" si="14"/>
        <v>Low</v>
      </c>
      <c r="AQ217" t="str">
        <f t="shared" si="15"/>
        <v>Low</v>
      </c>
    </row>
    <row r="218" spans="1:43" x14ac:dyDescent="0.3">
      <c r="A218">
        <v>217</v>
      </c>
      <c r="B218" t="s">
        <v>7</v>
      </c>
      <c r="C218" t="s">
        <v>8</v>
      </c>
      <c r="D218" s="1">
        <v>46279</v>
      </c>
      <c r="E218" t="s">
        <v>38</v>
      </c>
      <c r="F218">
        <v>0</v>
      </c>
      <c r="G218">
        <v>14</v>
      </c>
      <c r="H218" t="s">
        <v>10</v>
      </c>
      <c r="I218" t="s">
        <v>37</v>
      </c>
      <c r="J218">
        <v>1.02</v>
      </c>
      <c r="K218" t="s">
        <v>12</v>
      </c>
      <c r="L218">
        <v>0</v>
      </c>
      <c r="M218">
        <v>5</v>
      </c>
      <c r="N218">
        <v>88</v>
      </c>
      <c r="O218" t="s">
        <v>13</v>
      </c>
      <c r="P218">
        <v>22</v>
      </c>
      <c r="Q218">
        <v>10.44</v>
      </c>
      <c r="R218">
        <v>79.599999999999994</v>
      </c>
      <c r="S218">
        <v>135.97</v>
      </c>
      <c r="T218">
        <v>97.03</v>
      </c>
      <c r="U218">
        <v>1</v>
      </c>
      <c r="V218">
        <v>0</v>
      </c>
      <c r="W218">
        <v>233</v>
      </c>
      <c r="X218">
        <v>40</v>
      </c>
      <c r="Y218">
        <v>101.9</v>
      </c>
      <c r="Z218">
        <v>26.59</v>
      </c>
      <c r="AA218">
        <v>3.12</v>
      </c>
      <c r="AB218">
        <v>203.29</v>
      </c>
      <c r="AC218">
        <v>153.23366834170855</v>
      </c>
      <c r="AD218">
        <v>19.472222222222221</v>
      </c>
      <c r="AE218">
        <v>84.25</v>
      </c>
      <c r="AF218">
        <v>17.89</v>
      </c>
      <c r="AG218">
        <v>1</v>
      </c>
      <c r="AH218">
        <v>27.9</v>
      </c>
      <c r="AI218">
        <v>115.9</v>
      </c>
      <c r="AJ218">
        <v>153.79</v>
      </c>
      <c r="AK218">
        <v>67.02</v>
      </c>
      <c r="AL218" t="s">
        <v>14</v>
      </c>
      <c r="AM218" t="s">
        <v>15</v>
      </c>
      <c r="AN218" t="str">
        <f t="shared" si="12"/>
        <v>Afternoon</v>
      </c>
      <c r="AO218" t="str">
        <f t="shared" si="13"/>
        <v>Off-Peak</v>
      </c>
      <c r="AP218" t="str">
        <f t="shared" si="14"/>
        <v>Medium</v>
      </c>
      <c r="AQ218" t="str">
        <f t="shared" si="15"/>
        <v>High</v>
      </c>
    </row>
    <row r="219" spans="1:43" x14ac:dyDescent="0.3">
      <c r="A219">
        <v>218</v>
      </c>
      <c r="B219" t="s">
        <v>7</v>
      </c>
      <c r="C219" t="s">
        <v>8</v>
      </c>
      <c r="D219" s="1">
        <v>46036</v>
      </c>
      <c r="E219" t="s">
        <v>18</v>
      </c>
      <c r="F219">
        <v>0</v>
      </c>
      <c r="G219">
        <v>19</v>
      </c>
      <c r="H219" t="s">
        <v>51</v>
      </c>
      <c r="I219" t="s">
        <v>20</v>
      </c>
      <c r="J219">
        <v>1.25</v>
      </c>
      <c r="K219" t="s">
        <v>34</v>
      </c>
      <c r="L219">
        <v>1</v>
      </c>
      <c r="M219">
        <v>4.3</v>
      </c>
      <c r="N219">
        <v>97</v>
      </c>
      <c r="O219" t="s">
        <v>13</v>
      </c>
      <c r="P219">
        <v>53</v>
      </c>
      <c r="Q219">
        <v>6.76</v>
      </c>
      <c r="R219">
        <v>55</v>
      </c>
      <c r="S219">
        <v>104.44</v>
      </c>
      <c r="T219">
        <v>100</v>
      </c>
      <c r="U219">
        <v>1</v>
      </c>
      <c r="V219">
        <v>0</v>
      </c>
      <c r="W219">
        <v>204.44</v>
      </c>
      <c r="X219">
        <v>44.2</v>
      </c>
      <c r="Y219">
        <v>102.71</v>
      </c>
      <c r="Z219">
        <v>15.69</v>
      </c>
      <c r="AA219">
        <v>8.5500000000000007</v>
      </c>
      <c r="AB219">
        <v>180.2</v>
      </c>
      <c r="AC219">
        <v>196.58181818181816</v>
      </c>
      <c r="AD219">
        <v>26.65680473372781</v>
      </c>
      <c r="AE219">
        <v>70.319999999999993</v>
      </c>
      <c r="AF219">
        <v>16.600000000000001</v>
      </c>
      <c r="AG219">
        <v>1</v>
      </c>
      <c r="AH219">
        <v>24.97</v>
      </c>
      <c r="AI219">
        <v>121.97</v>
      </c>
      <c r="AJ219">
        <v>194.04</v>
      </c>
      <c r="AK219">
        <v>76.34</v>
      </c>
      <c r="AL219" t="s">
        <v>14</v>
      </c>
      <c r="AM219" t="s">
        <v>15</v>
      </c>
      <c r="AN219" t="str">
        <f t="shared" si="12"/>
        <v>Night</v>
      </c>
      <c r="AO219" t="str">
        <f t="shared" si="13"/>
        <v>Peak</v>
      </c>
      <c r="AP219" t="str">
        <f t="shared" si="14"/>
        <v>Medium</v>
      </c>
      <c r="AQ219" t="str">
        <f t="shared" si="15"/>
        <v>High</v>
      </c>
    </row>
    <row r="220" spans="1:43" x14ac:dyDescent="0.3">
      <c r="A220">
        <v>219</v>
      </c>
      <c r="B220" t="s">
        <v>29</v>
      </c>
      <c r="C220" t="s">
        <v>30</v>
      </c>
      <c r="D220" s="1">
        <v>46192</v>
      </c>
      <c r="E220" t="s">
        <v>9</v>
      </c>
      <c r="F220">
        <v>0</v>
      </c>
      <c r="G220">
        <v>17</v>
      </c>
      <c r="H220" t="s">
        <v>32</v>
      </c>
      <c r="I220" t="s">
        <v>11</v>
      </c>
      <c r="J220">
        <v>1.18</v>
      </c>
      <c r="K220" t="s">
        <v>21</v>
      </c>
      <c r="L220">
        <v>0</v>
      </c>
      <c r="M220">
        <v>4.16</v>
      </c>
      <c r="N220">
        <v>66</v>
      </c>
      <c r="O220" t="s">
        <v>35</v>
      </c>
      <c r="P220">
        <v>19</v>
      </c>
      <c r="Q220">
        <v>8.3000000000000007</v>
      </c>
      <c r="R220">
        <v>59.5</v>
      </c>
      <c r="S220">
        <v>115.49</v>
      </c>
      <c r="T220">
        <v>77.819999999999993</v>
      </c>
      <c r="U220">
        <v>1</v>
      </c>
      <c r="V220">
        <v>0</v>
      </c>
      <c r="W220">
        <v>193.31</v>
      </c>
      <c r="X220">
        <v>35.6</v>
      </c>
      <c r="Y220">
        <v>107.98</v>
      </c>
      <c r="Z220">
        <v>25.19</v>
      </c>
      <c r="AA220">
        <v>10.199999999999999</v>
      </c>
      <c r="AB220">
        <v>157.91999999999999</v>
      </c>
      <c r="AC220">
        <v>159.24705882352939</v>
      </c>
      <c r="AD220">
        <v>19.026506024096381</v>
      </c>
      <c r="AE220">
        <v>76.61</v>
      </c>
      <c r="AF220">
        <v>15.13</v>
      </c>
      <c r="AG220">
        <v>1</v>
      </c>
      <c r="AH220">
        <v>16.22</v>
      </c>
      <c r="AI220">
        <v>82.22</v>
      </c>
      <c r="AJ220">
        <v>158.47999999999999</v>
      </c>
      <c r="AK220">
        <v>66.400000000000006</v>
      </c>
      <c r="AL220" t="s">
        <v>23</v>
      </c>
      <c r="AM220" t="s">
        <v>24</v>
      </c>
      <c r="AN220" t="str">
        <f t="shared" si="12"/>
        <v>Evening</v>
      </c>
      <c r="AO220" t="str">
        <f t="shared" si="13"/>
        <v>Peak</v>
      </c>
      <c r="AP220" t="str">
        <f t="shared" si="14"/>
        <v>Medium</v>
      </c>
      <c r="AQ220" t="str">
        <f t="shared" si="15"/>
        <v>Medium</v>
      </c>
    </row>
    <row r="221" spans="1:43" x14ac:dyDescent="0.3">
      <c r="A221">
        <v>220</v>
      </c>
      <c r="B221" t="s">
        <v>23</v>
      </c>
      <c r="C221" t="s">
        <v>17</v>
      </c>
      <c r="D221" s="1">
        <v>46266</v>
      </c>
      <c r="E221" t="s">
        <v>44</v>
      </c>
      <c r="F221">
        <v>0</v>
      </c>
      <c r="G221">
        <v>21</v>
      </c>
      <c r="H221" t="s">
        <v>19</v>
      </c>
      <c r="I221" t="s">
        <v>20</v>
      </c>
      <c r="J221">
        <v>1.25</v>
      </c>
      <c r="K221" t="s">
        <v>34</v>
      </c>
      <c r="L221">
        <v>1</v>
      </c>
      <c r="M221">
        <v>4.24</v>
      </c>
      <c r="N221">
        <v>82</v>
      </c>
      <c r="O221" t="s">
        <v>13</v>
      </c>
      <c r="P221">
        <v>17</v>
      </c>
      <c r="Q221">
        <v>4.99</v>
      </c>
      <c r="R221">
        <v>52.5</v>
      </c>
      <c r="S221">
        <v>113.2</v>
      </c>
      <c r="T221">
        <v>91.23</v>
      </c>
      <c r="U221">
        <v>1.43</v>
      </c>
      <c r="V221">
        <v>48.68</v>
      </c>
      <c r="W221">
        <v>253.11</v>
      </c>
      <c r="X221">
        <v>37.5</v>
      </c>
      <c r="Y221">
        <v>106.34</v>
      </c>
      <c r="Z221">
        <v>14.16</v>
      </c>
      <c r="AA221">
        <v>5.18</v>
      </c>
      <c r="AB221">
        <v>233.77</v>
      </c>
      <c r="AC221">
        <v>267.16571428571427</v>
      </c>
      <c r="AD221">
        <v>46.84769539078156</v>
      </c>
      <c r="AE221">
        <v>81.290000000000006</v>
      </c>
      <c r="AF221">
        <v>13.17</v>
      </c>
      <c r="AG221">
        <v>1</v>
      </c>
      <c r="AH221">
        <v>-16.23</v>
      </c>
      <c r="AI221">
        <v>65.77</v>
      </c>
      <c r="AJ221">
        <v>294.92</v>
      </c>
      <c r="AK221">
        <v>74.319999999999993</v>
      </c>
      <c r="AL221" t="s">
        <v>23</v>
      </c>
      <c r="AM221" t="s">
        <v>24</v>
      </c>
      <c r="AN221" t="str">
        <f t="shared" si="12"/>
        <v>Night</v>
      </c>
      <c r="AO221" t="str">
        <f t="shared" si="13"/>
        <v>Off-Peak</v>
      </c>
      <c r="AP221" t="str">
        <f t="shared" si="14"/>
        <v>High</v>
      </c>
      <c r="AQ221" t="str">
        <f t="shared" si="15"/>
        <v>High</v>
      </c>
    </row>
    <row r="222" spans="1:43" x14ac:dyDescent="0.3">
      <c r="A222">
        <v>221</v>
      </c>
      <c r="B222" t="s">
        <v>7</v>
      </c>
      <c r="C222" t="s">
        <v>8</v>
      </c>
      <c r="D222" s="1">
        <v>46241</v>
      </c>
      <c r="E222" t="s">
        <v>9</v>
      </c>
      <c r="F222">
        <v>0</v>
      </c>
      <c r="G222">
        <v>9</v>
      </c>
      <c r="H222" t="s">
        <v>49</v>
      </c>
      <c r="I222" t="s">
        <v>28</v>
      </c>
      <c r="J222">
        <v>1.03</v>
      </c>
      <c r="K222" t="s">
        <v>34</v>
      </c>
      <c r="L222">
        <v>1</v>
      </c>
      <c r="M222">
        <v>3.11</v>
      </c>
      <c r="N222">
        <v>44</v>
      </c>
      <c r="O222" t="s">
        <v>35</v>
      </c>
      <c r="P222">
        <v>23</v>
      </c>
      <c r="Q222">
        <v>3.99</v>
      </c>
      <c r="R222">
        <v>43.9</v>
      </c>
      <c r="S222">
        <v>81.069999999999993</v>
      </c>
      <c r="T222">
        <v>45.63</v>
      </c>
      <c r="U222">
        <v>1</v>
      </c>
      <c r="V222">
        <v>0</v>
      </c>
      <c r="W222">
        <v>126.7</v>
      </c>
      <c r="X222">
        <v>38.1</v>
      </c>
      <c r="Y222">
        <v>104.65</v>
      </c>
      <c r="Z222">
        <v>10.94</v>
      </c>
      <c r="AA222">
        <v>2.82</v>
      </c>
      <c r="AB222">
        <v>112.94</v>
      </c>
      <c r="AC222">
        <v>154.35990888382688</v>
      </c>
      <c r="AD222">
        <v>28.305764411027567</v>
      </c>
      <c r="AE222">
        <v>76.83</v>
      </c>
      <c r="AF222">
        <v>16.2</v>
      </c>
      <c r="AG222">
        <v>0</v>
      </c>
      <c r="AH222">
        <v>2.87</v>
      </c>
      <c r="AI222">
        <v>46.87</v>
      </c>
      <c r="AJ222">
        <v>177.02</v>
      </c>
      <c r="AK222">
        <v>72.48</v>
      </c>
      <c r="AL222" t="s">
        <v>23</v>
      </c>
      <c r="AM222" t="s">
        <v>24</v>
      </c>
      <c r="AN222" t="str">
        <f t="shared" si="12"/>
        <v>Morning</v>
      </c>
      <c r="AO222" t="str">
        <f t="shared" si="13"/>
        <v>Peak</v>
      </c>
      <c r="AP222" t="str">
        <f t="shared" si="14"/>
        <v>Medium</v>
      </c>
      <c r="AQ222" t="str">
        <f t="shared" si="15"/>
        <v>Medium</v>
      </c>
    </row>
    <row r="223" spans="1:43" x14ac:dyDescent="0.3">
      <c r="A223">
        <v>222</v>
      </c>
      <c r="B223" t="s">
        <v>29</v>
      </c>
      <c r="C223" t="s">
        <v>30</v>
      </c>
      <c r="D223" s="1">
        <v>46124</v>
      </c>
      <c r="E223" t="s">
        <v>26</v>
      </c>
      <c r="F223">
        <v>1</v>
      </c>
      <c r="G223">
        <v>7</v>
      </c>
      <c r="H223" t="s">
        <v>47</v>
      </c>
      <c r="I223" t="s">
        <v>28</v>
      </c>
      <c r="J223">
        <v>1.03</v>
      </c>
      <c r="K223" t="s">
        <v>34</v>
      </c>
      <c r="L223">
        <v>1</v>
      </c>
      <c r="M223">
        <v>4.74</v>
      </c>
      <c r="N223">
        <v>41</v>
      </c>
      <c r="O223" t="s">
        <v>35</v>
      </c>
      <c r="P223">
        <v>14</v>
      </c>
      <c r="Q223">
        <v>2.96</v>
      </c>
      <c r="R223">
        <v>38</v>
      </c>
      <c r="S223">
        <v>78.47</v>
      </c>
      <c r="T223">
        <v>47.72</v>
      </c>
      <c r="U223">
        <v>1</v>
      </c>
      <c r="V223">
        <v>0</v>
      </c>
      <c r="W223">
        <v>126.19</v>
      </c>
      <c r="X223">
        <v>41.6</v>
      </c>
      <c r="Y223">
        <v>103.32</v>
      </c>
      <c r="Z223">
        <v>7.35</v>
      </c>
      <c r="AA223">
        <v>3.4</v>
      </c>
      <c r="AB223">
        <v>115.44</v>
      </c>
      <c r="AC223">
        <v>182.27368421052631</v>
      </c>
      <c r="AD223">
        <v>39</v>
      </c>
      <c r="AE223">
        <v>61.6</v>
      </c>
      <c r="AF223">
        <v>17.8</v>
      </c>
      <c r="AG223">
        <v>1</v>
      </c>
      <c r="AH223">
        <v>7.5</v>
      </c>
      <c r="AI223">
        <v>48.5</v>
      </c>
      <c r="AJ223">
        <v>195.55</v>
      </c>
      <c r="AK223">
        <v>71.34</v>
      </c>
      <c r="AL223" t="s">
        <v>23</v>
      </c>
      <c r="AM223" t="s">
        <v>24</v>
      </c>
      <c r="AN223" t="str">
        <f t="shared" si="12"/>
        <v>Morning</v>
      </c>
      <c r="AO223" t="str">
        <f t="shared" si="13"/>
        <v>Peak</v>
      </c>
      <c r="AP223" t="str">
        <f t="shared" si="14"/>
        <v>Medium</v>
      </c>
      <c r="AQ223" t="str">
        <f t="shared" si="15"/>
        <v>Medium</v>
      </c>
    </row>
    <row r="224" spans="1:43" x14ac:dyDescent="0.3">
      <c r="A224">
        <v>223</v>
      </c>
      <c r="B224" t="s">
        <v>25</v>
      </c>
      <c r="C224" t="s">
        <v>17</v>
      </c>
      <c r="D224" s="1">
        <v>46049</v>
      </c>
      <c r="E224" t="s">
        <v>44</v>
      </c>
      <c r="F224">
        <v>0</v>
      </c>
      <c r="G224">
        <v>15</v>
      </c>
      <c r="H224" t="s">
        <v>19</v>
      </c>
      <c r="I224" t="s">
        <v>39</v>
      </c>
      <c r="J224">
        <v>1.05</v>
      </c>
      <c r="K224" t="s">
        <v>12</v>
      </c>
      <c r="L224">
        <v>0</v>
      </c>
      <c r="M224">
        <v>2.46</v>
      </c>
      <c r="N224">
        <v>31</v>
      </c>
      <c r="O224" t="s">
        <v>22</v>
      </c>
      <c r="P224">
        <v>7</v>
      </c>
      <c r="Q224">
        <v>1.63</v>
      </c>
      <c r="R224">
        <v>26.2</v>
      </c>
      <c r="S224">
        <v>88.04</v>
      </c>
      <c r="T224">
        <v>28.55</v>
      </c>
      <c r="U224">
        <v>1</v>
      </c>
      <c r="V224">
        <v>0</v>
      </c>
      <c r="W224">
        <v>116.59</v>
      </c>
      <c r="X224">
        <v>38.700000000000003</v>
      </c>
      <c r="Y224">
        <v>109.01</v>
      </c>
      <c r="Z224">
        <v>4.58</v>
      </c>
      <c r="AA224">
        <v>5.58</v>
      </c>
      <c r="AB224">
        <v>106.43</v>
      </c>
      <c r="AC224">
        <v>243.73282442748095</v>
      </c>
      <c r="AD224">
        <v>65.294478527607367</v>
      </c>
      <c r="AE224">
        <v>75.53</v>
      </c>
      <c r="AF224">
        <v>11.57</v>
      </c>
      <c r="AG224">
        <v>0</v>
      </c>
      <c r="AH224">
        <v>1.5</v>
      </c>
      <c r="AI224">
        <v>32.5</v>
      </c>
      <c r="AJ224">
        <v>219.18</v>
      </c>
      <c r="AK224">
        <v>68.09</v>
      </c>
      <c r="AL224" t="s">
        <v>23</v>
      </c>
      <c r="AM224" t="s">
        <v>24</v>
      </c>
      <c r="AN224" t="str">
        <f t="shared" si="12"/>
        <v>Evening</v>
      </c>
      <c r="AO224" t="str">
        <f t="shared" si="13"/>
        <v>Off-Peak</v>
      </c>
      <c r="AP224" t="str">
        <f t="shared" si="14"/>
        <v>Medium</v>
      </c>
      <c r="AQ224" t="str">
        <f t="shared" si="15"/>
        <v>Low</v>
      </c>
    </row>
    <row r="225" spans="1:43" x14ac:dyDescent="0.3">
      <c r="A225">
        <v>224</v>
      </c>
      <c r="B225" t="s">
        <v>14</v>
      </c>
      <c r="C225" t="s">
        <v>8</v>
      </c>
      <c r="D225" s="1">
        <v>46261</v>
      </c>
      <c r="E225" t="s">
        <v>41</v>
      </c>
      <c r="F225">
        <v>0</v>
      </c>
      <c r="G225">
        <v>9</v>
      </c>
      <c r="H225" t="s">
        <v>49</v>
      </c>
      <c r="I225" t="s">
        <v>37</v>
      </c>
      <c r="J225">
        <v>1.02</v>
      </c>
      <c r="K225" t="s">
        <v>34</v>
      </c>
      <c r="L225">
        <v>1</v>
      </c>
      <c r="M225">
        <v>3.12</v>
      </c>
      <c r="N225">
        <v>29</v>
      </c>
      <c r="O225" t="s">
        <v>22</v>
      </c>
      <c r="P225">
        <v>10</v>
      </c>
      <c r="Q225">
        <v>10.76</v>
      </c>
      <c r="R225">
        <v>62.8</v>
      </c>
      <c r="S225">
        <v>130.57</v>
      </c>
      <c r="T225">
        <v>33.19</v>
      </c>
      <c r="U225">
        <v>1</v>
      </c>
      <c r="V225">
        <v>0</v>
      </c>
      <c r="W225">
        <v>163.76</v>
      </c>
      <c r="X225">
        <v>37.1</v>
      </c>
      <c r="Y225">
        <v>107.73</v>
      </c>
      <c r="Z225">
        <v>31.26</v>
      </c>
      <c r="AA225">
        <v>10.130000000000001</v>
      </c>
      <c r="AB225">
        <v>122.37</v>
      </c>
      <c r="AC225">
        <v>116.91401273885351</v>
      </c>
      <c r="AD225">
        <v>11.372676579925651</v>
      </c>
      <c r="AE225">
        <v>79.41</v>
      </c>
      <c r="AF225">
        <v>16.18</v>
      </c>
      <c r="AG225">
        <v>0</v>
      </c>
      <c r="AH225">
        <v>2.4300000000000002</v>
      </c>
      <c r="AI225">
        <v>31.43</v>
      </c>
      <c r="AJ225">
        <v>133.13999999999999</v>
      </c>
      <c r="AK225">
        <v>73.13</v>
      </c>
      <c r="AL225" t="s">
        <v>23</v>
      </c>
      <c r="AM225" t="s">
        <v>24</v>
      </c>
      <c r="AN225" t="str">
        <f t="shared" si="12"/>
        <v>Morning</v>
      </c>
      <c r="AO225" t="str">
        <f t="shared" si="13"/>
        <v>Peak</v>
      </c>
      <c r="AP225" t="str">
        <f t="shared" si="14"/>
        <v>Low</v>
      </c>
      <c r="AQ225" t="str">
        <f t="shared" si="15"/>
        <v>Low</v>
      </c>
    </row>
    <row r="226" spans="1:43" x14ac:dyDescent="0.3">
      <c r="A226">
        <v>225</v>
      </c>
      <c r="B226" t="s">
        <v>16</v>
      </c>
      <c r="C226" t="s">
        <v>17</v>
      </c>
      <c r="D226" s="1">
        <v>46260</v>
      </c>
      <c r="E226" t="s">
        <v>18</v>
      </c>
      <c r="F226">
        <v>0</v>
      </c>
      <c r="G226">
        <v>16</v>
      </c>
      <c r="H226" t="s">
        <v>19</v>
      </c>
      <c r="I226" t="s">
        <v>42</v>
      </c>
      <c r="J226">
        <v>1.08</v>
      </c>
      <c r="K226" t="s">
        <v>12</v>
      </c>
      <c r="L226">
        <v>0</v>
      </c>
      <c r="M226">
        <v>1.73</v>
      </c>
      <c r="N226">
        <v>28</v>
      </c>
      <c r="O226" t="s">
        <v>22</v>
      </c>
      <c r="P226">
        <v>5</v>
      </c>
      <c r="Q226">
        <v>13.97</v>
      </c>
      <c r="R226">
        <v>73.3</v>
      </c>
      <c r="S226">
        <v>205.39</v>
      </c>
      <c r="T226">
        <v>25.14</v>
      </c>
      <c r="U226">
        <v>1.1000000000000001</v>
      </c>
      <c r="V226">
        <v>20.54</v>
      </c>
      <c r="W226">
        <v>251.07</v>
      </c>
      <c r="X226">
        <v>44</v>
      </c>
      <c r="Y226">
        <v>107.18</v>
      </c>
      <c r="Z226">
        <v>34.049999999999997</v>
      </c>
      <c r="AA226">
        <v>8.34</v>
      </c>
      <c r="AB226">
        <v>208.68</v>
      </c>
      <c r="AC226">
        <v>170.81582537517053</v>
      </c>
      <c r="AD226">
        <v>14.937723693629206</v>
      </c>
      <c r="AE226">
        <v>86.88</v>
      </c>
      <c r="AF226">
        <v>12.34</v>
      </c>
      <c r="AG226">
        <v>0</v>
      </c>
      <c r="AH226">
        <v>26.51</v>
      </c>
      <c r="AI226">
        <v>54.51</v>
      </c>
      <c r="AJ226">
        <v>190.36</v>
      </c>
      <c r="AK226">
        <v>67.94</v>
      </c>
      <c r="AL226" t="s">
        <v>23</v>
      </c>
      <c r="AM226" t="s">
        <v>24</v>
      </c>
      <c r="AN226" t="str">
        <f t="shared" si="12"/>
        <v>Evening</v>
      </c>
      <c r="AO226" t="str">
        <f t="shared" si="13"/>
        <v>Off-Peak</v>
      </c>
      <c r="AP226" t="str">
        <f t="shared" si="14"/>
        <v>Medium</v>
      </c>
      <c r="AQ226" t="str">
        <f t="shared" si="15"/>
        <v>Low</v>
      </c>
    </row>
    <row r="227" spans="1:43" x14ac:dyDescent="0.3">
      <c r="A227">
        <v>226</v>
      </c>
      <c r="B227" t="s">
        <v>48</v>
      </c>
      <c r="C227" t="s">
        <v>30</v>
      </c>
      <c r="D227" s="1">
        <v>46172</v>
      </c>
      <c r="E227" t="s">
        <v>31</v>
      </c>
      <c r="F227">
        <v>1</v>
      </c>
      <c r="G227">
        <v>21</v>
      </c>
      <c r="H227" t="s">
        <v>36</v>
      </c>
      <c r="I227" t="s">
        <v>11</v>
      </c>
      <c r="J227">
        <v>1.18</v>
      </c>
      <c r="K227" t="s">
        <v>12</v>
      </c>
      <c r="L227">
        <v>0</v>
      </c>
      <c r="M227">
        <v>2.39</v>
      </c>
      <c r="N227">
        <v>40</v>
      </c>
      <c r="O227" t="s">
        <v>35</v>
      </c>
      <c r="P227">
        <v>9</v>
      </c>
      <c r="Q227">
        <v>4.2699999999999996</v>
      </c>
      <c r="R227">
        <v>37.4</v>
      </c>
      <c r="S227">
        <v>89.73</v>
      </c>
      <c r="T227">
        <v>47.54</v>
      </c>
      <c r="U227">
        <v>1</v>
      </c>
      <c r="V227">
        <v>0</v>
      </c>
      <c r="W227">
        <v>137.27000000000001</v>
      </c>
      <c r="X227">
        <v>46.2</v>
      </c>
      <c r="Y227">
        <v>104.46</v>
      </c>
      <c r="Z227">
        <v>9.66</v>
      </c>
      <c r="AA227">
        <v>10.68</v>
      </c>
      <c r="AB227">
        <v>116.93</v>
      </c>
      <c r="AC227">
        <v>187.58823529411768</v>
      </c>
      <c r="AD227">
        <v>27.384074941451995</v>
      </c>
      <c r="AE227">
        <v>69.849999999999994</v>
      </c>
      <c r="AF227">
        <v>11.16</v>
      </c>
      <c r="AG227">
        <v>1</v>
      </c>
      <c r="AH227">
        <v>-8.35</v>
      </c>
      <c r="AI227">
        <v>31.65</v>
      </c>
      <c r="AJ227">
        <v>190.18</v>
      </c>
      <c r="AK227">
        <v>66.77</v>
      </c>
      <c r="AL227" t="s">
        <v>14</v>
      </c>
      <c r="AM227" t="s">
        <v>15</v>
      </c>
      <c r="AN227" t="str">
        <f t="shared" si="12"/>
        <v>Night</v>
      </c>
      <c r="AO227" t="str">
        <f t="shared" si="13"/>
        <v>Off-Peak</v>
      </c>
      <c r="AP227" t="str">
        <f t="shared" si="14"/>
        <v>Medium</v>
      </c>
      <c r="AQ227" t="str">
        <f t="shared" si="15"/>
        <v>Medium</v>
      </c>
    </row>
    <row r="228" spans="1:43" x14ac:dyDescent="0.3">
      <c r="A228">
        <v>227</v>
      </c>
      <c r="B228" t="s">
        <v>16</v>
      </c>
      <c r="C228" t="s">
        <v>17</v>
      </c>
      <c r="D228" s="1">
        <v>46275</v>
      </c>
      <c r="E228" t="s">
        <v>41</v>
      </c>
      <c r="F228">
        <v>0</v>
      </c>
      <c r="G228">
        <v>12</v>
      </c>
      <c r="H228" t="s">
        <v>19</v>
      </c>
      <c r="I228" t="s">
        <v>37</v>
      </c>
      <c r="J228">
        <v>1.02</v>
      </c>
      <c r="K228" t="s">
        <v>12</v>
      </c>
      <c r="L228">
        <v>0</v>
      </c>
      <c r="M228">
        <v>1.63</v>
      </c>
      <c r="N228">
        <v>19</v>
      </c>
      <c r="O228" t="s">
        <v>22</v>
      </c>
      <c r="P228">
        <v>3</v>
      </c>
      <c r="Q228">
        <v>4.32</v>
      </c>
      <c r="R228">
        <v>34.1</v>
      </c>
      <c r="S228">
        <v>97.3</v>
      </c>
      <c r="T228">
        <v>14.19</v>
      </c>
      <c r="U228">
        <v>1</v>
      </c>
      <c r="V228">
        <v>0</v>
      </c>
      <c r="W228">
        <v>111.49</v>
      </c>
      <c r="X228">
        <v>45.3</v>
      </c>
      <c r="Y228">
        <v>109.81</v>
      </c>
      <c r="Z228">
        <v>10.48</v>
      </c>
      <c r="AA228">
        <v>11.94</v>
      </c>
      <c r="AB228">
        <v>89.07</v>
      </c>
      <c r="AC228">
        <v>156.7214076246334</v>
      </c>
      <c r="AD228">
        <v>20.618055555555554</v>
      </c>
      <c r="AE228">
        <v>69.16</v>
      </c>
      <c r="AF228">
        <v>13.08</v>
      </c>
      <c r="AG228">
        <v>0</v>
      </c>
      <c r="AH228">
        <v>14.99</v>
      </c>
      <c r="AI228">
        <v>33.99</v>
      </c>
      <c r="AJ228">
        <v>186.26</v>
      </c>
      <c r="AK228">
        <v>65.61</v>
      </c>
      <c r="AL228" t="s">
        <v>14</v>
      </c>
      <c r="AM228" t="s">
        <v>15</v>
      </c>
      <c r="AN228" t="str">
        <f t="shared" si="12"/>
        <v>Afternoon</v>
      </c>
      <c r="AO228" t="str">
        <f t="shared" si="13"/>
        <v>Off-Peak</v>
      </c>
      <c r="AP228" t="str">
        <f t="shared" si="14"/>
        <v>Medium</v>
      </c>
      <c r="AQ228" t="str">
        <f t="shared" si="15"/>
        <v>Low</v>
      </c>
    </row>
    <row r="229" spans="1:43" x14ac:dyDescent="0.3">
      <c r="A229">
        <v>228</v>
      </c>
      <c r="B229" t="s">
        <v>25</v>
      </c>
      <c r="C229" t="s">
        <v>17</v>
      </c>
      <c r="D229" s="1">
        <v>46024</v>
      </c>
      <c r="E229" t="s">
        <v>9</v>
      </c>
      <c r="F229">
        <v>0</v>
      </c>
      <c r="G229">
        <v>15</v>
      </c>
      <c r="H229" t="s">
        <v>19</v>
      </c>
      <c r="I229" t="s">
        <v>28</v>
      </c>
      <c r="J229">
        <v>1.03</v>
      </c>
      <c r="K229" t="s">
        <v>12</v>
      </c>
      <c r="L229">
        <v>0</v>
      </c>
      <c r="M229">
        <v>3.51</v>
      </c>
      <c r="N229">
        <v>14</v>
      </c>
      <c r="O229" t="s">
        <v>22</v>
      </c>
      <c r="P229">
        <v>2</v>
      </c>
      <c r="Q229">
        <v>6.25</v>
      </c>
      <c r="R229">
        <v>45.3</v>
      </c>
      <c r="S229">
        <v>131.52000000000001</v>
      </c>
      <c r="T229">
        <v>18.68</v>
      </c>
      <c r="U229">
        <v>1.03</v>
      </c>
      <c r="V229">
        <v>3.95</v>
      </c>
      <c r="W229">
        <v>154.15</v>
      </c>
      <c r="X229">
        <v>39.1</v>
      </c>
      <c r="Y229">
        <v>107.1</v>
      </c>
      <c r="Z229">
        <v>17.11</v>
      </c>
      <c r="AA229">
        <v>4.03</v>
      </c>
      <c r="AB229">
        <v>133.01</v>
      </c>
      <c r="AC229">
        <v>176.17218543046357</v>
      </c>
      <c r="AD229">
        <v>21.281599999999997</v>
      </c>
      <c r="AE229">
        <v>71.45</v>
      </c>
      <c r="AF229">
        <v>19.329999999999998</v>
      </c>
      <c r="AG229">
        <v>0</v>
      </c>
      <c r="AH229">
        <v>7.75</v>
      </c>
      <c r="AI229">
        <v>21.75</v>
      </c>
      <c r="AJ229">
        <v>156.26</v>
      </c>
      <c r="AK229">
        <v>70.42</v>
      </c>
      <c r="AL229" t="s">
        <v>23</v>
      </c>
      <c r="AM229" t="s">
        <v>24</v>
      </c>
      <c r="AN229" t="str">
        <f t="shared" si="12"/>
        <v>Evening</v>
      </c>
      <c r="AO229" t="str">
        <f t="shared" si="13"/>
        <v>Off-Peak</v>
      </c>
      <c r="AP229" t="str">
        <f t="shared" si="14"/>
        <v>Medium</v>
      </c>
      <c r="AQ229" t="str">
        <f t="shared" si="15"/>
        <v>Low</v>
      </c>
    </row>
    <row r="230" spans="1:43" x14ac:dyDescent="0.3">
      <c r="A230">
        <v>229</v>
      </c>
      <c r="B230" t="s">
        <v>29</v>
      </c>
      <c r="C230" t="s">
        <v>30</v>
      </c>
      <c r="D230" s="1">
        <v>46182</v>
      </c>
      <c r="E230" t="s">
        <v>44</v>
      </c>
      <c r="F230">
        <v>0</v>
      </c>
      <c r="G230">
        <v>17</v>
      </c>
      <c r="H230" t="s">
        <v>32</v>
      </c>
      <c r="I230" t="s">
        <v>42</v>
      </c>
      <c r="J230">
        <v>1.08</v>
      </c>
      <c r="K230" t="s">
        <v>12</v>
      </c>
      <c r="L230">
        <v>0</v>
      </c>
      <c r="M230">
        <v>5</v>
      </c>
      <c r="N230">
        <v>67</v>
      </c>
      <c r="O230" t="s">
        <v>35</v>
      </c>
      <c r="P230">
        <v>13</v>
      </c>
      <c r="Q230">
        <v>3.72</v>
      </c>
      <c r="R230">
        <v>41.2</v>
      </c>
      <c r="S230">
        <v>78.2</v>
      </c>
      <c r="T230">
        <v>83.14</v>
      </c>
      <c r="U230">
        <v>1</v>
      </c>
      <c r="V230">
        <v>0</v>
      </c>
      <c r="W230">
        <v>161.34</v>
      </c>
      <c r="X230">
        <v>47.8</v>
      </c>
      <c r="Y230">
        <v>104.24</v>
      </c>
      <c r="Z230">
        <v>8.11</v>
      </c>
      <c r="AA230">
        <v>8.9499999999999993</v>
      </c>
      <c r="AB230">
        <v>144.28</v>
      </c>
      <c r="AC230">
        <v>210.11650485436891</v>
      </c>
      <c r="AD230">
        <v>38.784946236559136</v>
      </c>
      <c r="AE230">
        <v>79.69</v>
      </c>
      <c r="AF230">
        <v>19.57</v>
      </c>
      <c r="AG230">
        <v>1</v>
      </c>
      <c r="AH230">
        <v>-9.86</v>
      </c>
      <c r="AI230">
        <v>57.14</v>
      </c>
      <c r="AJ230">
        <v>228.57</v>
      </c>
      <c r="AK230">
        <v>72.92</v>
      </c>
      <c r="AL230" t="s">
        <v>23</v>
      </c>
      <c r="AM230" t="s">
        <v>24</v>
      </c>
      <c r="AN230" t="str">
        <f t="shared" si="12"/>
        <v>Evening</v>
      </c>
      <c r="AO230" t="str">
        <f t="shared" si="13"/>
        <v>Peak</v>
      </c>
      <c r="AP230" t="str">
        <f t="shared" si="14"/>
        <v>Medium</v>
      </c>
      <c r="AQ230" t="str">
        <f t="shared" si="15"/>
        <v>Medium</v>
      </c>
    </row>
    <row r="231" spans="1:43" x14ac:dyDescent="0.3">
      <c r="A231">
        <v>230</v>
      </c>
      <c r="B231" t="s">
        <v>14</v>
      </c>
      <c r="C231" t="s">
        <v>8</v>
      </c>
      <c r="D231" s="1">
        <v>46032</v>
      </c>
      <c r="E231" t="s">
        <v>31</v>
      </c>
      <c r="F231">
        <v>1</v>
      </c>
      <c r="G231">
        <v>9</v>
      </c>
      <c r="H231" t="s">
        <v>49</v>
      </c>
      <c r="I231" t="s">
        <v>33</v>
      </c>
      <c r="J231">
        <v>1</v>
      </c>
      <c r="K231" t="s">
        <v>12</v>
      </c>
      <c r="L231">
        <v>0</v>
      </c>
      <c r="M231">
        <v>2.71</v>
      </c>
      <c r="N231">
        <v>65</v>
      </c>
      <c r="O231" t="s">
        <v>35</v>
      </c>
      <c r="P231">
        <v>23</v>
      </c>
      <c r="Q231">
        <v>1.81</v>
      </c>
      <c r="R231">
        <v>21.7</v>
      </c>
      <c r="S231">
        <v>67.95</v>
      </c>
      <c r="T231">
        <v>69.38</v>
      </c>
      <c r="U231">
        <v>1</v>
      </c>
      <c r="V231">
        <v>0</v>
      </c>
      <c r="W231">
        <v>137.33000000000001</v>
      </c>
      <c r="X231">
        <v>44.2</v>
      </c>
      <c r="Y231">
        <v>109.61</v>
      </c>
      <c r="Z231">
        <v>4.5</v>
      </c>
      <c r="AA231">
        <v>6.67</v>
      </c>
      <c r="AB231">
        <v>126.16</v>
      </c>
      <c r="AC231">
        <v>348.82949308755764</v>
      </c>
      <c r="AD231">
        <v>69.701657458563531</v>
      </c>
      <c r="AE231">
        <v>77.98</v>
      </c>
      <c r="AF231">
        <v>15.68</v>
      </c>
      <c r="AG231">
        <v>1</v>
      </c>
      <c r="AH231">
        <v>-13.15</v>
      </c>
      <c r="AI231">
        <v>51.85</v>
      </c>
      <c r="AJ231">
        <v>334.14</v>
      </c>
      <c r="AK231">
        <v>77.930000000000007</v>
      </c>
      <c r="AL231" t="s">
        <v>14</v>
      </c>
      <c r="AM231" t="s">
        <v>15</v>
      </c>
      <c r="AN231" t="str">
        <f t="shared" si="12"/>
        <v>Morning</v>
      </c>
      <c r="AO231" t="str">
        <f t="shared" si="13"/>
        <v>Peak</v>
      </c>
      <c r="AP231" t="str">
        <f t="shared" si="14"/>
        <v>High</v>
      </c>
      <c r="AQ231" t="str">
        <f t="shared" si="15"/>
        <v>Medium</v>
      </c>
    </row>
    <row r="232" spans="1:43" x14ac:dyDescent="0.3">
      <c r="A232">
        <v>231</v>
      </c>
      <c r="B232" t="s">
        <v>29</v>
      </c>
      <c r="C232" t="s">
        <v>30</v>
      </c>
      <c r="D232" s="1">
        <v>46264</v>
      </c>
      <c r="E232" t="s">
        <v>26</v>
      </c>
      <c r="F232">
        <v>1</v>
      </c>
      <c r="G232">
        <v>21</v>
      </c>
      <c r="H232" t="s">
        <v>36</v>
      </c>
      <c r="I232" t="s">
        <v>20</v>
      </c>
      <c r="J232">
        <v>1.25</v>
      </c>
      <c r="K232" t="s">
        <v>12</v>
      </c>
      <c r="L232">
        <v>0</v>
      </c>
      <c r="M232">
        <v>1.67</v>
      </c>
      <c r="N232">
        <v>64</v>
      </c>
      <c r="O232" t="s">
        <v>35</v>
      </c>
      <c r="P232">
        <v>16</v>
      </c>
      <c r="Q232">
        <v>1.37</v>
      </c>
      <c r="R232">
        <v>23.1</v>
      </c>
      <c r="S232">
        <v>76.83</v>
      </c>
      <c r="T232">
        <v>50.52</v>
      </c>
      <c r="U232">
        <v>1</v>
      </c>
      <c r="V232">
        <v>0</v>
      </c>
      <c r="W232">
        <v>127.35</v>
      </c>
      <c r="X232">
        <v>44.2</v>
      </c>
      <c r="Y232">
        <v>108.96</v>
      </c>
      <c r="Z232">
        <v>3.37</v>
      </c>
      <c r="AA232">
        <v>6.93</v>
      </c>
      <c r="AB232">
        <v>117.05</v>
      </c>
      <c r="AC232">
        <v>304.02597402597399</v>
      </c>
      <c r="AD232">
        <v>85.43795620437956</v>
      </c>
      <c r="AE232">
        <v>81.95</v>
      </c>
      <c r="AF232">
        <v>12.8</v>
      </c>
      <c r="AG232">
        <v>1</v>
      </c>
      <c r="AH232">
        <v>-22.52</v>
      </c>
      <c r="AI232">
        <v>41.48</v>
      </c>
      <c r="AJ232">
        <v>319.85000000000002</v>
      </c>
      <c r="AK232">
        <v>66.87</v>
      </c>
      <c r="AL232" t="s">
        <v>14</v>
      </c>
      <c r="AM232" t="s">
        <v>15</v>
      </c>
      <c r="AN232" t="str">
        <f t="shared" si="12"/>
        <v>Night</v>
      </c>
      <c r="AO232" t="str">
        <f t="shared" si="13"/>
        <v>Off-Peak</v>
      </c>
      <c r="AP232" t="str">
        <f t="shared" si="14"/>
        <v>High</v>
      </c>
      <c r="AQ232" t="str">
        <f t="shared" si="15"/>
        <v>Medium</v>
      </c>
    </row>
    <row r="233" spans="1:43" x14ac:dyDescent="0.3">
      <c r="A233">
        <v>232</v>
      </c>
      <c r="B233" t="s">
        <v>16</v>
      </c>
      <c r="C233" t="s">
        <v>17</v>
      </c>
      <c r="D233" s="1">
        <v>46198</v>
      </c>
      <c r="E233" t="s">
        <v>41</v>
      </c>
      <c r="F233">
        <v>0</v>
      </c>
      <c r="G233">
        <v>10</v>
      </c>
      <c r="H233" t="s">
        <v>19</v>
      </c>
      <c r="I233" t="s">
        <v>46</v>
      </c>
      <c r="J233">
        <v>1.1499999999999999</v>
      </c>
      <c r="K233" t="s">
        <v>12</v>
      </c>
      <c r="L233">
        <v>0</v>
      </c>
      <c r="M233">
        <v>3.72</v>
      </c>
      <c r="N233">
        <v>30</v>
      </c>
      <c r="O233" t="s">
        <v>22</v>
      </c>
      <c r="P233">
        <v>5</v>
      </c>
      <c r="Q233">
        <v>13.66</v>
      </c>
      <c r="R233">
        <v>74.5</v>
      </c>
      <c r="S233">
        <v>198.6</v>
      </c>
      <c r="T233">
        <v>37.9</v>
      </c>
      <c r="U233">
        <v>1.05</v>
      </c>
      <c r="V233">
        <v>9.93</v>
      </c>
      <c r="W233">
        <v>246.43</v>
      </c>
      <c r="X233">
        <v>38.200000000000003</v>
      </c>
      <c r="Y233">
        <v>107.4</v>
      </c>
      <c r="Z233">
        <v>38.4</v>
      </c>
      <c r="AA233">
        <v>5.26</v>
      </c>
      <c r="AB233">
        <v>202.77</v>
      </c>
      <c r="AC233">
        <v>163.3046979865772</v>
      </c>
      <c r="AD233">
        <v>14.84407027818448</v>
      </c>
      <c r="AE233">
        <v>65.400000000000006</v>
      </c>
      <c r="AF233">
        <v>17.72</v>
      </c>
      <c r="AG233">
        <v>0</v>
      </c>
      <c r="AH233">
        <v>10.28</v>
      </c>
      <c r="AI233">
        <v>40.28</v>
      </c>
      <c r="AJ233">
        <v>172.51</v>
      </c>
      <c r="AK233">
        <v>67.92</v>
      </c>
      <c r="AL233" t="s">
        <v>23</v>
      </c>
      <c r="AM233" t="s">
        <v>24</v>
      </c>
      <c r="AN233" t="str">
        <f t="shared" si="12"/>
        <v>Morning</v>
      </c>
      <c r="AO233" t="str">
        <f t="shared" si="13"/>
        <v>Peak</v>
      </c>
      <c r="AP233" t="str">
        <f t="shared" si="14"/>
        <v>Medium</v>
      </c>
      <c r="AQ233" t="str">
        <f t="shared" si="15"/>
        <v>Low</v>
      </c>
    </row>
    <row r="234" spans="1:43" x14ac:dyDescent="0.3">
      <c r="A234">
        <v>233</v>
      </c>
      <c r="B234" t="s">
        <v>7</v>
      </c>
      <c r="C234" t="s">
        <v>8</v>
      </c>
      <c r="D234" s="1">
        <v>46258</v>
      </c>
      <c r="E234" t="s">
        <v>38</v>
      </c>
      <c r="F234">
        <v>0</v>
      </c>
      <c r="G234">
        <v>19</v>
      </c>
      <c r="H234" t="s">
        <v>51</v>
      </c>
      <c r="I234" t="s">
        <v>46</v>
      </c>
      <c r="J234">
        <v>1.1499999999999999</v>
      </c>
      <c r="K234" t="s">
        <v>34</v>
      </c>
      <c r="L234">
        <v>1</v>
      </c>
      <c r="M234">
        <v>4.0199999999999996</v>
      </c>
      <c r="N234">
        <v>88</v>
      </c>
      <c r="O234" t="s">
        <v>13</v>
      </c>
      <c r="P234">
        <v>26</v>
      </c>
      <c r="Q234">
        <v>1</v>
      </c>
      <c r="R234">
        <v>23.5</v>
      </c>
      <c r="S234">
        <v>71.92</v>
      </c>
      <c r="T234">
        <v>97.4</v>
      </c>
      <c r="U234">
        <v>1</v>
      </c>
      <c r="V234">
        <v>0</v>
      </c>
      <c r="W234">
        <v>169.32</v>
      </c>
      <c r="X234">
        <v>38.6</v>
      </c>
      <c r="Y234">
        <v>107.67</v>
      </c>
      <c r="Z234">
        <v>2.79</v>
      </c>
      <c r="AA234">
        <v>5.43</v>
      </c>
      <c r="AB234">
        <v>161.1</v>
      </c>
      <c r="AC234">
        <v>411.31914893617022</v>
      </c>
      <c r="AD234">
        <v>161.1</v>
      </c>
      <c r="AE234">
        <v>82.21</v>
      </c>
      <c r="AF234">
        <v>15.14</v>
      </c>
      <c r="AG234">
        <v>1</v>
      </c>
      <c r="AH234">
        <v>2.0499999999999998</v>
      </c>
      <c r="AI234">
        <v>90.05</v>
      </c>
      <c r="AJ234">
        <v>400</v>
      </c>
      <c r="AK234">
        <v>76.41</v>
      </c>
      <c r="AL234" t="s">
        <v>14</v>
      </c>
      <c r="AM234" t="s">
        <v>15</v>
      </c>
      <c r="AN234" t="str">
        <f t="shared" si="12"/>
        <v>Night</v>
      </c>
      <c r="AO234" t="str">
        <f t="shared" si="13"/>
        <v>Peak</v>
      </c>
      <c r="AP234" t="str">
        <f t="shared" si="14"/>
        <v>High</v>
      </c>
      <c r="AQ234" t="str">
        <f t="shared" si="15"/>
        <v>High</v>
      </c>
    </row>
    <row r="235" spans="1:43" x14ac:dyDescent="0.3">
      <c r="A235">
        <v>234</v>
      </c>
      <c r="B235" t="s">
        <v>16</v>
      </c>
      <c r="C235" t="s">
        <v>17</v>
      </c>
      <c r="D235" s="1">
        <v>46168</v>
      </c>
      <c r="E235" t="s">
        <v>44</v>
      </c>
      <c r="F235">
        <v>0</v>
      </c>
      <c r="G235">
        <v>17</v>
      </c>
      <c r="H235" t="s">
        <v>40</v>
      </c>
      <c r="I235" t="s">
        <v>39</v>
      </c>
      <c r="J235">
        <v>1.05</v>
      </c>
      <c r="K235" t="s">
        <v>21</v>
      </c>
      <c r="L235">
        <v>0</v>
      </c>
      <c r="M235">
        <v>5</v>
      </c>
      <c r="N235">
        <v>78</v>
      </c>
      <c r="O235" t="s">
        <v>13</v>
      </c>
      <c r="P235">
        <v>13</v>
      </c>
      <c r="Q235">
        <v>5.25</v>
      </c>
      <c r="R235">
        <v>42.3</v>
      </c>
      <c r="S235">
        <v>118.16</v>
      </c>
      <c r="T235">
        <v>77.27</v>
      </c>
      <c r="U235">
        <v>1.19</v>
      </c>
      <c r="V235">
        <v>22.45</v>
      </c>
      <c r="W235">
        <v>217.88</v>
      </c>
      <c r="X235">
        <v>42.1</v>
      </c>
      <c r="Y235">
        <v>104.24</v>
      </c>
      <c r="Z235">
        <v>13</v>
      </c>
      <c r="AA235">
        <v>8.76</v>
      </c>
      <c r="AB235">
        <v>196.12</v>
      </c>
      <c r="AC235">
        <v>278.18439716312059</v>
      </c>
      <c r="AD235">
        <v>37.356190476190477</v>
      </c>
      <c r="AE235">
        <v>72.3</v>
      </c>
      <c r="AF235">
        <v>14.56</v>
      </c>
      <c r="AG235">
        <v>1</v>
      </c>
      <c r="AH235">
        <v>-9.39</v>
      </c>
      <c r="AI235">
        <v>68.61</v>
      </c>
      <c r="AJ235">
        <v>293.5</v>
      </c>
      <c r="AK235">
        <v>76.45</v>
      </c>
      <c r="AL235" t="s">
        <v>23</v>
      </c>
      <c r="AM235" t="s">
        <v>24</v>
      </c>
      <c r="AN235" t="str">
        <f t="shared" si="12"/>
        <v>Evening</v>
      </c>
      <c r="AO235" t="str">
        <f t="shared" si="13"/>
        <v>Peak</v>
      </c>
      <c r="AP235" t="str">
        <f t="shared" si="14"/>
        <v>High</v>
      </c>
      <c r="AQ235" t="str">
        <f t="shared" si="15"/>
        <v>High</v>
      </c>
    </row>
    <row r="236" spans="1:43" x14ac:dyDescent="0.3">
      <c r="A236">
        <v>235</v>
      </c>
      <c r="B236" t="s">
        <v>29</v>
      </c>
      <c r="C236" t="s">
        <v>30</v>
      </c>
      <c r="D236" s="1">
        <v>46044</v>
      </c>
      <c r="E236" t="s">
        <v>41</v>
      </c>
      <c r="F236">
        <v>0</v>
      </c>
      <c r="G236">
        <v>9</v>
      </c>
      <c r="H236" t="s">
        <v>47</v>
      </c>
      <c r="I236" t="s">
        <v>50</v>
      </c>
      <c r="J236">
        <v>1.2</v>
      </c>
      <c r="K236" t="s">
        <v>12</v>
      </c>
      <c r="L236">
        <v>0</v>
      </c>
      <c r="M236">
        <v>2.77</v>
      </c>
      <c r="N236">
        <v>40</v>
      </c>
      <c r="O236" t="s">
        <v>35</v>
      </c>
      <c r="P236">
        <v>10</v>
      </c>
      <c r="Q236">
        <v>1.06</v>
      </c>
      <c r="R236">
        <v>26</v>
      </c>
      <c r="S236">
        <v>62.94</v>
      </c>
      <c r="T236">
        <v>48.73</v>
      </c>
      <c r="U236">
        <v>1</v>
      </c>
      <c r="V236">
        <v>0</v>
      </c>
      <c r="W236">
        <v>111.67</v>
      </c>
      <c r="X236">
        <v>38.6</v>
      </c>
      <c r="Y236">
        <v>105.07</v>
      </c>
      <c r="Z236">
        <v>2.9</v>
      </c>
      <c r="AA236">
        <v>8.2100000000000009</v>
      </c>
      <c r="AB236">
        <v>100.56</v>
      </c>
      <c r="AC236">
        <v>232.06153846153845</v>
      </c>
      <c r="AD236">
        <v>94.867924528301884</v>
      </c>
      <c r="AE236">
        <v>74.05</v>
      </c>
      <c r="AF236">
        <v>12.95</v>
      </c>
      <c r="AG236">
        <v>0</v>
      </c>
      <c r="AH236">
        <v>-25.14</v>
      </c>
      <c r="AI236">
        <v>14.86</v>
      </c>
      <c r="AJ236">
        <v>226.23</v>
      </c>
      <c r="AK236">
        <v>63.96</v>
      </c>
      <c r="AL236" t="s">
        <v>23</v>
      </c>
      <c r="AM236" t="s">
        <v>24</v>
      </c>
      <c r="AN236" t="str">
        <f t="shared" si="12"/>
        <v>Morning</v>
      </c>
      <c r="AO236" t="str">
        <f t="shared" si="13"/>
        <v>Peak</v>
      </c>
      <c r="AP236" t="str">
        <f t="shared" si="14"/>
        <v>Medium</v>
      </c>
      <c r="AQ236" t="str">
        <f t="shared" si="15"/>
        <v>Medium</v>
      </c>
    </row>
    <row r="237" spans="1:43" x14ac:dyDescent="0.3">
      <c r="A237">
        <v>236</v>
      </c>
      <c r="B237" t="s">
        <v>16</v>
      </c>
      <c r="C237" t="s">
        <v>17</v>
      </c>
      <c r="D237" s="1">
        <v>46029</v>
      </c>
      <c r="E237" t="s">
        <v>18</v>
      </c>
      <c r="F237">
        <v>0</v>
      </c>
      <c r="G237">
        <v>18</v>
      </c>
      <c r="H237" t="s">
        <v>40</v>
      </c>
      <c r="I237" t="s">
        <v>46</v>
      </c>
      <c r="J237">
        <v>1.1499999999999999</v>
      </c>
      <c r="K237" t="s">
        <v>12</v>
      </c>
      <c r="L237">
        <v>0</v>
      </c>
      <c r="M237">
        <v>3.59</v>
      </c>
      <c r="N237">
        <v>60</v>
      </c>
      <c r="O237" t="s">
        <v>35</v>
      </c>
      <c r="P237">
        <v>13</v>
      </c>
      <c r="Q237">
        <v>3.86</v>
      </c>
      <c r="R237">
        <v>30.7</v>
      </c>
      <c r="S237">
        <v>94.53</v>
      </c>
      <c r="T237">
        <v>57.02</v>
      </c>
      <c r="U237">
        <v>1.28</v>
      </c>
      <c r="V237">
        <v>26.47</v>
      </c>
      <c r="W237">
        <v>178.02</v>
      </c>
      <c r="X237">
        <v>45.3</v>
      </c>
      <c r="Y237">
        <v>101.92</v>
      </c>
      <c r="Z237">
        <v>8.67</v>
      </c>
      <c r="AA237">
        <v>5.19</v>
      </c>
      <c r="AB237">
        <v>164.16</v>
      </c>
      <c r="AC237">
        <v>320.83387622149843</v>
      </c>
      <c r="AD237">
        <v>42.528497409326427</v>
      </c>
      <c r="AE237">
        <v>90.46</v>
      </c>
      <c r="AF237">
        <v>14.08</v>
      </c>
      <c r="AG237">
        <v>1</v>
      </c>
      <c r="AH237">
        <v>9.49</v>
      </c>
      <c r="AI237">
        <v>69.489999999999995</v>
      </c>
      <c r="AJ237">
        <v>321.22000000000003</v>
      </c>
      <c r="AK237">
        <v>75.75</v>
      </c>
      <c r="AL237" t="s">
        <v>23</v>
      </c>
      <c r="AM237" t="s">
        <v>24</v>
      </c>
      <c r="AN237" t="str">
        <f t="shared" si="12"/>
        <v>Night</v>
      </c>
      <c r="AO237" t="str">
        <f t="shared" si="13"/>
        <v>Peak</v>
      </c>
      <c r="AP237" t="str">
        <f t="shared" si="14"/>
        <v>High</v>
      </c>
      <c r="AQ237" t="str">
        <f t="shared" si="15"/>
        <v>Medium</v>
      </c>
    </row>
    <row r="238" spans="1:43" x14ac:dyDescent="0.3">
      <c r="A238">
        <v>237</v>
      </c>
      <c r="B238" t="s">
        <v>25</v>
      </c>
      <c r="C238" t="s">
        <v>17</v>
      </c>
      <c r="D238" s="1">
        <v>46109</v>
      </c>
      <c r="E238" t="s">
        <v>31</v>
      </c>
      <c r="F238">
        <v>1</v>
      </c>
      <c r="G238">
        <v>10</v>
      </c>
      <c r="H238" t="s">
        <v>19</v>
      </c>
      <c r="I238" t="s">
        <v>20</v>
      </c>
      <c r="J238">
        <v>1.25</v>
      </c>
      <c r="K238" t="s">
        <v>12</v>
      </c>
      <c r="L238">
        <v>0</v>
      </c>
      <c r="M238">
        <v>2.86</v>
      </c>
      <c r="N238">
        <v>47</v>
      </c>
      <c r="O238" t="s">
        <v>35</v>
      </c>
      <c r="P238">
        <v>10</v>
      </c>
      <c r="Q238">
        <v>3.19</v>
      </c>
      <c r="R238">
        <v>34</v>
      </c>
      <c r="S238">
        <v>107.09</v>
      </c>
      <c r="T238">
        <v>65.75</v>
      </c>
      <c r="U238">
        <v>1.1200000000000001</v>
      </c>
      <c r="V238">
        <v>12.85</v>
      </c>
      <c r="W238">
        <v>185.69</v>
      </c>
      <c r="X238">
        <v>39.6</v>
      </c>
      <c r="Y238">
        <v>105.95</v>
      </c>
      <c r="Z238">
        <v>8.5399999999999991</v>
      </c>
      <c r="AA238">
        <v>3.19</v>
      </c>
      <c r="AB238">
        <v>173.96</v>
      </c>
      <c r="AC238">
        <v>306.98823529411766</v>
      </c>
      <c r="AD238">
        <v>54.532915360501569</v>
      </c>
      <c r="AE238">
        <v>64.569999999999993</v>
      </c>
      <c r="AF238">
        <v>17.440000000000001</v>
      </c>
      <c r="AG238">
        <v>1</v>
      </c>
      <c r="AH238">
        <v>0.39</v>
      </c>
      <c r="AI238">
        <v>47.39</v>
      </c>
      <c r="AJ238">
        <v>303.64999999999998</v>
      </c>
      <c r="AK238">
        <v>72.349999999999994</v>
      </c>
      <c r="AL238" t="s">
        <v>23</v>
      </c>
      <c r="AM238" t="s">
        <v>24</v>
      </c>
      <c r="AN238" t="str">
        <f t="shared" si="12"/>
        <v>Morning</v>
      </c>
      <c r="AO238" t="str">
        <f t="shared" si="13"/>
        <v>Peak</v>
      </c>
      <c r="AP238" t="str">
        <f t="shared" si="14"/>
        <v>High</v>
      </c>
      <c r="AQ238" t="str">
        <f t="shared" si="15"/>
        <v>Medium</v>
      </c>
    </row>
    <row r="239" spans="1:43" x14ac:dyDescent="0.3">
      <c r="A239">
        <v>238</v>
      </c>
      <c r="B239" t="s">
        <v>29</v>
      </c>
      <c r="C239" t="s">
        <v>30</v>
      </c>
      <c r="D239" s="1">
        <v>46214</v>
      </c>
      <c r="E239" t="s">
        <v>31</v>
      </c>
      <c r="F239">
        <v>1</v>
      </c>
      <c r="G239">
        <v>16</v>
      </c>
      <c r="H239" t="s">
        <v>32</v>
      </c>
      <c r="I239" t="s">
        <v>37</v>
      </c>
      <c r="J239">
        <v>1.02</v>
      </c>
      <c r="K239" t="s">
        <v>12</v>
      </c>
      <c r="L239">
        <v>0</v>
      </c>
      <c r="M239">
        <v>3.61</v>
      </c>
      <c r="N239">
        <v>21</v>
      </c>
      <c r="O239" t="s">
        <v>22</v>
      </c>
      <c r="P239">
        <v>4</v>
      </c>
      <c r="Q239">
        <v>1.23</v>
      </c>
      <c r="R239">
        <v>36.200000000000003</v>
      </c>
      <c r="S239">
        <v>62.16</v>
      </c>
      <c r="T239">
        <v>31.33</v>
      </c>
      <c r="U239">
        <v>1</v>
      </c>
      <c r="V239">
        <v>0</v>
      </c>
      <c r="W239">
        <v>93.49</v>
      </c>
      <c r="X239">
        <v>37.299999999999997</v>
      </c>
      <c r="Y239">
        <v>103.7</v>
      </c>
      <c r="Z239">
        <v>3.43</v>
      </c>
      <c r="AA239">
        <v>7.78</v>
      </c>
      <c r="AB239">
        <v>82.28</v>
      </c>
      <c r="AC239">
        <v>136.37569060773478</v>
      </c>
      <c r="AD239">
        <v>66.894308943089428</v>
      </c>
      <c r="AE239">
        <v>71.44</v>
      </c>
      <c r="AF239">
        <v>18.829999999999998</v>
      </c>
      <c r="AG239">
        <v>1</v>
      </c>
      <c r="AH239">
        <v>-7.71</v>
      </c>
      <c r="AI239">
        <v>13.29</v>
      </c>
      <c r="AJ239">
        <v>128.81</v>
      </c>
      <c r="AK239">
        <v>65.34</v>
      </c>
      <c r="AL239" t="s">
        <v>14</v>
      </c>
      <c r="AM239" t="s">
        <v>15</v>
      </c>
      <c r="AN239" t="str">
        <f t="shared" si="12"/>
        <v>Evening</v>
      </c>
      <c r="AO239" t="str">
        <f t="shared" si="13"/>
        <v>Off-Peak</v>
      </c>
      <c r="AP239" t="str">
        <f t="shared" si="14"/>
        <v>Low</v>
      </c>
      <c r="AQ239" t="str">
        <f t="shared" si="15"/>
        <v>Low</v>
      </c>
    </row>
    <row r="240" spans="1:43" x14ac:dyDescent="0.3">
      <c r="A240">
        <v>239</v>
      </c>
      <c r="B240" t="s">
        <v>48</v>
      </c>
      <c r="C240" t="s">
        <v>30</v>
      </c>
      <c r="D240" s="1">
        <v>46061</v>
      </c>
      <c r="E240" t="s">
        <v>26</v>
      </c>
      <c r="F240">
        <v>1</v>
      </c>
      <c r="G240">
        <v>22</v>
      </c>
      <c r="H240" t="s">
        <v>36</v>
      </c>
      <c r="I240" t="s">
        <v>50</v>
      </c>
      <c r="J240">
        <v>1.2</v>
      </c>
      <c r="K240" t="s">
        <v>21</v>
      </c>
      <c r="L240">
        <v>0</v>
      </c>
      <c r="M240">
        <v>2.82</v>
      </c>
      <c r="N240">
        <v>60</v>
      </c>
      <c r="O240" t="s">
        <v>35</v>
      </c>
      <c r="P240">
        <v>11</v>
      </c>
      <c r="Q240">
        <v>6.4</v>
      </c>
      <c r="R240">
        <v>56.4</v>
      </c>
      <c r="S240">
        <v>105.78</v>
      </c>
      <c r="T240">
        <v>44.31</v>
      </c>
      <c r="U240">
        <v>1</v>
      </c>
      <c r="V240">
        <v>0</v>
      </c>
      <c r="W240">
        <v>150.09</v>
      </c>
      <c r="X240">
        <v>37.299999999999997</v>
      </c>
      <c r="Y240">
        <v>103.47</v>
      </c>
      <c r="Z240">
        <v>17.77</v>
      </c>
      <c r="AA240">
        <v>9.39</v>
      </c>
      <c r="AB240">
        <v>122.93</v>
      </c>
      <c r="AC240">
        <v>130.77659574468086</v>
      </c>
      <c r="AD240">
        <v>19.207812499999999</v>
      </c>
      <c r="AE240">
        <v>66.599999999999994</v>
      </c>
      <c r="AF240">
        <v>11.97</v>
      </c>
      <c r="AG240">
        <v>1</v>
      </c>
      <c r="AH240">
        <v>-11.46</v>
      </c>
      <c r="AI240">
        <v>48.54</v>
      </c>
      <c r="AJ240">
        <v>150.88</v>
      </c>
      <c r="AK240">
        <v>74.27</v>
      </c>
      <c r="AL240" t="s">
        <v>14</v>
      </c>
      <c r="AM240" t="s">
        <v>15</v>
      </c>
      <c r="AN240" t="str">
        <f t="shared" si="12"/>
        <v>Night</v>
      </c>
      <c r="AO240" t="str">
        <f t="shared" si="13"/>
        <v>Off-Peak</v>
      </c>
      <c r="AP240" t="str">
        <f t="shared" si="14"/>
        <v>Low</v>
      </c>
      <c r="AQ240" t="str">
        <f t="shared" si="15"/>
        <v>Medium</v>
      </c>
    </row>
    <row r="241" spans="1:43" x14ac:dyDescent="0.3">
      <c r="A241">
        <v>240</v>
      </c>
      <c r="B241" t="s">
        <v>25</v>
      </c>
      <c r="C241" t="s">
        <v>17</v>
      </c>
      <c r="D241" s="1">
        <v>46242</v>
      </c>
      <c r="E241" t="s">
        <v>31</v>
      </c>
      <c r="F241">
        <v>1</v>
      </c>
      <c r="G241">
        <v>22</v>
      </c>
      <c r="H241" t="s">
        <v>19</v>
      </c>
      <c r="I241" t="s">
        <v>28</v>
      </c>
      <c r="J241">
        <v>1.03</v>
      </c>
      <c r="K241" t="s">
        <v>12</v>
      </c>
      <c r="L241">
        <v>0</v>
      </c>
      <c r="M241">
        <v>2.6</v>
      </c>
      <c r="N241">
        <v>67</v>
      </c>
      <c r="O241" t="s">
        <v>35</v>
      </c>
      <c r="P241">
        <v>11</v>
      </c>
      <c r="Q241">
        <v>1.71</v>
      </c>
      <c r="R241">
        <v>17.100000000000001</v>
      </c>
      <c r="S241">
        <v>70.2</v>
      </c>
      <c r="T241">
        <v>75.08</v>
      </c>
      <c r="U241">
        <v>1.02</v>
      </c>
      <c r="V241">
        <v>1.4</v>
      </c>
      <c r="W241">
        <v>146.68</v>
      </c>
      <c r="X241">
        <v>36.9</v>
      </c>
      <c r="Y241">
        <v>109.48</v>
      </c>
      <c r="Z241">
        <v>5.0599999999999996</v>
      </c>
      <c r="AA241">
        <v>7.59</v>
      </c>
      <c r="AB241">
        <v>134.03</v>
      </c>
      <c r="AC241">
        <v>470.28070175438592</v>
      </c>
      <c r="AD241">
        <v>78.380116959064324</v>
      </c>
      <c r="AE241">
        <v>78.58</v>
      </c>
      <c r="AF241">
        <v>13.67</v>
      </c>
      <c r="AG241">
        <v>1</v>
      </c>
      <c r="AH241">
        <v>-0.57999999999999996</v>
      </c>
      <c r="AI241">
        <v>66.42</v>
      </c>
      <c r="AJ241">
        <v>400</v>
      </c>
      <c r="AK241">
        <v>83.41</v>
      </c>
      <c r="AL241" t="s">
        <v>23</v>
      </c>
      <c r="AM241" t="s">
        <v>24</v>
      </c>
      <c r="AN241" t="str">
        <f t="shared" si="12"/>
        <v>Night</v>
      </c>
      <c r="AO241" t="str">
        <f t="shared" si="13"/>
        <v>Off-Peak</v>
      </c>
      <c r="AP241" t="str">
        <f t="shared" si="14"/>
        <v>High</v>
      </c>
      <c r="AQ241" t="str">
        <f t="shared" si="15"/>
        <v>Medium</v>
      </c>
    </row>
    <row r="242" spans="1:43" x14ac:dyDescent="0.3">
      <c r="A242">
        <v>241</v>
      </c>
      <c r="B242" t="s">
        <v>7</v>
      </c>
      <c r="C242" t="s">
        <v>8</v>
      </c>
      <c r="D242" s="1">
        <v>46084</v>
      </c>
      <c r="E242" t="s">
        <v>44</v>
      </c>
      <c r="F242">
        <v>0</v>
      </c>
      <c r="G242">
        <v>20</v>
      </c>
      <c r="H242" t="s">
        <v>51</v>
      </c>
      <c r="I242" t="s">
        <v>33</v>
      </c>
      <c r="J242">
        <v>1</v>
      </c>
      <c r="K242" t="s">
        <v>21</v>
      </c>
      <c r="L242">
        <v>0</v>
      </c>
      <c r="M242">
        <v>3.94</v>
      </c>
      <c r="N242">
        <v>68</v>
      </c>
      <c r="O242" t="s">
        <v>35</v>
      </c>
      <c r="P242">
        <v>20</v>
      </c>
      <c r="Q242">
        <v>1.08</v>
      </c>
      <c r="R242">
        <v>30.1</v>
      </c>
      <c r="S242">
        <v>57.2</v>
      </c>
      <c r="T242">
        <v>74.14</v>
      </c>
      <c r="U242">
        <v>1</v>
      </c>
      <c r="V242">
        <v>0</v>
      </c>
      <c r="W242">
        <v>131.34</v>
      </c>
      <c r="X242">
        <v>41.6</v>
      </c>
      <c r="Y242">
        <v>101.65</v>
      </c>
      <c r="Z242">
        <v>2.65</v>
      </c>
      <c r="AA242">
        <v>2.04</v>
      </c>
      <c r="AB242">
        <v>126.65</v>
      </c>
      <c r="AC242">
        <v>252.45847176079732</v>
      </c>
      <c r="AD242">
        <v>117.26851851851852</v>
      </c>
      <c r="AE242">
        <v>85.83</v>
      </c>
      <c r="AF242">
        <v>14.73</v>
      </c>
      <c r="AG242">
        <v>1</v>
      </c>
      <c r="AH242">
        <v>10.050000000000001</v>
      </c>
      <c r="AI242">
        <v>78.05</v>
      </c>
      <c r="AJ242">
        <v>237.69</v>
      </c>
      <c r="AK242">
        <v>76.7</v>
      </c>
      <c r="AL242" t="s">
        <v>14</v>
      </c>
      <c r="AM242" t="s">
        <v>15</v>
      </c>
      <c r="AN242" t="str">
        <f t="shared" si="12"/>
        <v>Night</v>
      </c>
      <c r="AO242" t="str">
        <f t="shared" si="13"/>
        <v>Peak</v>
      </c>
      <c r="AP242" t="str">
        <f t="shared" si="14"/>
        <v>High</v>
      </c>
      <c r="AQ242" t="str">
        <f t="shared" si="15"/>
        <v>Medium</v>
      </c>
    </row>
    <row r="243" spans="1:43" x14ac:dyDescent="0.3">
      <c r="A243">
        <v>242</v>
      </c>
      <c r="B243" t="s">
        <v>25</v>
      </c>
      <c r="C243" t="s">
        <v>17</v>
      </c>
      <c r="D243" s="1">
        <v>46151</v>
      </c>
      <c r="E243" t="s">
        <v>31</v>
      </c>
      <c r="F243">
        <v>1</v>
      </c>
      <c r="G243">
        <v>14</v>
      </c>
      <c r="H243" t="s">
        <v>19</v>
      </c>
      <c r="I243" t="s">
        <v>39</v>
      </c>
      <c r="J243">
        <v>1.05</v>
      </c>
      <c r="K243" t="s">
        <v>21</v>
      </c>
      <c r="L243">
        <v>0</v>
      </c>
      <c r="M243">
        <v>1.98</v>
      </c>
      <c r="N243">
        <v>18</v>
      </c>
      <c r="O243" t="s">
        <v>22</v>
      </c>
      <c r="P243">
        <v>3</v>
      </c>
      <c r="Q243">
        <v>6.88</v>
      </c>
      <c r="R243">
        <v>42</v>
      </c>
      <c r="S243">
        <v>146.63999999999999</v>
      </c>
      <c r="T243">
        <v>23.63</v>
      </c>
      <c r="U243">
        <v>1.1200000000000001</v>
      </c>
      <c r="V243">
        <v>17.600000000000001</v>
      </c>
      <c r="W243">
        <v>187.87</v>
      </c>
      <c r="X243">
        <v>35</v>
      </c>
      <c r="Y243">
        <v>108.3</v>
      </c>
      <c r="Z243">
        <v>21.27</v>
      </c>
      <c r="AA243">
        <v>4.82</v>
      </c>
      <c r="AB243">
        <v>161.78</v>
      </c>
      <c r="AC243">
        <v>231.11428571428573</v>
      </c>
      <c r="AD243">
        <v>23.51453488372093</v>
      </c>
      <c r="AE243">
        <v>74.8</v>
      </c>
      <c r="AF243">
        <v>14.03</v>
      </c>
      <c r="AG243">
        <v>1</v>
      </c>
      <c r="AH243">
        <v>-1.95</v>
      </c>
      <c r="AI243">
        <v>16.05</v>
      </c>
      <c r="AJ243">
        <v>231.91</v>
      </c>
      <c r="AK243">
        <v>77.31</v>
      </c>
      <c r="AL243" t="s">
        <v>14</v>
      </c>
      <c r="AM243" t="s">
        <v>15</v>
      </c>
      <c r="AN243" t="str">
        <f t="shared" si="12"/>
        <v>Afternoon</v>
      </c>
      <c r="AO243" t="str">
        <f t="shared" si="13"/>
        <v>Off-Peak</v>
      </c>
      <c r="AP243" t="str">
        <f t="shared" si="14"/>
        <v>Medium</v>
      </c>
      <c r="AQ243" t="str">
        <f t="shared" si="15"/>
        <v>Low</v>
      </c>
    </row>
    <row r="244" spans="1:43" x14ac:dyDescent="0.3">
      <c r="A244">
        <v>243</v>
      </c>
      <c r="B244" t="s">
        <v>7</v>
      </c>
      <c r="C244" t="s">
        <v>8</v>
      </c>
      <c r="D244" s="1">
        <v>46075</v>
      </c>
      <c r="E244" t="s">
        <v>26</v>
      </c>
      <c r="F244">
        <v>1</v>
      </c>
      <c r="G244">
        <v>15</v>
      </c>
      <c r="H244" t="s">
        <v>32</v>
      </c>
      <c r="I244" t="s">
        <v>28</v>
      </c>
      <c r="J244">
        <v>1.03</v>
      </c>
      <c r="K244" t="s">
        <v>12</v>
      </c>
      <c r="L244">
        <v>0</v>
      </c>
      <c r="M244">
        <v>3.32</v>
      </c>
      <c r="N244">
        <v>50</v>
      </c>
      <c r="O244" t="s">
        <v>35</v>
      </c>
      <c r="P244">
        <v>27</v>
      </c>
      <c r="Q244">
        <v>3.2</v>
      </c>
      <c r="R244">
        <v>29.7</v>
      </c>
      <c r="S244">
        <v>71.97</v>
      </c>
      <c r="T244">
        <v>50.62</v>
      </c>
      <c r="U244">
        <v>1</v>
      </c>
      <c r="V244">
        <v>0</v>
      </c>
      <c r="W244">
        <v>122.59</v>
      </c>
      <c r="X244">
        <v>43.1</v>
      </c>
      <c r="Y244">
        <v>102.81</v>
      </c>
      <c r="Z244">
        <v>7.63</v>
      </c>
      <c r="AA244">
        <v>9.7899999999999991</v>
      </c>
      <c r="AB244">
        <v>105.17</v>
      </c>
      <c r="AC244">
        <v>212.46464646464648</v>
      </c>
      <c r="AD244">
        <v>32.865625000000001</v>
      </c>
      <c r="AE244">
        <v>75.069999999999993</v>
      </c>
      <c r="AF244">
        <v>14.15</v>
      </c>
      <c r="AG244">
        <v>1</v>
      </c>
      <c r="AH244">
        <v>-14.83</v>
      </c>
      <c r="AI244">
        <v>35.17</v>
      </c>
      <c r="AJ244">
        <v>213.27</v>
      </c>
      <c r="AK244">
        <v>71.790000000000006</v>
      </c>
      <c r="AL244" t="s">
        <v>14</v>
      </c>
      <c r="AM244" t="s">
        <v>15</v>
      </c>
      <c r="AN244" t="str">
        <f t="shared" si="12"/>
        <v>Evening</v>
      </c>
      <c r="AO244" t="str">
        <f t="shared" si="13"/>
        <v>Off-Peak</v>
      </c>
      <c r="AP244" t="str">
        <f t="shared" si="14"/>
        <v>Medium</v>
      </c>
      <c r="AQ244" t="str">
        <f t="shared" si="15"/>
        <v>Medium</v>
      </c>
    </row>
    <row r="245" spans="1:43" x14ac:dyDescent="0.3">
      <c r="A245">
        <v>244</v>
      </c>
      <c r="B245" t="s">
        <v>25</v>
      </c>
      <c r="C245" t="s">
        <v>17</v>
      </c>
      <c r="D245" s="1">
        <v>46143</v>
      </c>
      <c r="E245" t="s">
        <v>9</v>
      </c>
      <c r="F245">
        <v>0</v>
      </c>
      <c r="G245">
        <v>11</v>
      </c>
      <c r="H245" t="s">
        <v>19</v>
      </c>
      <c r="I245" t="s">
        <v>20</v>
      </c>
      <c r="J245">
        <v>1.25</v>
      </c>
      <c r="K245" t="s">
        <v>34</v>
      </c>
      <c r="L245">
        <v>1</v>
      </c>
      <c r="M245">
        <v>2.0699999999999998</v>
      </c>
      <c r="N245">
        <v>35</v>
      </c>
      <c r="O245" t="s">
        <v>22</v>
      </c>
      <c r="P245">
        <v>5</v>
      </c>
      <c r="Q245">
        <v>2.2799999999999998</v>
      </c>
      <c r="R245">
        <v>26</v>
      </c>
      <c r="S245">
        <v>98.33</v>
      </c>
      <c r="T245">
        <v>35.229999999999997</v>
      </c>
      <c r="U245">
        <v>1.19</v>
      </c>
      <c r="V245">
        <v>18.68</v>
      </c>
      <c r="W245">
        <v>152.24</v>
      </c>
      <c r="X245">
        <v>39.5</v>
      </c>
      <c r="Y245">
        <v>100.29</v>
      </c>
      <c r="Z245">
        <v>5.8</v>
      </c>
      <c r="AA245">
        <v>9.43</v>
      </c>
      <c r="AB245">
        <v>137.01</v>
      </c>
      <c r="AC245">
        <v>316.17692307692306</v>
      </c>
      <c r="AD245">
        <v>60.092105263157897</v>
      </c>
      <c r="AE245">
        <v>85.43</v>
      </c>
      <c r="AF245">
        <v>16.690000000000001</v>
      </c>
      <c r="AG245">
        <v>0</v>
      </c>
      <c r="AH245">
        <v>2.13</v>
      </c>
      <c r="AI245">
        <v>37.130000000000003</v>
      </c>
      <c r="AJ245">
        <v>309.63</v>
      </c>
      <c r="AK245">
        <v>74.48</v>
      </c>
      <c r="AL245" t="s">
        <v>23</v>
      </c>
      <c r="AM245" t="s">
        <v>24</v>
      </c>
      <c r="AN245" t="str">
        <f t="shared" si="12"/>
        <v>Afternoon</v>
      </c>
      <c r="AO245" t="str">
        <f t="shared" si="13"/>
        <v>Off-Peak</v>
      </c>
      <c r="AP245" t="str">
        <f t="shared" si="14"/>
        <v>High</v>
      </c>
      <c r="AQ245" t="str">
        <f t="shared" si="15"/>
        <v>Low</v>
      </c>
    </row>
    <row r="246" spans="1:43" x14ac:dyDescent="0.3">
      <c r="A246">
        <v>245</v>
      </c>
      <c r="B246" t="s">
        <v>25</v>
      </c>
      <c r="C246" t="s">
        <v>17</v>
      </c>
      <c r="D246" s="1">
        <v>46139</v>
      </c>
      <c r="E246" t="s">
        <v>38</v>
      </c>
      <c r="F246">
        <v>0</v>
      </c>
      <c r="G246">
        <v>21</v>
      </c>
      <c r="H246" t="s">
        <v>19</v>
      </c>
      <c r="I246" t="s">
        <v>46</v>
      </c>
      <c r="J246">
        <v>1.1499999999999999</v>
      </c>
      <c r="K246" t="s">
        <v>12</v>
      </c>
      <c r="L246">
        <v>0</v>
      </c>
      <c r="M246">
        <v>3.74</v>
      </c>
      <c r="N246">
        <v>62</v>
      </c>
      <c r="O246" t="s">
        <v>35</v>
      </c>
      <c r="P246">
        <v>10</v>
      </c>
      <c r="Q246">
        <v>7.17</v>
      </c>
      <c r="R246">
        <v>61.4</v>
      </c>
      <c r="S246">
        <v>151.79</v>
      </c>
      <c r="T246">
        <v>67.95</v>
      </c>
      <c r="U246">
        <v>1.35</v>
      </c>
      <c r="V246">
        <v>53.13</v>
      </c>
      <c r="W246">
        <v>272.87</v>
      </c>
      <c r="X246">
        <v>43.3</v>
      </c>
      <c r="Y246">
        <v>100.4</v>
      </c>
      <c r="Z246">
        <v>16.63</v>
      </c>
      <c r="AA246">
        <v>2.1</v>
      </c>
      <c r="AB246">
        <v>254.14</v>
      </c>
      <c r="AC246">
        <v>248.34527687296418</v>
      </c>
      <c r="AD246">
        <v>35.444909344490931</v>
      </c>
      <c r="AE246">
        <v>79.599999999999994</v>
      </c>
      <c r="AF246">
        <v>15.41</v>
      </c>
      <c r="AG246">
        <v>1</v>
      </c>
      <c r="AH246">
        <v>18.68</v>
      </c>
      <c r="AI246">
        <v>80.680000000000007</v>
      </c>
      <c r="AJ246">
        <v>262.99</v>
      </c>
      <c r="AK246">
        <v>72.55</v>
      </c>
      <c r="AL246" t="s">
        <v>14</v>
      </c>
      <c r="AM246" t="s">
        <v>15</v>
      </c>
      <c r="AN246" t="str">
        <f t="shared" si="12"/>
        <v>Night</v>
      </c>
      <c r="AO246" t="str">
        <f t="shared" si="13"/>
        <v>Off-Peak</v>
      </c>
      <c r="AP246" t="str">
        <f t="shared" si="14"/>
        <v>Medium</v>
      </c>
      <c r="AQ246" t="str">
        <f t="shared" si="15"/>
        <v>Medium</v>
      </c>
    </row>
    <row r="247" spans="1:43" x14ac:dyDescent="0.3">
      <c r="A247">
        <v>246</v>
      </c>
      <c r="B247" t="s">
        <v>7</v>
      </c>
      <c r="C247" t="s">
        <v>8</v>
      </c>
      <c r="D247" s="1">
        <v>46024</v>
      </c>
      <c r="E247" t="s">
        <v>9</v>
      </c>
      <c r="F247">
        <v>0</v>
      </c>
      <c r="G247">
        <v>14</v>
      </c>
      <c r="H247" t="s">
        <v>10</v>
      </c>
      <c r="I247" t="s">
        <v>45</v>
      </c>
      <c r="J247">
        <v>1</v>
      </c>
      <c r="K247" t="s">
        <v>34</v>
      </c>
      <c r="L247">
        <v>1</v>
      </c>
      <c r="M247">
        <v>5</v>
      </c>
      <c r="N247">
        <v>93</v>
      </c>
      <c r="O247" t="s">
        <v>13</v>
      </c>
      <c r="P247">
        <v>43</v>
      </c>
      <c r="Q247">
        <v>1.63</v>
      </c>
      <c r="R247">
        <v>38.299999999999997</v>
      </c>
      <c r="S247">
        <v>56.56</v>
      </c>
      <c r="T247">
        <v>82.13</v>
      </c>
      <c r="U247">
        <v>1</v>
      </c>
      <c r="V247">
        <v>0</v>
      </c>
      <c r="W247">
        <v>138.69</v>
      </c>
      <c r="X247">
        <v>49</v>
      </c>
      <c r="Y247">
        <v>104.29</v>
      </c>
      <c r="Z247">
        <v>3.47</v>
      </c>
      <c r="AA247">
        <v>6.7</v>
      </c>
      <c r="AB247">
        <v>128.52000000000001</v>
      </c>
      <c r="AC247">
        <v>201.33681462140996</v>
      </c>
      <c r="AD247">
        <v>78.846625766871171</v>
      </c>
      <c r="AE247">
        <v>86</v>
      </c>
      <c r="AF247">
        <v>16.68</v>
      </c>
      <c r="AG247">
        <v>1</v>
      </c>
      <c r="AH247">
        <v>3.6</v>
      </c>
      <c r="AI247">
        <v>96.6</v>
      </c>
      <c r="AJ247">
        <v>236.05</v>
      </c>
      <c r="AK247">
        <v>86.46</v>
      </c>
      <c r="AL247" t="s">
        <v>14</v>
      </c>
      <c r="AM247" t="s">
        <v>15</v>
      </c>
      <c r="AN247" t="str">
        <f t="shared" si="12"/>
        <v>Afternoon</v>
      </c>
      <c r="AO247" t="str">
        <f t="shared" si="13"/>
        <v>Off-Peak</v>
      </c>
      <c r="AP247" t="str">
        <f t="shared" si="14"/>
        <v>Medium</v>
      </c>
      <c r="AQ247" t="str">
        <f t="shared" si="15"/>
        <v>High</v>
      </c>
    </row>
    <row r="248" spans="1:43" x14ac:dyDescent="0.3">
      <c r="A248">
        <v>247</v>
      </c>
      <c r="B248" t="s">
        <v>16</v>
      </c>
      <c r="C248" t="s">
        <v>17</v>
      </c>
      <c r="D248" s="1">
        <v>46169</v>
      </c>
      <c r="E248" t="s">
        <v>18</v>
      </c>
      <c r="F248">
        <v>0</v>
      </c>
      <c r="G248">
        <v>19</v>
      </c>
      <c r="H248" t="s">
        <v>40</v>
      </c>
      <c r="I248" t="s">
        <v>28</v>
      </c>
      <c r="J248">
        <v>1.03</v>
      </c>
      <c r="K248" t="s">
        <v>21</v>
      </c>
      <c r="L248">
        <v>0</v>
      </c>
      <c r="M248">
        <v>4.34</v>
      </c>
      <c r="N248">
        <v>71</v>
      </c>
      <c r="O248" t="s">
        <v>13</v>
      </c>
      <c r="P248">
        <v>14</v>
      </c>
      <c r="Q248">
        <v>1</v>
      </c>
      <c r="R248">
        <v>26.3</v>
      </c>
      <c r="S248">
        <v>84.17</v>
      </c>
      <c r="T248">
        <v>93.62</v>
      </c>
      <c r="U248">
        <v>1.21</v>
      </c>
      <c r="V248">
        <v>17.68</v>
      </c>
      <c r="W248">
        <v>195.47</v>
      </c>
      <c r="X248">
        <v>48</v>
      </c>
      <c r="Y248">
        <v>104.54</v>
      </c>
      <c r="Z248">
        <v>2.1800000000000002</v>
      </c>
      <c r="AA248">
        <v>6.37</v>
      </c>
      <c r="AB248">
        <v>186.92</v>
      </c>
      <c r="AC248">
        <v>426.43346007604561</v>
      </c>
      <c r="AD248">
        <v>186.92</v>
      </c>
      <c r="AE248">
        <v>83.4</v>
      </c>
      <c r="AF248">
        <v>16.48</v>
      </c>
      <c r="AG248">
        <v>1</v>
      </c>
      <c r="AH248">
        <v>4.03</v>
      </c>
      <c r="AI248">
        <v>75.03</v>
      </c>
      <c r="AJ248">
        <v>400</v>
      </c>
      <c r="AK248">
        <v>81.99</v>
      </c>
      <c r="AL248" t="s">
        <v>23</v>
      </c>
      <c r="AM248" t="s">
        <v>24</v>
      </c>
      <c r="AN248" t="str">
        <f t="shared" si="12"/>
        <v>Night</v>
      </c>
      <c r="AO248" t="str">
        <f t="shared" si="13"/>
        <v>Peak</v>
      </c>
      <c r="AP248" t="str">
        <f t="shared" si="14"/>
        <v>High</v>
      </c>
      <c r="AQ248" t="str">
        <f t="shared" si="15"/>
        <v>High</v>
      </c>
    </row>
    <row r="249" spans="1:43" x14ac:dyDescent="0.3">
      <c r="A249">
        <v>248</v>
      </c>
      <c r="B249" t="s">
        <v>48</v>
      </c>
      <c r="C249" t="s">
        <v>30</v>
      </c>
      <c r="D249" s="1">
        <v>46225</v>
      </c>
      <c r="E249" t="s">
        <v>18</v>
      </c>
      <c r="F249">
        <v>0</v>
      </c>
      <c r="G249">
        <v>12</v>
      </c>
      <c r="H249" t="s">
        <v>43</v>
      </c>
      <c r="I249" t="s">
        <v>28</v>
      </c>
      <c r="J249">
        <v>1.03</v>
      </c>
      <c r="K249" t="s">
        <v>21</v>
      </c>
      <c r="L249">
        <v>0</v>
      </c>
      <c r="M249">
        <v>3.47</v>
      </c>
      <c r="N249">
        <v>17</v>
      </c>
      <c r="O249" t="s">
        <v>22</v>
      </c>
      <c r="P249">
        <v>3</v>
      </c>
      <c r="Q249">
        <v>9.3800000000000008</v>
      </c>
      <c r="R249">
        <v>67.599999999999994</v>
      </c>
      <c r="S249">
        <v>130.32</v>
      </c>
      <c r="T249">
        <v>17.86</v>
      </c>
      <c r="U249">
        <v>1</v>
      </c>
      <c r="V249">
        <v>0</v>
      </c>
      <c r="W249">
        <v>148.18</v>
      </c>
      <c r="X249">
        <v>43.6</v>
      </c>
      <c r="Y249">
        <v>103.2</v>
      </c>
      <c r="Z249">
        <v>22.17</v>
      </c>
      <c r="AA249">
        <v>8.52</v>
      </c>
      <c r="AB249">
        <v>117.49</v>
      </c>
      <c r="AC249">
        <v>104.28106508875742</v>
      </c>
      <c r="AD249">
        <v>12.525586353944561</v>
      </c>
      <c r="AE249">
        <v>50.35</v>
      </c>
      <c r="AF249">
        <v>14.56</v>
      </c>
      <c r="AG249">
        <v>0</v>
      </c>
      <c r="AH249">
        <v>-1.89</v>
      </c>
      <c r="AI249">
        <v>15.11</v>
      </c>
      <c r="AJ249">
        <v>124.48</v>
      </c>
      <c r="AK249">
        <v>65.45</v>
      </c>
      <c r="AL249" t="s">
        <v>14</v>
      </c>
      <c r="AM249" t="s">
        <v>15</v>
      </c>
      <c r="AN249" t="str">
        <f t="shared" si="12"/>
        <v>Afternoon</v>
      </c>
      <c r="AO249" t="str">
        <f t="shared" si="13"/>
        <v>Off-Peak</v>
      </c>
      <c r="AP249" t="str">
        <f t="shared" si="14"/>
        <v>Low</v>
      </c>
      <c r="AQ249" t="str">
        <f t="shared" si="15"/>
        <v>Low</v>
      </c>
    </row>
    <row r="250" spans="1:43" x14ac:dyDescent="0.3">
      <c r="A250">
        <v>249</v>
      </c>
      <c r="B250" t="s">
        <v>16</v>
      </c>
      <c r="C250" t="s">
        <v>17</v>
      </c>
      <c r="D250" s="1">
        <v>46264</v>
      </c>
      <c r="E250" t="s">
        <v>26</v>
      </c>
      <c r="F250">
        <v>1</v>
      </c>
      <c r="G250">
        <v>18</v>
      </c>
      <c r="H250" t="s">
        <v>40</v>
      </c>
      <c r="I250" t="s">
        <v>33</v>
      </c>
      <c r="J250">
        <v>1</v>
      </c>
      <c r="K250" t="s">
        <v>21</v>
      </c>
      <c r="L250">
        <v>0</v>
      </c>
      <c r="M250">
        <v>4.05</v>
      </c>
      <c r="N250">
        <v>79</v>
      </c>
      <c r="O250" t="s">
        <v>13</v>
      </c>
      <c r="P250">
        <v>11</v>
      </c>
      <c r="Q250">
        <v>12.45</v>
      </c>
      <c r="R250">
        <v>69</v>
      </c>
      <c r="S250">
        <v>199.31</v>
      </c>
      <c r="T250">
        <v>88.78</v>
      </c>
      <c r="U250">
        <v>1.28</v>
      </c>
      <c r="V250">
        <v>55.81</v>
      </c>
      <c r="W250">
        <v>343.9</v>
      </c>
      <c r="X250">
        <v>41.3</v>
      </c>
      <c r="Y250">
        <v>106.69</v>
      </c>
      <c r="Z250">
        <v>32.19</v>
      </c>
      <c r="AA250">
        <v>3.25</v>
      </c>
      <c r="AB250">
        <v>308.45999999999998</v>
      </c>
      <c r="AC250">
        <v>268.22608695652173</v>
      </c>
      <c r="AD250">
        <v>24.775903614457832</v>
      </c>
      <c r="AE250">
        <v>77.709999999999994</v>
      </c>
      <c r="AF250">
        <v>15.52</v>
      </c>
      <c r="AG250">
        <v>1</v>
      </c>
      <c r="AH250">
        <v>-10.34</v>
      </c>
      <c r="AI250">
        <v>68.66</v>
      </c>
      <c r="AJ250">
        <v>265.43</v>
      </c>
      <c r="AK250">
        <v>78.92</v>
      </c>
      <c r="AL250" t="s">
        <v>23</v>
      </c>
      <c r="AM250" t="s">
        <v>24</v>
      </c>
      <c r="AN250" t="str">
        <f t="shared" si="12"/>
        <v>Night</v>
      </c>
      <c r="AO250" t="str">
        <f t="shared" si="13"/>
        <v>Peak</v>
      </c>
      <c r="AP250" t="str">
        <f t="shared" si="14"/>
        <v>High</v>
      </c>
      <c r="AQ250" t="str">
        <f t="shared" si="15"/>
        <v>High</v>
      </c>
    </row>
    <row r="251" spans="1:43" x14ac:dyDescent="0.3">
      <c r="A251">
        <v>250</v>
      </c>
      <c r="B251" t="s">
        <v>7</v>
      </c>
      <c r="C251" t="s">
        <v>8</v>
      </c>
      <c r="D251" s="1">
        <v>46108</v>
      </c>
      <c r="E251" t="s">
        <v>9</v>
      </c>
      <c r="F251">
        <v>0</v>
      </c>
      <c r="G251">
        <v>10</v>
      </c>
      <c r="H251" t="s">
        <v>49</v>
      </c>
      <c r="I251" t="s">
        <v>46</v>
      </c>
      <c r="J251">
        <v>1.1499999999999999</v>
      </c>
      <c r="K251" t="s">
        <v>21</v>
      </c>
      <c r="L251">
        <v>0</v>
      </c>
      <c r="M251">
        <v>3.94</v>
      </c>
      <c r="N251">
        <v>27</v>
      </c>
      <c r="O251" t="s">
        <v>22</v>
      </c>
      <c r="P251">
        <v>14</v>
      </c>
      <c r="Q251">
        <v>3.78</v>
      </c>
      <c r="R251">
        <v>37</v>
      </c>
      <c r="S251">
        <v>78.95</v>
      </c>
      <c r="T251">
        <v>18.02</v>
      </c>
      <c r="U251">
        <v>1</v>
      </c>
      <c r="V251">
        <v>0</v>
      </c>
      <c r="W251">
        <v>96.97</v>
      </c>
      <c r="X251">
        <v>45.5</v>
      </c>
      <c r="Y251">
        <v>104.85</v>
      </c>
      <c r="Z251">
        <v>8.7200000000000006</v>
      </c>
      <c r="AA251">
        <v>8.2100000000000009</v>
      </c>
      <c r="AB251">
        <v>80.040000000000006</v>
      </c>
      <c r="AC251">
        <v>129.7945945945946</v>
      </c>
      <c r="AD251">
        <v>21.174603174603178</v>
      </c>
      <c r="AE251">
        <v>65.540000000000006</v>
      </c>
      <c r="AF251">
        <v>19.079999999999998</v>
      </c>
      <c r="AG251">
        <v>0</v>
      </c>
      <c r="AH251">
        <v>-10.84</v>
      </c>
      <c r="AI251">
        <v>16.16</v>
      </c>
      <c r="AJ251">
        <v>130.35</v>
      </c>
      <c r="AK251">
        <v>68.78</v>
      </c>
      <c r="AL251" t="s">
        <v>14</v>
      </c>
      <c r="AM251" t="s">
        <v>15</v>
      </c>
      <c r="AN251" t="str">
        <f t="shared" si="12"/>
        <v>Morning</v>
      </c>
      <c r="AO251" t="str">
        <f t="shared" si="13"/>
        <v>Peak</v>
      </c>
      <c r="AP251" t="str">
        <f t="shared" si="14"/>
        <v>Low</v>
      </c>
      <c r="AQ251" t="str">
        <f t="shared" si="15"/>
        <v>Low</v>
      </c>
    </row>
    <row r="252" spans="1:43" x14ac:dyDescent="0.3">
      <c r="A252">
        <v>251</v>
      </c>
      <c r="B252" t="s">
        <v>14</v>
      </c>
      <c r="C252" t="s">
        <v>8</v>
      </c>
      <c r="D252" s="1">
        <v>46250</v>
      </c>
      <c r="E252" t="s">
        <v>26</v>
      </c>
      <c r="F252">
        <v>1</v>
      </c>
      <c r="G252">
        <v>18</v>
      </c>
      <c r="H252" t="s">
        <v>51</v>
      </c>
      <c r="I252" t="s">
        <v>42</v>
      </c>
      <c r="J252">
        <v>1.08</v>
      </c>
      <c r="K252" t="s">
        <v>34</v>
      </c>
      <c r="L252">
        <v>1</v>
      </c>
      <c r="M252">
        <v>5</v>
      </c>
      <c r="N252">
        <v>102</v>
      </c>
      <c r="O252" t="s">
        <v>13</v>
      </c>
      <c r="P252">
        <v>29</v>
      </c>
      <c r="Q252">
        <v>1</v>
      </c>
      <c r="R252">
        <v>28.4</v>
      </c>
      <c r="S252">
        <v>58.49</v>
      </c>
      <c r="T252">
        <v>100</v>
      </c>
      <c r="U252">
        <v>1</v>
      </c>
      <c r="V252">
        <v>0</v>
      </c>
      <c r="W252">
        <v>158.49</v>
      </c>
      <c r="X252">
        <v>48.8</v>
      </c>
      <c r="Y252">
        <v>100.74</v>
      </c>
      <c r="Z252">
        <v>2.06</v>
      </c>
      <c r="AA252">
        <v>11.47</v>
      </c>
      <c r="AB252">
        <v>144.96</v>
      </c>
      <c r="AC252">
        <v>306.25352112676057</v>
      </c>
      <c r="AD252">
        <v>144.96</v>
      </c>
      <c r="AE252">
        <v>73.53</v>
      </c>
      <c r="AF252">
        <v>18.88</v>
      </c>
      <c r="AG252">
        <v>1</v>
      </c>
      <c r="AH252">
        <v>-21.93</v>
      </c>
      <c r="AI252">
        <v>80.069999999999993</v>
      </c>
      <c r="AJ252">
        <v>307.98</v>
      </c>
      <c r="AK252">
        <v>73.75</v>
      </c>
      <c r="AL252" t="s">
        <v>14</v>
      </c>
      <c r="AM252" t="s">
        <v>15</v>
      </c>
      <c r="AN252" t="str">
        <f t="shared" si="12"/>
        <v>Night</v>
      </c>
      <c r="AO252" t="str">
        <f t="shared" si="13"/>
        <v>Peak</v>
      </c>
      <c r="AP252" t="str">
        <f t="shared" si="14"/>
        <v>High</v>
      </c>
      <c r="AQ252" t="str">
        <f t="shared" si="15"/>
        <v>High</v>
      </c>
    </row>
    <row r="253" spans="1:43" x14ac:dyDescent="0.3">
      <c r="A253">
        <v>252</v>
      </c>
      <c r="B253" t="s">
        <v>29</v>
      </c>
      <c r="C253" t="s">
        <v>30</v>
      </c>
      <c r="D253" s="1">
        <v>46249</v>
      </c>
      <c r="E253" t="s">
        <v>31</v>
      </c>
      <c r="F253">
        <v>1</v>
      </c>
      <c r="G253">
        <v>7</v>
      </c>
      <c r="H253" t="s">
        <v>47</v>
      </c>
      <c r="I253" t="s">
        <v>45</v>
      </c>
      <c r="J253">
        <v>1</v>
      </c>
      <c r="K253" t="s">
        <v>12</v>
      </c>
      <c r="L253">
        <v>0</v>
      </c>
      <c r="M253">
        <v>3.36</v>
      </c>
      <c r="N253">
        <v>29</v>
      </c>
      <c r="O253" t="s">
        <v>22</v>
      </c>
      <c r="P253">
        <v>8</v>
      </c>
      <c r="Q253">
        <v>3.75</v>
      </c>
      <c r="R253">
        <v>38.700000000000003</v>
      </c>
      <c r="S253">
        <v>63.55</v>
      </c>
      <c r="T253">
        <v>26.12</v>
      </c>
      <c r="U253">
        <v>1</v>
      </c>
      <c r="V253">
        <v>0</v>
      </c>
      <c r="W253">
        <v>89.67</v>
      </c>
      <c r="X253">
        <v>42.3</v>
      </c>
      <c r="Y253">
        <v>103.48</v>
      </c>
      <c r="Z253">
        <v>9.15</v>
      </c>
      <c r="AA253">
        <v>5.72</v>
      </c>
      <c r="AB253">
        <v>74.8</v>
      </c>
      <c r="AC253">
        <v>115.96899224806201</v>
      </c>
      <c r="AD253">
        <v>19.946666666666665</v>
      </c>
      <c r="AE253">
        <v>86.12</v>
      </c>
      <c r="AF253">
        <v>13.72</v>
      </c>
      <c r="AG253">
        <v>1</v>
      </c>
      <c r="AH253">
        <v>20.72</v>
      </c>
      <c r="AI253">
        <v>49.72</v>
      </c>
      <c r="AJ253">
        <v>119.64</v>
      </c>
      <c r="AK253">
        <v>60</v>
      </c>
      <c r="AL253" t="s">
        <v>23</v>
      </c>
      <c r="AM253" t="s">
        <v>24</v>
      </c>
      <c r="AN253" t="str">
        <f t="shared" si="12"/>
        <v>Morning</v>
      </c>
      <c r="AO253" t="str">
        <f t="shared" si="13"/>
        <v>Peak</v>
      </c>
      <c r="AP253" t="str">
        <f t="shared" si="14"/>
        <v>Low</v>
      </c>
      <c r="AQ253" t="str">
        <f t="shared" si="15"/>
        <v>Low</v>
      </c>
    </row>
    <row r="254" spans="1:43" x14ac:dyDescent="0.3">
      <c r="A254">
        <v>253</v>
      </c>
      <c r="B254" t="s">
        <v>14</v>
      </c>
      <c r="C254" t="s">
        <v>8</v>
      </c>
      <c r="D254" s="1">
        <v>46278</v>
      </c>
      <c r="E254" t="s">
        <v>26</v>
      </c>
      <c r="F254">
        <v>1</v>
      </c>
      <c r="G254">
        <v>8</v>
      </c>
      <c r="H254" t="s">
        <v>49</v>
      </c>
      <c r="I254" t="s">
        <v>45</v>
      </c>
      <c r="J254">
        <v>1</v>
      </c>
      <c r="K254" t="s">
        <v>21</v>
      </c>
      <c r="L254">
        <v>0</v>
      </c>
      <c r="M254">
        <v>3.74</v>
      </c>
      <c r="N254">
        <v>38</v>
      </c>
      <c r="O254" t="s">
        <v>35</v>
      </c>
      <c r="P254">
        <v>18</v>
      </c>
      <c r="Q254">
        <v>7.45</v>
      </c>
      <c r="R254">
        <v>55.5</v>
      </c>
      <c r="S254">
        <v>108.26</v>
      </c>
      <c r="T254">
        <v>48.54</v>
      </c>
      <c r="U254">
        <v>1</v>
      </c>
      <c r="V254">
        <v>0</v>
      </c>
      <c r="W254">
        <v>156.80000000000001</v>
      </c>
      <c r="X254">
        <v>36.5</v>
      </c>
      <c r="Y254">
        <v>101.02</v>
      </c>
      <c r="Z254">
        <v>20.61</v>
      </c>
      <c r="AA254">
        <v>5.37</v>
      </c>
      <c r="AB254">
        <v>130.82</v>
      </c>
      <c r="AC254">
        <v>141.42702702702701</v>
      </c>
      <c r="AD254">
        <v>17.55973154362416</v>
      </c>
      <c r="AE254">
        <v>72.040000000000006</v>
      </c>
      <c r="AF254">
        <v>13.25</v>
      </c>
      <c r="AG254">
        <v>1</v>
      </c>
      <c r="AH254">
        <v>9.94</v>
      </c>
      <c r="AI254">
        <v>47.94</v>
      </c>
      <c r="AJ254">
        <v>146.47999999999999</v>
      </c>
      <c r="AK254">
        <v>63.56</v>
      </c>
      <c r="AL254" t="s">
        <v>14</v>
      </c>
      <c r="AM254" t="s">
        <v>15</v>
      </c>
      <c r="AN254" t="str">
        <f t="shared" si="12"/>
        <v>Morning</v>
      </c>
      <c r="AO254" t="str">
        <f t="shared" si="13"/>
        <v>Peak</v>
      </c>
      <c r="AP254" t="str">
        <f t="shared" si="14"/>
        <v>Low</v>
      </c>
      <c r="AQ254" t="str">
        <f t="shared" si="15"/>
        <v>Medium</v>
      </c>
    </row>
    <row r="255" spans="1:43" x14ac:dyDescent="0.3">
      <c r="A255">
        <v>254</v>
      </c>
      <c r="B255" t="s">
        <v>48</v>
      </c>
      <c r="C255" t="s">
        <v>30</v>
      </c>
      <c r="D255" s="1">
        <v>46119</v>
      </c>
      <c r="E255" t="s">
        <v>44</v>
      </c>
      <c r="F255">
        <v>0</v>
      </c>
      <c r="G255">
        <v>12</v>
      </c>
      <c r="H255" t="s">
        <v>43</v>
      </c>
      <c r="I255" t="s">
        <v>42</v>
      </c>
      <c r="J255">
        <v>1.08</v>
      </c>
      <c r="K255" t="s">
        <v>21</v>
      </c>
      <c r="L255">
        <v>0</v>
      </c>
      <c r="M255">
        <v>3.6</v>
      </c>
      <c r="N255">
        <v>28</v>
      </c>
      <c r="O255" t="s">
        <v>22</v>
      </c>
      <c r="P255">
        <v>6</v>
      </c>
      <c r="Q255">
        <v>8.77</v>
      </c>
      <c r="R255">
        <v>61.1</v>
      </c>
      <c r="S255">
        <v>115.59</v>
      </c>
      <c r="T255">
        <v>24.36</v>
      </c>
      <c r="U255">
        <v>1</v>
      </c>
      <c r="V255">
        <v>0</v>
      </c>
      <c r="W255">
        <v>139.94999999999999</v>
      </c>
      <c r="X255">
        <v>46.5</v>
      </c>
      <c r="Y255">
        <v>100.63</v>
      </c>
      <c r="Z255">
        <v>18.98</v>
      </c>
      <c r="AA255">
        <v>2.2799999999999998</v>
      </c>
      <c r="AB255">
        <v>118.69</v>
      </c>
      <c r="AC255">
        <v>116.55319148936171</v>
      </c>
      <c r="AD255">
        <v>13.53363740022805</v>
      </c>
      <c r="AE255">
        <v>89.38</v>
      </c>
      <c r="AF255">
        <v>16.54</v>
      </c>
      <c r="AG255">
        <v>0</v>
      </c>
      <c r="AH255">
        <v>4.24</v>
      </c>
      <c r="AI255">
        <v>32.24</v>
      </c>
      <c r="AJ255">
        <v>130.86000000000001</v>
      </c>
      <c r="AK255">
        <v>69.05</v>
      </c>
      <c r="AL255" t="s">
        <v>14</v>
      </c>
      <c r="AM255" t="s">
        <v>15</v>
      </c>
      <c r="AN255" t="str">
        <f t="shared" si="12"/>
        <v>Afternoon</v>
      </c>
      <c r="AO255" t="str">
        <f t="shared" si="13"/>
        <v>Off-Peak</v>
      </c>
      <c r="AP255" t="str">
        <f t="shared" si="14"/>
        <v>Low</v>
      </c>
      <c r="AQ255" t="str">
        <f t="shared" si="15"/>
        <v>Low</v>
      </c>
    </row>
    <row r="256" spans="1:43" x14ac:dyDescent="0.3">
      <c r="A256">
        <v>255</v>
      </c>
      <c r="B256" t="s">
        <v>25</v>
      </c>
      <c r="C256" t="s">
        <v>17</v>
      </c>
      <c r="D256" s="1">
        <v>46242</v>
      </c>
      <c r="E256" t="s">
        <v>31</v>
      </c>
      <c r="F256">
        <v>1</v>
      </c>
      <c r="G256">
        <v>14</v>
      </c>
      <c r="H256" t="s">
        <v>19</v>
      </c>
      <c r="I256" t="s">
        <v>39</v>
      </c>
      <c r="J256">
        <v>1.05</v>
      </c>
      <c r="K256" t="s">
        <v>12</v>
      </c>
      <c r="L256">
        <v>0</v>
      </c>
      <c r="M256">
        <v>2.65</v>
      </c>
      <c r="N256">
        <v>41</v>
      </c>
      <c r="O256" t="s">
        <v>35</v>
      </c>
      <c r="P256">
        <v>9</v>
      </c>
      <c r="Q256">
        <v>1.8</v>
      </c>
      <c r="R256">
        <v>25.8</v>
      </c>
      <c r="S256">
        <v>96.15</v>
      </c>
      <c r="T256">
        <v>44.65</v>
      </c>
      <c r="U256">
        <v>1</v>
      </c>
      <c r="V256">
        <v>0</v>
      </c>
      <c r="W256">
        <v>140.80000000000001</v>
      </c>
      <c r="X256">
        <v>35.200000000000003</v>
      </c>
      <c r="Y256">
        <v>102.08</v>
      </c>
      <c r="Z256">
        <v>5.22</v>
      </c>
      <c r="AA256">
        <v>2.57</v>
      </c>
      <c r="AB256">
        <v>133.01</v>
      </c>
      <c r="AC256">
        <v>309.32558139534882</v>
      </c>
      <c r="AD256">
        <v>73.894444444444431</v>
      </c>
      <c r="AE256">
        <v>64.02</v>
      </c>
      <c r="AF256">
        <v>16.760000000000002</v>
      </c>
      <c r="AG256">
        <v>1</v>
      </c>
      <c r="AH256">
        <v>7.43</v>
      </c>
      <c r="AI256">
        <v>48.43</v>
      </c>
      <c r="AJ256">
        <v>328.98</v>
      </c>
      <c r="AK256">
        <v>65.319999999999993</v>
      </c>
      <c r="AL256" t="s">
        <v>14</v>
      </c>
      <c r="AM256" t="s">
        <v>15</v>
      </c>
      <c r="AN256" t="str">
        <f t="shared" si="12"/>
        <v>Afternoon</v>
      </c>
      <c r="AO256" t="str">
        <f t="shared" si="13"/>
        <v>Off-Peak</v>
      </c>
      <c r="AP256" t="str">
        <f t="shared" si="14"/>
        <v>High</v>
      </c>
      <c r="AQ256" t="str">
        <f t="shared" si="15"/>
        <v>Medium</v>
      </c>
    </row>
    <row r="257" spans="1:43" x14ac:dyDescent="0.3">
      <c r="A257">
        <v>256</v>
      </c>
      <c r="B257" t="s">
        <v>14</v>
      </c>
      <c r="C257" t="s">
        <v>8</v>
      </c>
      <c r="D257" s="1">
        <v>46168</v>
      </c>
      <c r="E257" t="s">
        <v>44</v>
      </c>
      <c r="F257">
        <v>0</v>
      </c>
      <c r="G257">
        <v>18</v>
      </c>
      <c r="H257" t="s">
        <v>51</v>
      </c>
      <c r="I257" t="s">
        <v>45</v>
      </c>
      <c r="J257">
        <v>1</v>
      </c>
      <c r="K257" t="s">
        <v>34</v>
      </c>
      <c r="L257">
        <v>1</v>
      </c>
      <c r="M257">
        <v>3.52</v>
      </c>
      <c r="N257">
        <v>68</v>
      </c>
      <c r="O257" t="s">
        <v>35</v>
      </c>
      <c r="P257">
        <v>21</v>
      </c>
      <c r="Q257">
        <v>3.32</v>
      </c>
      <c r="R257">
        <v>37.200000000000003</v>
      </c>
      <c r="S257">
        <v>87.69</v>
      </c>
      <c r="T257">
        <v>67.16</v>
      </c>
      <c r="U257">
        <v>1</v>
      </c>
      <c r="V257">
        <v>0</v>
      </c>
      <c r="W257">
        <v>154.85</v>
      </c>
      <c r="X257">
        <v>46.5</v>
      </c>
      <c r="Y257">
        <v>107.01</v>
      </c>
      <c r="Z257">
        <v>7.65</v>
      </c>
      <c r="AA257">
        <v>11.32</v>
      </c>
      <c r="AB257">
        <v>135.88</v>
      </c>
      <c r="AC257">
        <v>219.16129032258064</v>
      </c>
      <c r="AD257">
        <v>40.927710843373497</v>
      </c>
      <c r="AE257">
        <v>68.77</v>
      </c>
      <c r="AF257">
        <v>15.63</v>
      </c>
      <c r="AG257">
        <v>1</v>
      </c>
      <c r="AH257">
        <v>8.09</v>
      </c>
      <c r="AI257">
        <v>76.09</v>
      </c>
      <c r="AJ257">
        <v>242.69</v>
      </c>
      <c r="AK257">
        <v>73.59</v>
      </c>
      <c r="AL257" t="s">
        <v>14</v>
      </c>
      <c r="AM257" t="s">
        <v>15</v>
      </c>
      <c r="AN257" t="str">
        <f t="shared" si="12"/>
        <v>Night</v>
      </c>
      <c r="AO257" t="str">
        <f t="shared" si="13"/>
        <v>Peak</v>
      </c>
      <c r="AP257" t="str">
        <f t="shared" si="14"/>
        <v>Medium</v>
      </c>
      <c r="AQ257" t="str">
        <f t="shared" si="15"/>
        <v>Medium</v>
      </c>
    </row>
    <row r="258" spans="1:43" x14ac:dyDescent="0.3">
      <c r="A258">
        <v>257</v>
      </c>
      <c r="B258" t="s">
        <v>25</v>
      </c>
      <c r="C258" t="s">
        <v>17</v>
      </c>
      <c r="D258" s="1">
        <v>46038</v>
      </c>
      <c r="E258" t="s">
        <v>9</v>
      </c>
      <c r="F258">
        <v>0</v>
      </c>
      <c r="G258">
        <v>12</v>
      </c>
      <c r="H258" t="s">
        <v>19</v>
      </c>
      <c r="I258" t="s">
        <v>28</v>
      </c>
      <c r="J258">
        <v>1.03</v>
      </c>
      <c r="K258" t="s">
        <v>12</v>
      </c>
      <c r="L258">
        <v>0</v>
      </c>
      <c r="M258">
        <v>3.34</v>
      </c>
      <c r="N258">
        <v>35</v>
      </c>
      <c r="O258" t="s">
        <v>22</v>
      </c>
      <c r="P258">
        <v>6</v>
      </c>
      <c r="Q258">
        <v>4.97</v>
      </c>
      <c r="R258">
        <v>46.4</v>
      </c>
      <c r="S258">
        <v>125.64</v>
      </c>
      <c r="T258">
        <v>30.3</v>
      </c>
      <c r="U258">
        <v>1</v>
      </c>
      <c r="V258">
        <v>0</v>
      </c>
      <c r="W258">
        <v>155.94</v>
      </c>
      <c r="X258">
        <v>36.299999999999997</v>
      </c>
      <c r="Y258">
        <v>106.96</v>
      </c>
      <c r="Z258">
        <v>14.66</v>
      </c>
      <c r="AA258">
        <v>11.76</v>
      </c>
      <c r="AB258">
        <v>129.52000000000001</v>
      </c>
      <c r="AC258">
        <v>167.48275862068968</v>
      </c>
      <c r="AD258">
        <v>26.060362173038232</v>
      </c>
      <c r="AE258">
        <v>80.900000000000006</v>
      </c>
      <c r="AF258">
        <v>17.14</v>
      </c>
      <c r="AG258">
        <v>0</v>
      </c>
      <c r="AH258">
        <v>-8.02</v>
      </c>
      <c r="AI258">
        <v>26.98</v>
      </c>
      <c r="AJ258">
        <v>154.54</v>
      </c>
      <c r="AK258">
        <v>72.900000000000006</v>
      </c>
      <c r="AL258" t="s">
        <v>14</v>
      </c>
      <c r="AM258" t="s">
        <v>15</v>
      </c>
      <c r="AN258" t="str">
        <f t="shared" si="12"/>
        <v>Afternoon</v>
      </c>
      <c r="AO258" t="str">
        <f t="shared" si="13"/>
        <v>Off-Peak</v>
      </c>
      <c r="AP258" t="str">
        <f t="shared" si="14"/>
        <v>Medium</v>
      </c>
      <c r="AQ258" t="str">
        <f t="shared" si="15"/>
        <v>Low</v>
      </c>
    </row>
    <row r="259" spans="1:43" x14ac:dyDescent="0.3">
      <c r="A259">
        <v>258</v>
      </c>
      <c r="B259" t="s">
        <v>7</v>
      </c>
      <c r="C259" t="s">
        <v>8</v>
      </c>
      <c r="D259" s="1">
        <v>46092</v>
      </c>
      <c r="E259" t="s">
        <v>18</v>
      </c>
      <c r="F259">
        <v>0</v>
      </c>
      <c r="G259">
        <v>7</v>
      </c>
      <c r="H259" t="s">
        <v>49</v>
      </c>
      <c r="I259" t="s">
        <v>20</v>
      </c>
      <c r="J259">
        <v>1.25</v>
      </c>
      <c r="K259" t="s">
        <v>12</v>
      </c>
      <c r="L259">
        <v>0</v>
      </c>
      <c r="M259">
        <v>3.44</v>
      </c>
      <c r="N259">
        <v>5</v>
      </c>
      <c r="O259" t="s">
        <v>22</v>
      </c>
      <c r="P259">
        <v>2</v>
      </c>
      <c r="Q259">
        <v>7.16</v>
      </c>
      <c r="R259">
        <v>54.7</v>
      </c>
      <c r="S259">
        <v>103.61</v>
      </c>
      <c r="T259">
        <v>9.59</v>
      </c>
      <c r="U259">
        <v>1</v>
      </c>
      <c r="V259">
        <v>0</v>
      </c>
      <c r="W259">
        <v>113.2</v>
      </c>
      <c r="X259">
        <v>36.6</v>
      </c>
      <c r="Y259">
        <v>108.61</v>
      </c>
      <c r="Z259">
        <v>21.25</v>
      </c>
      <c r="AA259">
        <v>2.06</v>
      </c>
      <c r="AB259">
        <v>89.89</v>
      </c>
      <c r="AC259">
        <v>98.599634369287017</v>
      </c>
      <c r="AD259">
        <v>12.554469273743017</v>
      </c>
      <c r="AE259">
        <v>69.67</v>
      </c>
      <c r="AF259">
        <v>14.26</v>
      </c>
      <c r="AG259">
        <v>0</v>
      </c>
      <c r="AH259">
        <v>-1.88</v>
      </c>
      <c r="AI259">
        <v>5</v>
      </c>
      <c r="AJ259">
        <v>78.290000000000006</v>
      </c>
      <c r="AK259">
        <v>65.67</v>
      </c>
      <c r="AL259" t="s">
        <v>14</v>
      </c>
      <c r="AM259" t="s">
        <v>15</v>
      </c>
      <c r="AN259" t="str">
        <f t="shared" ref="AN259:AN322" si="16">IF(G259&lt;11,"Morning",IF(G259&lt;15,"Afternoon",IF(G259&lt;18,"Evening","Night")))</f>
        <v>Morning</v>
      </c>
      <c r="AO259" t="str">
        <f t="shared" ref="AO259:AO322" si="17">IF(OR(AND(G259&gt;=7,G259&lt;=10),AND(G259&gt;=17,G259&lt;=20)),"Peak","Off-Peak")</f>
        <v>Peak</v>
      </c>
      <c r="AP259" t="str">
        <f t="shared" ref="AP259:AP322" si="18">IF(AC259&lt;150,"Low",IF(AC259&lt;=250,"Medium","High"))</f>
        <v>Low</v>
      </c>
      <c r="AQ259" t="str">
        <f t="shared" ref="AQ259:AQ322" si="19">IF(N259&lt;=35,"Low",IF(N259&lt;=70,"Medium","High"))</f>
        <v>Low</v>
      </c>
    </row>
    <row r="260" spans="1:43" x14ac:dyDescent="0.3">
      <c r="A260">
        <v>259</v>
      </c>
      <c r="B260" t="s">
        <v>14</v>
      </c>
      <c r="C260" t="s">
        <v>8</v>
      </c>
      <c r="D260" s="1">
        <v>46196</v>
      </c>
      <c r="E260" t="s">
        <v>44</v>
      </c>
      <c r="F260">
        <v>0</v>
      </c>
      <c r="G260">
        <v>12</v>
      </c>
      <c r="H260" t="s">
        <v>10</v>
      </c>
      <c r="I260" t="s">
        <v>42</v>
      </c>
      <c r="J260">
        <v>1.08</v>
      </c>
      <c r="K260" t="s">
        <v>12</v>
      </c>
      <c r="L260">
        <v>0</v>
      </c>
      <c r="M260">
        <v>4.97</v>
      </c>
      <c r="N260">
        <v>63</v>
      </c>
      <c r="O260" t="s">
        <v>35</v>
      </c>
      <c r="P260">
        <v>34</v>
      </c>
      <c r="Q260">
        <v>6.66</v>
      </c>
      <c r="R260">
        <v>56.4</v>
      </c>
      <c r="S260">
        <v>96.21</v>
      </c>
      <c r="T260">
        <v>76.05</v>
      </c>
      <c r="U260">
        <v>1</v>
      </c>
      <c r="V260">
        <v>0</v>
      </c>
      <c r="W260">
        <v>172.26</v>
      </c>
      <c r="X260">
        <v>46.7</v>
      </c>
      <c r="Y260">
        <v>107.56</v>
      </c>
      <c r="Z260">
        <v>15.33</v>
      </c>
      <c r="AA260">
        <v>11.01</v>
      </c>
      <c r="AB260">
        <v>145.91999999999999</v>
      </c>
      <c r="AC260">
        <v>155.23404255319147</v>
      </c>
      <c r="AD260">
        <v>21.909909909909906</v>
      </c>
      <c r="AE260">
        <v>79.5</v>
      </c>
      <c r="AF260">
        <v>16.11</v>
      </c>
      <c r="AG260">
        <v>1</v>
      </c>
      <c r="AH260">
        <v>-4.1100000000000003</v>
      </c>
      <c r="AI260">
        <v>58.89</v>
      </c>
      <c r="AJ260">
        <v>170.96</v>
      </c>
      <c r="AK260">
        <v>76.14</v>
      </c>
      <c r="AL260" t="s">
        <v>14</v>
      </c>
      <c r="AM260" t="s">
        <v>15</v>
      </c>
      <c r="AN260" t="str">
        <f t="shared" si="16"/>
        <v>Afternoon</v>
      </c>
      <c r="AO260" t="str">
        <f t="shared" si="17"/>
        <v>Off-Peak</v>
      </c>
      <c r="AP260" t="str">
        <f t="shared" si="18"/>
        <v>Medium</v>
      </c>
      <c r="AQ260" t="str">
        <f t="shared" si="19"/>
        <v>Medium</v>
      </c>
    </row>
    <row r="261" spans="1:43" x14ac:dyDescent="0.3">
      <c r="A261">
        <v>260</v>
      </c>
      <c r="B261" t="s">
        <v>25</v>
      </c>
      <c r="C261" t="s">
        <v>17</v>
      </c>
      <c r="D261" s="1">
        <v>46064</v>
      </c>
      <c r="E261" t="s">
        <v>18</v>
      </c>
      <c r="F261">
        <v>0</v>
      </c>
      <c r="G261">
        <v>14</v>
      </c>
      <c r="H261" t="s">
        <v>19</v>
      </c>
      <c r="I261" t="s">
        <v>39</v>
      </c>
      <c r="J261">
        <v>1.05</v>
      </c>
      <c r="K261" t="s">
        <v>12</v>
      </c>
      <c r="L261">
        <v>0</v>
      </c>
      <c r="M261">
        <v>2.25</v>
      </c>
      <c r="N261">
        <v>16</v>
      </c>
      <c r="O261" t="s">
        <v>22</v>
      </c>
      <c r="P261">
        <v>2</v>
      </c>
      <c r="Q261">
        <v>5.95</v>
      </c>
      <c r="R261">
        <v>45.8</v>
      </c>
      <c r="S261">
        <v>125.87</v>
      </c>
      <c r="T261">
        <v>11.54</v>
      </c>
      <c r="U261">
        <v>1</v>
      </c>
      <c r="V261">
        <v>0</v>
      </c>
      <c r="W261">
        <v>137.41</v>
      </c>
      <c r="X261">
        <v>45.3</v>
      </c>
      <c r="Y261">
        <v>105.35</v>
      </c>
      <c r="Z261">
        <v>13.83</v>
      </c>
      <c r="AA261">
        <v>3.74</v>
      </c>
      <c r="AB261">
        <v>119.84</v>
      </c>
      <c r="AC261">
        <v>156.99563318777294</v>
      </c>
      <c r="AD261">
        <v>20.141176470588235</v>
      </c>
      <c r="AE261">
        <v>72.38</v>
      </c>
      <c r="AF261">
        <v>10.42</v>
      </c>
      <c r="AG261">
        <v>0</v>
      </c>
      <c r="AH261">
        <v>40.67</v>
      </c>
      <c r="AI261">
        <v>56.67</v>
      </c>
      <c r="AJ261">
        <v>179.52</v>
      </c>
      <c r="AK261">
        <v>60</v>
      </c>
      <c r="AL261" t="s">
        <v>14</v>
      </c>
      <c r="AM261" t="s">
        <v>15</v>
      </c>
      <c r="AN261" t="str">
        <f t="shared" si="16"/>
        <v>Afternoon</v>
      </c>
      <c r="AO261" t="str">
        <f t="shared" si="17"/>
        <v>Off-Peak</v>
      </c>
      <c r="AP261" t="str">
        <f t="shared" si="18"/>
        <v>Medium</v>
      </c>
      <c r="AQ261" t="str">
        <f t="shared" si="19"/>
        <v>Low</v>
      </c>
    </row>
    <row r="262" spans="1:43" x14ac:dyDescent="0.3">
      <c r="A262">
        <v>261</v>
      </c>
      <c r="B262" t="s">
        <v>16</v>
      </c>
      <c r="C262" t="s">
        <v>17</v>
      </c>
      <c r="D262" s="1">
        <v>46135</v>
      </c>
      <c r="E262" t="s">
        <v>41</v>
      </c>
      <c r="F262">
        <v>0</v>
      </c>
      <c r="G262">
        <v>15</v>
      </c>
      <c r="H262" t="s">
        <v>19</v>
      </c>
      <c r="I262" t="s">
        <v>33</v>
      </c>
      <c r="J262">
        <v>1</v>
      </c>
      <c r="K262" t="s">
        <v>21</v>
      </c>
      <c r="L262">
        <v>0</v>
      </c>
      <c r="M262">
        <v>2.27</v>
      </c>
      <c r="N262">
        <v>24</v>
      </c>
      <c r="O262" t="s">
        <v>22</v>
      </c>
      <c r="P262">
        <v>3</v>
      </c>
      <c r="Q262">
        <v>8.75</v>
      </c>
      <c r="R262">
        <v>60.6</v>
      </c>
      <c r="S262">
        <v>171.88</v>
      </c>
      <c r="T262">
        <v>25.69</v>
      </c>
      <c r="U262">
        <v>1.05</v>
      </c>
      <c r="V262">
        <v>8.59</v>
      </c>
      <c r="W262">
        <v>206.16</v>
      </c>
      <c r="X262">
        <v>43.4</v>
      </c>
      <c r="Y262">
        <v>103.13</v>
      </c>
      <c r="Z262">
        <v>20.78</v>
      </c>
      <c r="AA262">
        <v>7.61</v>
      </c>
      <c r="AB262">
        <v>177.77</v>
      </c>
      <c r="AC262">
        <v>176.00990099009903</v>
      </c>
      <c r="AD262">
        <v>20.316571428571429</v>
      </c>
      <c r="AE262">
        <v>72.78</v>
      </c>
      <c r="AF262">
        <v>14.29</v>
      </c>
      <c r="AG262">
        <v>0</v>
      </c>
      <c r="AH262">
        <v>18.3</v>
      </c>
      <c r="AI262">
        <v>42.3</v>
      </c>
      <c r="AJ262">
        <v>175.59</v>
      </c>
      <c r="AK262">
        <v>65.48</v>
      </c>
      <c r="AL262" t="s">
        <v>23</v>
      </c>
      <c r="AM262" t="s">
        <v>24</v>
      </c>
      <c r="AN262" t="str">
        <f t="shared" si="16"/>
        <v>Evening</v>
      </c>
      <c r="AO262" t="str">
        <f t="shared" si="17"/>
        <v>Off-Peak</v>
      </c>
      <c r="AP262" t="str">
        <f t="shared" si="18"/>
        <v>Medium</v>
      </c>
      <c r="AQ262" t="str">
        <f t="shared" si="19"/>
        <v>Low</v>
      </c>
    </row>
    <row r="263" spans="1:43" x14ac:dyDescent="0.3">
      <c r="A263">
        <v>262</v>
      </c>
      <c r="B263" t="s">
        <v>14</v>
      </c>
      <c r="C263" t="s">
        <v>8</v>
      </c>
      <c r="D263" s="1">
        <v>46222</v>
      </c>
      <c r="E263" t="s">
        <v>26</v>
      </c>
      <c r="F263">
        <v>1</v>
      </c>
      <c r="G263">
        <v>17</v>
      </c>
      <c r="H263" t="s">
        <v>32</v>
      </c>
      <c r="I263" t="s">
        <v>50</v>
      </c>
      <c r="J263">
        <v>1.2</v>
      </c>
      <c r="K263" t="s">
        <v>12</v>
      </c>
      <c r="L263">
        <v>0</v>
      </c>
      <c r="M263">
        <v>3.37</v>
      </c>
      <c r="N263">
        <v>53</v>
      </c>
      <c r="O263" t="s">
        <v>35</v>
      </c>
      <c r="P263">
        <v>28</v>
      </c>
      <c r="Q263">
        <v>3.98</v>
      </c>
      <c r="R263">
        <v>36.6</v>
      </c>
      <c r="S263">
        <v>77.03</v>
      </c>
      <c r="T263">
        <v>69.58</v>
      </c>
      <c r="U263">
        <v>1</v>
      </c>
      <c r="V263">
        <v>0</v>
      </c>
      <c r="W263">
        <v>146.61000000000001</v>
      </c>
      <c r="X263">
        <v>47.3</v>
      </c>
      <c r="Y263">
        <v>100.06</v>
      </c>
      <c r="Z263">
        <v>8.43</v>
      </c>
      <c r="AA263">
        <v>8.7799999999999994</v>
      </c>
      <c r="AB263">
        <v>129.4</v>
      </c>
      <c r="AC263">
        <v>212.13114754098362</v>
      </c>
      <c r="AD263">
        <v>32.512562814070357</v>
      </c>
      <c r="AE263">
        <v>73.81</v>
      </c>
      <c r="AF263">
        <v>10.87</v>
      </c>
      <c r="AG263">
        <v>1</v>
      </c>
      <c r="AH263">
        <v>5.52</v>
      </c>
      <c r="AI263">
        <v>58.52</v>
      </c>
      <c r="AJ263">
        <v>189.09</v>
      </c>
      <c r="AK263">
        <v>75.77</v>
      </c>
      <c r="AL263" t="s">
        <v>14</v>
      </c>
      <c r="AM263" t="s">
        <v>15</v>
      </c>
      <c r="AN263" t="str">
        <f t="shared" si="16"/>
        <v>Evening</v>
      </c>
      <c r="AO263" t="str">
        <f t="shared" si="17"/>
        <v>Peak</v>
      </c>
      <c r="AP263" t="str">
        <f t="shared" si="18"/>
        <v>Medium</v>
      </c>
      <c r="AQ263" t="str">
        <f t="shared" si="19"/>
        <v>Medium</v>
      </c>
    </row>
    <row r="264" spans="1:43" x14ac:dyDescent="0.3">
      <c r="A264">
        <v>263</v>
      </c>
      <c r="B264" t="s">
        <v>48</v>
      </c>
      <c r="C264" t="s">
        <v>30</v>
      </c>
      <c r="D264" s="1">
        <v>46061</v>
      </c>
      <c r="E264" t="s">
        <v>26</v>
      </c>
      <c r="F264">
        <v>1</v>
      </c>
      <c r="G264">
        <v>10</v>
      </c>
      <c r="H264" t="s">
        <v>47</v>
      </c>
      <c r="I264" t="s">
        <v>45</v>
      </c>
      <c r="J264">
        <v>1</v>
      </c>
      <c r="K264" t="s">
        <v>12</v>
      </c>
      <c r="L264">
        <v>0</v>
      </c>
      <c r="M264">
        <v>2.94</v>
      </c>
      <c r="N264">
        <v>56</v>
      </c>
      <c r="O264" t="s">
        <v>35</v>
      </c>
      <c r="P264">
        <v>11</v>
      </c>
      <c r="Q264">
        <v>10.82</v>
      </c>
      <c r="R264">
        <v>68.2</v>
      </c>
      <c r="S264">
        <v>125.07</v>
      </c>
      <c r="T264">
        <v>46.77</v>
      </c>
      <c r="U264">
        <v>1</v>
      </c>
      <c r="V264">
        <v>0</v>
      </c>
      <c r="W264">
        <v>171.84</v>
      </c>
      <c r="X264">
        <v>47.8</v>
      </c>
      <c r="Y264">
        <v>106.47</v>
      </c>
      <c r="Z264">
        <v>24.12</v>
      </c>
      <c r="AA264">
        <v>5.59</v>
      </c>
      <c r="AB264">
        <v>142.13</v>
      </c>
      <c r="AC264">
        <v>125.04105571847506</v>
      </c>
      <c r="AD264">
        <v>13.135859519408502</v>
      </c>
      <c r="AE264">
        <v>77.92</v>
      </c>
      <c r="AF264">
        <v>17.12</v>
      </c>
      <c r="AG264">
        <v>1</v>
      </c>
      <c r="AH264">
        <v>23.49</v>
      </c>
      <c r="AI264">
        <v>79.489999999999995</v>
      </c>
      <c r="AJ264">
        <v>156.37</v>
      </c>
      <c r="AK264">
        <v>61.31</v>
      </c>
      <c r="AL264" t="s">
        <v>14</v>
      </c>
      <c r="AM264" t="s">
        <v>15</v>
      </c>
      <c r="AN264" t="str">
        <f t="shared" si="16"/>
        <v>Morning</v>
      </c>
      <c r="AO264" t="str">
        <f t="shared" si="17"/>
        <v>Peak</v>
      </c>
      <c r="AP264" t="str">
        <f t="shared" si="18"/>
        <v>Low</v>
      </c>
      <c r="AQ264" t="str">
        <f t="shared" si="19"/>
        <v>Medium</v>
      </c>
    </row>
    <row r="265" spans="1:43" x14ac:dyDescent="0.3">
      <c r="A265">
        <v>264</v>
      </c>
      <c r="B265" t="s">
        <v>23</v>
      </c>
      <c r="C265" t="s">
        <v>17</v>
      </c>
      <c r="D265" s="1">
        <v>46151</v>
      </c>
      <c r="E265" t="s">
        <v>31</v>
      </c>
      <c r="F265">
        <v>1</v>
      </c>
      <c r="G265">
        <v>16</v>
      </c>
      <c r="H265" t="s">
        <v>19</v>
      </c>
      <c r="I265" t="s">
        <v>45</v>
      </c>
      <c r="J265">
        <v>1</v>
      </c>
      <c r="K265" t="s">
        <v>12</v>
      </c>
      <c r="L265">
        <v>0</v>
      </c>
      <c r="M265">
        <v>1.49</v>
      </c>
      <c r="N265">
        <v>33</v>
      </c>
      <c r="O265" t="s">
        <v>22</v>
      </c>
      <c r="P265">
        <v>8</v>
      </c>
      <c r="Q265">
        <v>2.71</v>
      </c>
      <c r="R265">
        <v>32</v>
      </c>
      <c r="S265">
        <v>94.97</v>
      </c>
      <c r="T265">
        <v>42.64</v>
      </c>
      <c r="U265">
        <v>1.02</v>
      </c>
      <c r="V265">
        <v>1.9</v>
      </c>
      <c r="W265">
        <v>139.51</v>
      </c>
      <c r="X265">
        <v>41.9</v>
      </c>
      <c r="Y265">
        <v>102.9</v>
      </c>
      <c r="Z265">
        <v>6.65</v>
      </c>
      <c r="AA265">
        <v>7.29</v>
      </c>
      <c r="AB265">
        <v>125.57</v>
      </c>
      <c r="AC265">
        <v>235.44374999999999</v>
      </c>
      <c r="AD265">
        <v>46.335793357933575</v>
      </c>
      <c r="AE265">
        <v>79.77</v>
      </c>
      <c r="AF265">
        <v>16.190000000000001</v>
      </c>
      <c r="AG265">
        <v>1</v>
      </c>
      <c r="AH265">
        <v>21.6</v>
      </c>
      <c r="AI265">
        <v>54.6</v>
      </c>
      <c r="AJ265">
        <v>243.15</v>
      </c>
      <c r="AK265">
        <v>61.3</v>
      </c>
      <c r="AL265" t="s">
        <v>23</v>
      </c>
      <c r="AM265" t="s">
        <v>24</v>
      </c>
      <c r="AN265" t="str">
        <f t="shared" si="16"/>
        <v>Evening</v>
      </c>
      <c r="AO265" t="str">
        <f t="shared" si="17"/>
        <v>Off-Peak</v>
      </c>
      <c r="AP265" t="str">
        <f t="shared" si="18"/>
        <v>Medium</v>
      </c>
      <c r="AQ265" t="str">
        <f t="shared" si="19"/>
        <v>Low</v>
      </c>
    </row>
    <row r="266" spans="1:43" x14ac:dyDescent="0.3">
      <c r="A266">
        <v>265</v>
      </c>
      <c r="B266" t="s">
        <v>23</v>
      </c>
      <c r="C266" t="s">
        <v>17</v>
      </c>
      <c r="D266" s="1">
        <v>46078</v>
      </c>
      <c r="E266" t="s">
        <v>18</v>
      </c>
      <c r="F266">
        <v>0</v>
      </c>
      <c r="G266">
        <v>17</v>
      </c>
      <c r="H266" t="s">
        <v>40</v>
      </c>
      <c r="I266" t="s">
        <v>11</v>
      </c>
      <c r="J266">
        <v>1.18</v>
      </c>
      <c r="K266" t="s">
        <v>12</v>
      </c>
      <c r="L266">
        <v>0</v>
      </c>
      <c r="M266">
        <v>4.4000000000000004</v>
      </c>
      <c r="N266">
        <v>78</v>
      </c>
      <c r="O266" t="s">
        <v>13</v>
      </c>
      <c r="P266">
        <v>16</v>
      </c>
      <c r="Q266">
        <v>6.73</v>
      </c>
      <c r="R266">
        <v>50.4</v>
      </c>
      <c r="S266">
        <v>142.52000000000001</v>
      </c>
      <c r="T266">
        <v>77.69</v>
      </c>
      <c r="U266">
        <v>1.17</v>
      </c>
      <c r="V266">
        <v>24.23</v>
      </c>
      <c r="W266">
        <v>244.44</v>
      </c>
      <c r="X266">
        <v>49.9</v>
      </c>
      <c r="Y266">
        <v>102.5</v>
      </c>
      <c r="Z266">
        <v>13.81</v>
      </c>
      <c r="AA266">
        <v>8.2799999999999994</v>
      </c>
      <c r="AB266">
        <v>222.35</v>
      </c>
      <c r="AC266">
        <v>264.70238095238096</v>
      </c>
      <c r="AD266">
        <v>33.038632986627043</v>
      </c>
      <c r="AE266">
        <v>91.16</v>
      </c>
      <c r="AF266">
        <v>16.149999999999999</v>
      </c>
      <c r="AG266">
        <v>1</v>
      </c>
      <c r="AH266">
        <v>-17.71</v>
      </c>
      <c r="AI266">
        <v>60.29</v>
      </c>
      <c r="AJ266">
        <v>275.45999999999998</v>
      </c>
      <c r="AK266">
        <v>67.55</v>
      </c>
      <c r="AL266" t="s">
        <v>23</v>
      </c>
      <c r="AM266" t="s">
        <v>24</v>
      </c>
      <c r="AN266" t="str">
        <f t="shared" si="16"/>
        <v>Evening</v>
      </c>
      <c r="AO266" t="str">
        <f t="shared" si="17"/>
        <v>Peak</v>
      </c>
      <c r="AP266" t="str">
        <f t="shared" si="18"/>
        <v>High</v>
      </c>
      <c r="AQ266" t="str">
        <f t="shared" si="19"/>
        <v>High</v>
      </c>
    </row>
    <row r="267" spans="1:43" x14ac:dyDescent="0.3">
      <c r="A267">
        <v>266</v>
      </c>
      <c r="B267" t="s">
        <v>25</v>
      </c>
      <c r="C267" t="s">
        <v>17</v>
      </c>
      <c r="D267" s="1">
        <v>46161</v>
      </c>
      <c r="E267" t="s">
        <v>44</v>
      </c>
      <c r="F267">
        <v>0</v>
      </c>
      <c r="G267">
        <v>19</v>
      </c>
      <c r="H267" t="s">
        <v>40</v>
      </c>
      <c r="I267" t="s">
        <v>46</v>
      </c>
      <c r="J267">
        <v>1.1499999999999999</v>
      </c>
      <c r="K267" t="s">
        <v>21</v>
      </c>
      <c r="L267">
        <v>0</v>
      </c>
      <c r="M267">
        <v>2.62</v>
      </c>
      <c r="N267">
        <v>73</v>
      </c>
      <c r="O267" t="s">
        <v>13</v>
      </c>
      <c r="P267">
        <v>15</v>
      </c>
      <c r="Q267">
        <v>3.02</v>
      </c>
      <c r="R267">
        <v>41.1</v>
      </c>
      <c r="S267">
        <v>109.83</v>
      </c>
      <c r="T267">
        <v>72.17</v>
      </c>
      <c r="U267">
        <v>1.31</v>
      </c>
      <c r="V267">
        <v>34.049999999999997</v>
      </c>
      <c r="W267">
        <v>216.05</v>
      </c>
      <c r="X267">
        <v>40.4</v>
      </c>
      <c r="Y267">
        <v>109.75</v>
      </c>
      <c r="Z267">
        <v>8.2100000000000009</v>
      </c>
      <c r="AA267">
        <v>3.94</v>
      </c>
      <c r="AB267">
        <v>203.9</v>
      </c>
      <c r="AC267">
        <v>297.66423357664235</v>
      </c>
      <c r="AD267">
        <v>67.516556291390728</v>
      </c>
      <c r="AE267">
        <v>76.22</v>
      </c>
      <c r="AF267">
        <v>10.35</v>
      </c>
      <c r="AG267">
        <v>1</v>
      </c>
      <c r="AH267">
        <v>-0.34</v>
      </c>
      <c r="AI267">
        <v>72.66</v>
      </c>
      <c r="AJ267">
        <v>288.27</v>
      </c>
      <c r="AK267">
        <v>80.849999999999994</v>
      </c>
      <c r="AL267" t="s">
        <v>23</v>
      </c>
      <c r="AM267" t="s">
        <v>24</v>
      </c>
      <c r="AN267" t="str">
        <f t="shared" si="16"/>
        <v>Night</v>
      </c>
      <c r="AO267" t="str">
        <f t="shared" si="17"/>
        <v>Peak</v>
      </c>
      <c r="AP267" t="str">
        <f t="shared" si="18"/>
        <v>High</v>
      </c>
      <c r="AQ267" t="str">
        <f t="shared" si="19"/>
        <v>High</v>
      </c>
    </row>
    <row r="268" spans="1:43" x14ac:dyDescent="0.3">
      <c r="A268">
        <v>267</v>
      </c>
      <c r="B268" t="s">
        <v>29</v>
      </c>
      <c r="C268" t="s">
        <v>30</v>
      </c>
      <c r="D268" s="1">
        <v>46085</v>
      </c>
      <c r="E268" t="s">
        <v>18</v>
      </c>
      <c r="F268">
        <v>0</v>
      </c>
      <c r="G268">
        <v>15</v>
      </c>
      <c r="H268" t="s">
        <v>43</v>
      </c>
      <c r="I268" t="s">
        <v>37</v>
      </c>
      <c r="J268">
        <v>1.02</v>
      </c>
      <c r="K268" t="s">
        <v>34</v>
      </c>
      <c r="L268">
        <v>1</v>
      </c>
      <c r="M268">
        <v>2.74</v>
      </c>
      <c r="N268">
        <v>20</v>
      </c>
      <c r="O268" t="s">
        <v>22</v>
      </c>
      <c r="P268">
        <v>6</v>
      </c>
      <c r="Q268">
        <v>3.82</v>
      </c>
      <c r="R268">
        <v>29.5</v>
      </c>
      <c r="S268">
        <v>89.86</v>
      </c>
      <c r="T268">
        <v>25.61</v>
      </c>
      <c r="U268">
        <v>1</v>
      </c>
      <c r="V268">
        <v>0</v>
      </c>
      <c r="W268">
        <v>115.47</v>
      </c>
      <c r="X268">
        <v>37.6</v>
      </c>
      <c r="Y268">
        <v>101.74</v>
      </c>
      <c r="Z268">
        <v>10.35</v>
      </c>
      <c r="AA268">
        <v>11.94</v>
      </c>
      <c r="AB268">
        <v>93.18</v>
      </c>
      <c r="AC268">
        <v>189.51864406779663</v>
      </c>
      <c r="AD268">
        <v>24.392670157068064</v>
      </c>
      <c r="AE268">
        <v>70.45</v>
      </c>
      <c r="AF268">
        <v>16.170000000000002</v>
      </c>
      <c r="AG268">
        <v>0</v>
      </c>
      <c r="AH268">
        <v>2.76</v>
      </c>
      <c r="AI268">
        <v>22.76</v>
      </c>
      <c r="AJ268">
        <v>194.85</v>
      </c>
      <c r="AK268">
        <v>70.55</v>
      </c>
      <c r="AL268" t="s">
        <v>23</v>
      </c>
      <c r="AM268" t="s">
        <v>24</v>
      </c>
      <c r="AN268" t="str">
        <f t="shared" si="16"/>
        <v>Evening</v>
      </c>
      <c r="AO268" t="str">
        <f t="shared" si="17"/>
        <v>Off-Peak</v>
      </c>
      <c r="AP268" t="str">
        <f t="shared" si="18"/>
        <v>Medium</v>
      </c>
      <c r="AQ268" t="str">
        <f t="shared" si="19"/>
        <v>Low</v>
      </c>
    </row>
    <row r="269" spans="1:43" x14ac:dyDescent="0.3">
      <c r="A269">
        <v>268</v>
      </c>
      <c r="B269" t="s">
        <v>48</v>
      </c>
      <c r="C269" t="s">
        <v>30</v>
      </c>
      <c r="D269" s="1">
        <v>46272</v>
      </c>
      <c r="E269" t="s">
        <v>38</v>
      </c>
      <c r="F269">
        <v>0</v>
      </c>
      <c r="G269">
        <v>19</v>
      </c>
      <c r="H269" t="s">
        <v>32</v>
      </c>
      <c r="I269" t="s">
        <v>50</v>
      </c>
      <c r="J269">
        <v>1.2</v>
      </c>
      <c r="K269" t="s">
        <v>12</v>
      </c>
      <c r="L269">
        <v>0</v>
      </c>
      <c r="M269">
        <v>5</v>
      </c>
      <c r="N269">
        <v>94</v>
      </c>
      <c r="O269" t="s">
        <v>13</v>
      </c>
      <c r="P269">
        <v>29</v>
      </c>
      <c r="Q269">
        <v>4.28</v>
      </c>
      <c r="R269">
        <v>45.5</v>
      </c>
      <c r="S269">
        <v>97.62</v>
      </c>
      <c r="T269">
        <v>96.15</v>
      </c>
      <c r="U269">
        <v>1</v>
      </c>
      <c r="V269">
        <v>0</v>
      </c>
      <c r="W269">
        <v>193.77</v>
      </c>
      <c r="X269">
        <v>47.7</v>
      </c>
      <c r="Y269">
        <v>100.32</v>
      </c>
      <c r="Z269">
        <v>9</v>
      </c>
      <c r="AA269">
        <v>4.04</v>
      </c>
      <c r="AB269">
        <v>180.73</v>
      </c>
      <c r="AC269">
        <v>238.32527472527471</v>
      </c>
      <c r="AD269">
        <v>42.226635514018689</v>
      </c>
      <c r="AE269">
        <v>75.34</v>
      </c>
      <c r="AF269">
        <v>19.93</v>
      </c>
      <c r="AG269">
        <v>1</v>
      </c>
      <c r="AH269">
        <v>12.17</v>
      </c>
      <c r="AI269">
        <v>106.17</v>
      </c>
      <c r="AJ269">
        <v>256.54000000000002</v>
      </c>
      <c r="AK269">
        <v>77.03</v>
      </c>
      <c r="AL269" t="s">
        <v>14</v>
      </c>
      <c r="AM269" t="s">
        <v>15</v>
      </c>
      <c r="AN269" t="str">
        <f t="shared" si="16"/>
        <v>Night</v>
      </c>
      <c r="AO269" t="str">
        <f t="shared" si="17"/>
        <v>Peak</v>
      </c>
      <c r="AP269" t="str">
        <f t="shared" si="18"/>
        <v>Medium</v>
      </c>
      <c r="AQ269" t="str">
        <f t="shared" si="19"/>
        <v>High</v>
      </c>
    </row>
    <row r="270" spans="1:43" x14ac:dyDescent="0.3">
      <c r="A270">
        <v>269</v>
      </c>
      <c r="B270" t="s">
        <v>25</v>
      </c>
      <c r="C270" t="s">
        <v>17</v>
      </c>
      <c r="D270" s="1">
        <v>46042</v>
      </c>
      <c r="E270" t="s">
        <v>44</v>
      </c>
      <c r="F270">
        <v>0</v>
      </c>
      <c r="G270">
        <v>10</v>
      </c>
      <c r="H270" t="s">
        <v>19</v>
      </c>
      <c r="I270" t="s">
        <v>33</v>
      </c>
      <c r="J270">
        <v>1</v>
      </c>
      <c r="K270" t="s">
        <v>12</v>
      </c>
      <c r="L270">
        <v>0</v>
      </c>
      <c r="M270">
        <v>4.46</v>
      </c>
      <c r="N270">
        <v>5</v>
      </c>
      <c r="O270" t="s">
        <v>22</v>
      </c>
      <c r="P270">
        <v>1</v>
      </c>
      <c r="Q270">
        <v>2.89</v>
      </c>
      <c r="R270">
        <v>34.1</v>
      </c>
      <c r="S270">
        <v>97.15</v>
      </c>
      <c r="T270">
        <v>0</v>
      </c>
      <c r="U270">
        <v>1</v>
      </c>
      <c r="V270">
        <v>0</v>
      </c>
      <c r="W270">
        <v>97.15</v>
      </c>
      <c r="X270">
        <v>41.2</v>
      </c>
      <c r="Y270">
        <v>109.49</v>
      </c>
      <c r="Z270">
        <v>7.67</v>
      </c>
      <c r="AA270">
        <v>2.1</v>
      </c>
      <c r="AB270">
        <v>87.38</v>
      </c>
      <c r="AC270">
        <v>153.74780058651024</v>
      </c>
      <c r="AD270">
        <v>30.235294117647054</v>
      </c>
      <c r="AE270">
        <v>84.16</v>
      </c>
      <c r="AF270">
        <v>19.47</v>
      </c>
      <c r="AG270">
        <v>0</v>
      </c>
      <c r="AH270">
        <v>-0.36</v>
      </c>
      <c r="AI270">
        <v>5</v>
      </c>
      <c r="AJ270">
        <v>161.35</v>
      </c>
      <c r="AK270">
        <v>68.09</v>
      </c>
      <c r="AL270" t="s">
        <v>23</v>
      </c>
      <c r="AM270" t="s">
        <v>24</v>
      </c>
      <c r="AN270" t="str">
        <f t="shared" si="16"/>
        <v>Morning</v>
      </c>
      <c r="AO270" t="str">
        <f t="shared" si="17"/>
        <v>Peak</v>
      </c>
      <c r="AP270" t="str">
        <f t="shared" si="18"/>
        <v>Medium</v>
      </c>
      <c r="AQ270" t="str">
        <f t="shared" si="19"/>
        <v>Low</v>
      </c>
    </row>
    <row r="271" spans="1:43" x14ac:dyDescent="0.3">
      <c r="A271">
        <v>270</v>
      </c>
      <c r="B271" t="s">
        <v>25</v>
      </c>
      <c r="C271" t="s">
        <v>17</v>
      </c>
      <c r="D271" s="1">
        <v>46271</v>
      </c>
      <c r="E271" t="s">
        <v>26</v>
      </c>
      <c r="F271">
        <v>1</v>
      </c>
      <c r="G271">
        <v>18</v>
      </c>
      <c r="H271" t="s">
        <v>40</v>
      </c>
      <c r="I271" t="s">
        <v>45</v>
      </c>
      <c r="J271">
        <v>1</v>
      </c>
      <c r="K271" t="s">
        <v>12</v>
      </c>
      <c r="L271">
        <v>0</v>
      </c>
      <c r="M271">
        <v>3.13</v>
      </c>
      <c r="N271">
        <v>92</v>
      </c>
      <c r="O271" t="s">
        <v>13</v>
      </c>
      <c r="P271">
        <v>24</v>
      </c>
      <c r="Q271">
        <v>9</v>
      </c>
      <c r="R271">
        <v>72</v>
      </c>
      <c r="S271">
        <v>149.52000000000001</v>
      </c>
      <c r="T271">
        <v>100</v>
      </c>
      <c r="U271">
        <v>1.24</v>
      </c>
      <c r="V271">
        <v>35.880000000000003</v>
      </c>
      <c r="W271">
        <v>285.39999999999998</v>
      </c>
      <c r="X271">
        <v>48.1</v>
      </c>
      <c r="Y271">
        <v>103.06</v>
      </c>
      <c r="Z271">
        <v>19.29</v>
      </c>
      <c r="AA271">
        <v>11.44</v>
      </c>
      <c r="AB271">
        <v>254.67</v>
      </c>
      <c r="AC271">
        <v>212.22499999999999</v>
      </c>
      <c r="AD271">
        <v>28.296666666666667</v>
      </c>
      <c r="AE271">
        <v>84.88</v>
      </c>
      <c r="AF271">
        <v>15.84</v>
      </c>
      <c r="AG271">
        <v>1</v>
      </c>
      <c r="AH271">
        <v>1.52</v>
      </c>
      <c r="AI271">
        <v>93.52</v>
      </c>
      <c r="AJ271">
        <v>210.11</v>
      </c>
      <c r="AK271">
        <v>82.48</v>
      </c>
      <c r="AL271" t="s">
        <v>23</v>
      </c>
      <c r="AM271" t="s">
        <v>24</v>
      </c>
      <c r="AN271" t="str">
        <f t="shared" si="16"/>
        <v>Night</v>
      </c>
      <c r="AO271" t="str">
        <f t="shared" si="17"/>
        <v>Peak</v>
      </c>
      <c r="AP271" t="str">
        <f t="shared" si="18"/>
        <v>Medium</v>
      </c>
      <c r="AQ271" t="str">
        <f t="shared" si="19"/>
        <v>High</v>
      </c>
    </row>
    <row r="272" spans="1:43" x14ac:dyDescent="0.3">
      <c r="A272">
        <v>271</v>
      </c>
      <c r="B272" t="s">
        <v>48</v>
      </c>
      <c r="C272" t="s">
        <v>30</v>
      </c>
      <c r="D272" s="1">
        <v>46227</v>
      </c>
      <c r="E272" t="s">
        <v>9</v>
      </c>
      <c r="F272">
        <v>0</v>
      </c>
      <c r="G272">
        <v>7</v>
      </c>
      <c r="H272" t="s">
        <v>47</v>
      </c>
      <c r="I272" t="s">
        <v>11</v>
      </c>
      <c r="J272">
        <v>1.18</v>
      </c>
      <c r="K272" t="s">
        <v>12</v>
      </c>
      <c r="L272">
        <v>0</v>
      </c>
      <c r="M272">
        <v>2.74</v>
      </c>
      <c r="N272">
        <v>31</v>
      </c>
      <c r="O272" t="s">
        <v>22</v>
      </c>
      <c r="P272">
        <v>11</v>
      </c>
      <c r="Q272">
        <v>3.13</v>
      </c>
      <c r="R272">
        <v>30.5</v>
      </c>
      <c r="S272">
        <v>80.260000000000005</v>
      </c>
      <c r="T272">
        <v>42.1</v>
      </c>
      <c r="U272">
        <v>1</v>
      </c>
      <c r="V272">
        <v>0</v>
      </c>
      <c r="W272">
        <v>122.36</v>
      </c>
      <c r="X272">
        <v>35.9</v>
      </c>
      <c r="Y272">
        <v>103.93</v>
      </c>
      <c r="Z272">
        <v>9.07</v>
      </c>
      <c r="AA272">
        <v>6.29</v>
      </c>
      <c r="AB272">
        <v>107</v>
      </c>
      <c r="AC272">
        <v>210.49180327868854</v>
      </c>
      <c r="AD272">
        <v>34.185303514376997</v>
      </c>
      <c r="AE272">
        <v>59.29</v>
      </c>
      <c r="AF272">
        <v>14.05</v>
      </c>
      <c r="AG272">
        <v>0</v>
      </c>
      <c r="AH272">
        <v>-3.92</v>
      </c>
      <c r="AI272">
        <v>27.08</v>
      </c>
      <c r="AJ272">
        <v>209.42</v>
      </c>
      <c r="AK272">
        <v>72.45</v>
      </c>
      <c r="AL272" t="s">
        <v>23</v>
      </c>
      <c r="AM272" t="s">
        <v>24</v>
      </c>
      <c r="AN272" t="str">
        <f t="shared" si="16"/>
        <v>Morning</v>
      </c>
      <c r="AO272" t="str">
        <f t="shared" si="17"/>
        <v>Peak</v>
      </c>
      <c r="AP272" t="str">
        <f t="shared" si="18"/>
        <v>Medium</v>
      </c>
      <c r="AQ272" t="str">
        <f t="shared" si="19"/>
        <v>Low</v>
      </c>
    </row>
    <row r="273" spans="1:43" x14ac:dyDescent="0.3">
      <c r="A273">
        <v>272</v>
      </c>
      <c r="B273" t="s">
        <v>7</v>
      </c>
      <c r="C273" t="s">
        <v>8</v>
      </c>
      <c r="D273" s="1">
        <v>46243</v>
      </c>
      <c r="E273" t="s">
        <v>26</v>
      </c>
      <c r="F273">
        <v>1</v>
      </c>
      <c r="G273">
        <v>8</v>
      </c>
      <c r="H273" t="s">
        <v>49</v>
      </c>
      <c r="I273" t="s">
        <v>37</v>
      </c>
      <c r="J273">
        <v>1.02</v>
      </c>
      <c r="K273" t="s">
        <v>12</v>
      </c>
      <c r="L273">
        <v>0</v>
      </c>
      <c r="M273">
        <v>3.03</v>
      </c>
      <c r="N273">
        <v>46</v>
      </c>
      <c r="O273" t="s">
        <v>35</v>
      </c>
      <c r="P273">
        <v>24</v>
      </c>
      <c r="Q273">
        <v>4.12</v>
      </c>
      <c r="R273">
        <v>36.200000000000003</v>
      </c>
      <c r="S273">
        <v>85.3</v>
      </c>
      <c r="T273">
        <v>35.08</v>
      </c>
      <c r="U273">
        <v>1</v>
      </c>
      <c r="V273">
        <v>0</v>
      </c>
      <c r="W273">
        <v>120.38</v>
      </c>
      <c r="X273">
        <v>36.700000000000003</v>
      </c>
      <c r="Y273">
        <v>100.81</v>
      </c>
      <c r="Z273">
        <v>11.33</v>
      </c>
      <c r="AA273">
        <v>5.99</v>
      </c>
      <c r="AB273">
        <v>103.06</v>
      </c>
      <c r="AC273">
        <v>170.81767955801104</v>
      </c>
      <c r="AD273">
        <v>25.014563106796118</v>
      </c>
      <c r="AE273">
        <v>60.14</v>
      </c>
      <c r="AF273">
        <v>13.2</v>
      </c>
      <c r="AG273">
        <v>1</v>
      </c>
      <c r="AH273">
        <v>18.73</v>
      </c>
      <c r="AI273">
        <v>64.73</v>
      </c>
      <c r="AJ273">
        <v>161.72999999999999</v>
      </c>
      <c r="AK273">
        <v>65.430000000000007</v>
      </c>
      <c r="AL273" t="s">
        <v>14</v>
      </c>
      <c r="AM273" t="s">
        <v>15</v>
      </c>
      <c r="AN273" t="str">
        <f t="shared" si="16"/>
        <v>Morning</v>
      </c>
      <c r="AO273" t="str">
        <f t="shared" si="17"/>
        <v>Peak</v>
      </c>
      <c r="AP273" t="str">
        <f t="shared" si="18"/>
        <v>Medium</v>
      </c>
      <c r="AQ273" t="str">
        <f t="shared" si="19"/>
        <v>Medium</v>
      </c>
    </row>
    <row r="274" spans="1:43" x14ac:dyDescent="0.3">
      <c r="A274">
        <v>273</v>
      </c>
      <c r="B274" t="s">
        <v>14</v>
      </c>
      <c r="C274" t="s">
        <v>8</v>
      </c>
      <c r="D274" s="1">
        <v>46242</v>
      </c>
      <c r="E274" t="s">
        <v>31</v>
      </c>
      <c r="F274">
        <v>1</v>
      </c>
      <c r="G274">
        <v>20</v>
      </c>
      <c r="H274" t="s">
        <v>51</v>
      </c>
      <c r="I274" t="s">
        <v>20</v>
      </c>
      <c r="J274">
        <v>1.25</v>
      </c>
      <c r="K274" t="s">
        <v>12</v>
      </c>
      <c r="L274">
        <v>0</v>
      </c>
      <c r="M274">
        <v>5</v>
      </c>
      <c r="N274">
        <v>87</v>
      </c>
      <c r="O274" t="s">
        <v>13</v>
      </c>
      <c r="P274">
        <v>38</v>
      </c>
      <c r="Q274">
        <v>6.2</v>
      </c>
      <c r="R274">
        <v>54.1</v>
      </c>
      <c r="S274">
        <v>98.69</v>
      </c>
      <c r="T274">
        <v>88.56</v>
      </c>
      <c r="U274">
        <v>1</v>
      </c>
      <c r="V274">
        <v>0</v>
      </c>
      <c r="W274">
        <v>187.25</v>
      </c>
      <c r="X274">
        <v>35.6</v>
      </c>
      <c r="Y274">
        <v>104.04</v>
      </c>
      <c r="Z274">
        <v>18.13</v>
      </c>
      <c r="AA274">
        <v>4.76</v>
      </c>
      <c r="AB274">
        <v>164.36</v>
      </c>
      <c r="AC274">
        <v>182.28465804066545</v>
      </c>
      <c r="AD274">
        <v>26.509677419354841</v>
      </c>
      <c r="AE274">
        <v>72.319999999999993</v>
      </c>
      <c r="AF274">
        <v>16.309999999999999</v>
      </c>
      <c r="AG274">
        <v>1</v>
      </c>
      <c r="AH274">
        <v>-18.649999999999999</v>
      </c>
      <c r="AI274">
        <v>68.349999999999994</v>
      </c>
      <c r="AJ274">
        <v>215.36</v>
      </c>
      <c r="AK274">
        <v>71.05</v>
      </c>
      <c r="AL274" t="s">
        <v>14</v>
      </c>
      <c r="AM274" t="s">
        <v>15</v>
      </c>
      <c r="AN274" t="str">
        <f t="shared" si="16"/>
        <v>Night</v>
      </c>
      <c r="AO274" t="str">
        <f t="shared" si="17"/>
        <v>Peak</v>
      </c>
      <c r="AP274" t="str">
        <f t="shared" si="18"/>
        <v>Medium</v>
      </c>
      <c r="AQ274" t="str">
        <f t="shared" si="19"/>
        <v>High</v>
      </c>
    </row>
    <row r="275" spans="1:43" x14ac:dyDescent="0.3">
      <c r="A275">
        <v>274</v>
      </c>
      <c r="B275" t="s">
        <v>23</v>
      </c>
      <c r="C275" t="s">
        <v>17</v>
      </c>
      <c r="D275" s="1">
        <v>46071</v>
      </c>
      <c r="E275" t="s">
        <v>18</v>
      </c>
      <c r="F275">
        <v>0</v>
      </c>
      <c r="G275">
        <v>14</v>
      </c>
      <c r="H275" t="s">
        <v>19</v>
      </c>
      <c r="I275" t="s">
        <v>42</v>
      </c>
      <c r="J275">
        <v>1.08</v>
      </c>
      <c r="K275" t="s">
        <v>12</v>
      </c>
      <c r="L275">
        <v>0</v>
      </c>
      <c r="M275">
        <v>2.61</v>
      </c>
      <c r="N275">
        <v>34</v>
      </c>
      <c r="O275" t="s">
        <v>22</v>
      </c>
      <c r="P275">
        <v>7</v>
      </c>
      <c r="Q275">
        <v>15</v>
      </c>
      <c r="R275">
        <v>86.4</v>
      </c>
      <c r="S275">
        <v>221.73</v>
      </c>
      <c r="T275">
        <v>41.53</v>
      </c>
      <c r="U275">
        <v>1</v>
      </c>
      <c r="V275">
        <v>0</v>
      </c>
      <c r="W275">
        <v>263.26</v>
      </c>
      <c r="X275">
        <v>44</v>
      </c>
      <c r="Y275">
        <v>109.72</v>
      </c>
      <c r="Z275">
        <v>37.380000000000003</v>
      </c>
      <c r="AA275">
        <v>2.2599999999999998</v>
      </c>
      <c r="AB275">
        <v>223.62</v>
      </c>
      <c r="AC275">
        <v>155.29166666666666</v>
      </c>
      <c r="AD275">
        <v>14.907999999999999</v>
      </c>
      <c r="AE275">
        <v>76.56</v>
      </c>
      <c r="AF275">
        <v>10.87</v>
      </c>
      <c r="AG275">
        <v>0</v>
      </c>
      <c r="AH275">
        <v>-3.41</v>
      </c>
      <c r="AI275">
        <v>30.59</v>
      </c>
      <c r="AJ275">
        <v>168.71</v>
      </c>
      <c r="AK275">
        <v>71.5</v>
      </c>
      <c r="AL275" t="s">
        <v>14</v>
      </c>
      <c r="AM275" t="s">
        <v>15</v>
      </c>
      <c r="AN275" t="str">
        <f t="shared" si="16"/>
        <v>Afternoon</v>
      </c>
      <c r="AO275" t="str">
        <f t="shared" si="17"/>
        <v>Off-Peak</v>
      </c>
      <c r="AP275" t="str">
        <f t="shared" si="18"/>
        <v>Medium</v>
      </c>
      <c r="AQ275" t="str">
        <f t="shared" si="19"/>
        <v>Low</v>
      </c>
    </row>
    <row r="276" spans="1:43" x14ac:dyDescent="0.3">
      <c r="A276">
        <v>275</v>
      </c>
      <c r="B276" t="s">
        <v>48</v>
      </c>
      <c r="C276" t="s">
        <v>30</v>
      </c>
      <c r="D276" s="1">
        <v>46263</v>
      </c>
      <c r="E276" t="s">
        <v>31</v>
      </c>
      <c r="F276">
        <v>1</v>
      </c>
      <c r="G276">
        <v>16</v>
      </c>
      <c r="H276" t="s">
        <v>32</v>
      </c>
      <c r="I276" t="s">
        <v>28</v>
      </c>
      <c r="J276">
        <v>1.03</v>
      </c>
      <c r="K276" t="s">
        <v>12</v>
      </c>
      <c r="L276">
        <v>0</v>
      </c>
      <c r="M276">
        <v>2.62</v>
      </c>
      <c r="N276">
        <v>24</v>
      </c>
      <c r="O276" t="s">
        <v>22</v>
      </c>
      <c r="P276">
        <v>7</v>
      </c>
      <c r="Q276">
        <v>6.36</v>
      </c>
      <c r="R276">
        <v>45.4</v>
      </c>
      <c r="S276">
        <v>99.12</v>
      </c>
      <c r="T276">
        <v>31.75</v>
      </c>
      <c r="U276">
        <v>1</v>
      </c>
      <c r="V276">
        <v>0</v>
      </c>
      <c r="W276">
        <v>130.87</v>
      </c>
      <c r="X276">
        <v>47.5</v>
      </c>
      <c r="Y276">
        <v>106.94</v>
      </c>
      <c r="Z276">
        <v>14.32</v>
      </c>
      <c r="AA276">
        <v>4.6500000000000004</v>
      </c>
      <c r="AB276">
        <v>111.9</v>
      </c>
      <c r="AC276">
        <v>147.88546255506611</v>
      </c>
      <c r="AD276">
        <v>17.59433962264151</v>
      </c>
      <c r="AE276">
        <v>73.650000000000006</v>
      </c>
      <c r="AF276">
        <v>19.62</v>
      </c>
      <c r="AG276">
        <v>1</v>
      </c>
      <c r="AH276">
        <v>-24.66</v>
      </c>
      <c r="AI276">
        <v>5</v>
      </c>
      <c r="AJ276">
        <v>139.86000000000001</v>
      </c>
      <c r="AK276">
        <v>60.98</v>
      </c>
      <c r="AL276" t="s">
        <v>14</v>
      </c>
      <c r="AM276" t="s">
        <v>15</v>
      </c>
      <c r="AN276" t="str">
        <f t="shared" si="16"/>
        <v>Evening</v>
      </c>
      <c r="AO276" t="str">
        <f t="shared" si="17"/>
        <v>Off-Peak</v>
      </c>
      <c r="AP276" t="str">
        <f t="shared" si="18"/>
        <v>Low</v>
      </c>
      <c r="AQ276" t="str">
        <f t="shared" si="19"/>
        <v>Low</v>
      </c>
    </row>
    <row r="277" spans="1:43" x14ac:dyDescent="0.3">
      <c r="A277">
        <v>276</v>
      </c>
      <c r="B277" t="s">
        <v>29</v>
      </c>
      <c r="C277" t="s">
        <v>30</v>
      </c>
      <c r="D277" s="1">
        <v>46176</v>
      </c>
      <c r="E277" t="s">
        <v>18</v>
      </c>
      <c r="F277">
        <v>0</v>
      </c>
      <c r="G277">
        <v>16</v>
      </c>
      <c r="H277" t="s">
        <v>32</v>
      </c>
      <c r="I277" t="s">
        <v>50</v>
      </c>
      <c r="J277">
        <v>1.2</v>
      </c>
      <c r="K277" t="s">
        <v>12</v>
      </c>
      <c r="L277">
        <v>0</v>
      </c>
      <c r="M277">
        <v>4.24</v>
      </c>
      <c r="N277">
        <v>26</v>
      </c>
      <c r="O277" t="s">
        <v>22</v>
      </c>
      <c r="P277">
        <v>4</v>
      </c>
      <c r="Q277">
        <v>4.3899999999999997</v>
      </c>
      <c r="R277">
        <v>44</v>
      </c>
      <c r="S277">
        <v>80.069999999999993</v>
      </c>
      <c r="T277">
        <v>43.41</v>
      </c>
      <c r="U277">
        <v>1</v>
      </c>
      <c r="V277">
        <v>0</v>
      </c>
      <c r="W277">
        <v>123.48</v>
      </c>
      <c r="X277">
        <v>41</v>
      </c>
      <c r="Y277">
        <v>104.74</v>
      </c>
      <c r="Z277">
        <v>11.19</v>
      </c>
      <c r="AA277">
        <v>5.93</v>
      </c>
      <c r="AB277">
        <v>106.36</v>
      </c>
      <c r="AC277">
        <v>145.03636363636363</v>
      </c>
      <c r="AD277">
        <v>24.227790432801825</v>
      </c>
      <c r="AE277">
        <v>78.2</v>
      </c>
      <c r="AF277">
        <v>17.73</v>
      </c>
      <c r="AG277">
        <v>0</v>
      </c>
      <c r="AH277">
        <v>-12.44</v>
      </c>
      <c r="AI277">
        <v>13.56</v>
      </c>
      <c r="AJ277">
        <v>127.42</v>
      </c>
      <c r="AK277">
        <v>75.17</v>
      </c>
      <c r="AL277" t="s">
        <v>14</v>
      </c>
      <c r="AM277" t="s">
        <v>15</v>
      </c>
      <c r="AN277" t="str">
        <f t="shared" si="16"/>
        <v>Evening</v>
      </c>
      <c r="AO277" t="str">
        <f t="shared" si="17"/>
        <v>Off-Peak</v>
      </c>
      <c r="AP277" t="str">
        <f t="shared" si="18"/>
        <v>Low</v>
      </c>
      <c r="AQ277" t="str">
        <f t="shared" si="19"/>
        <v>Low</v>
      </c>
    </row>
    <row r="278" spans="1:43" x14ac:dyDescent="0.3">
      <c r="A278">
        <v>277</v>
      </c>
      <c r="B278" t="s">
        <v>29</v>
      </c>
      <c r="C278" t="s">
        <v>30</v>
      </c>
      <c r="D278" s="1">
        <v>46271</v>
      </c>
      <c r="E278" t="s">
        <v>26</v>
      </c>
      <c r="F278">
        <v>1</v>
      </c>
      <c r="G278">
        <v>18</v>
      </c>
      <c r="H278" t="s">
        <v>32</v>
      </c>
      <c r="I278" t="s">
        <v>20</v>
      </c>
      <c r="J278">
        <v>1.25</v>
      </c>
      <c r="K278" t="s">
        <v>12</v>
      </c>
      <c r="L278">
        <v>0</v>
      </c>
      <c r="M278">
        <v>3.8</v>
      </c>
      <c r="N278">
        <v>86</v>
      </c>
      <c r="O278" t="s">
        <v>13</v>
      </c>
      <c r="P278">
        <v>23</v>
      </c>
      <c r="Q278">
        <v>1</v>
      </c>
      <c r="R278">
        <v>10.1</v>
      </c>
      <c r="S278">
        <v>72.87</v>
      </c>
      <c r="T278">
        <v>100</v>
      </c>
      <c r="U278">
        <v>1</v>
      </c>
      <c r="V278">
        <v>0</v>
      </c>
      <c r="W278">
        <v>172.87</v>
      </c>
      <c r="X278">
        <v>36.4</v>
      </c>
      <c r="Y278">
        <v>103.07</v>
      </c>
      <c r="Z278">
        <v>2.83</v>
      </c>
      <c r="AA278">
        <v>7.2</v>
      </c>
      <c r="AB278">
        <v>162.84</v>
      </c>
      <c r="AC278">
        <v>967.36633663366342</v>
      </c>
      <c r="AD278">
        <v>162.84</v>
      </c>
      <c r="AE278">
        <v>77.48</v>
      </c>
      <c r="AF278">
        <v>16.420000000000002</v>
      </c>
      <c r="AG278">
        <v>1</v>
      </c>
      <c r="AH278">
        <v>7.76</v>
      </c>
      <c r="AI278">
        <v>93.76</v>
      </c>
      <c r="AJ278">
        <v>400</v>
      </c>
      <c r="AK278">
        <v>76.260000000000005</v>
      </c>
      <c r="AL278" t="s">
        <v>14</v>
      </c>
      <c r="AM278" t="s">
        <v>15</v>
      </c>
      <c r="AN278" t="str">
        <f t="shared" si="16"/>
        <v>Night</v>
      </c>
      <c r="AO278" t="str">
        <f t="shared" si="17"/>
        <v>Peak</v>
      </c>
      <c r="AP278" t="str">
        <f t="shared" si="18"/>
        <v>High</v>
      </c>
      <c r="AQ278" t="str">
        <f t="shared" si="19"/>
        <v>High</v>
      </c>
    </row>
    <row r="279" spans="1:43" x14ac:dyDescent="0.3">
      <c r="A279">
        <v>278</v>
      </c>
      <c r="B279" t="s">
        <v>16</v>
      </c>
      <c r="C279" t="s">
        <v>17</v>
      </c>
      <c r="D279" s="1">
        <v>46249</v>
      </c>
      <c r="E279" t="s">
        <v>31</v>
      </c>
      <c r="F279">
        <v>1</v>
      </c>
      <c r="G279">
        <v>10</v>
      </c>
      <c r="H279" t="s">
        <v>19</v>
      </c>
      <c r="I279" t="s">
        <v>50</v>
      </c>
      <c r="J279">
        <v>1.2</v>
      </c>
      <c r="K279" t="s">
        <v>21</v>
      </c>
      <c r="L279">
        <v>0</v>
      </c>
      <c r="M279">
        <v>3.58</v>
      </c>
      <c r="N279">
        <v>38</v>
      </c>
      <c r="O279" t="s">
        <v>35</v>
      </c>
      <c r="P279">
        <v>8</v>
      </c>
      <c r="Q279">
        <v>3.75</v>
      </c>
      <c r="R279">
        <v>39.5</v>
      </c>
      <c r="S279">
        <v>116.36</v>
      </c>
      <c r="T279">
        <v>50.19</v>
      </c>
      <c r="U279">
        <v>1.05</v>
      </c>
      <c r="V279">
        <v>5.82</v>
      </c>
      <c r="W279">
        <v>172.37</v>
      </c>
      <c r="X279">
        <v>40.6</v>
      </c>
      <c r="Y279">
        <v>103.66</v>
      </c>
      <c r="Z279">
        <v>9.57</v>
      </c>
      <c r="AA279">
        <v>6.58</v>
      </c>
      <c r="AB279">
        <v>156.22</v>
      </c>
      <c r="AC279">
        <v>237.29620253164558</v>
      </c>
      <c r="AD279">
        <v>41.658666666666669</v>
      </c>
      <c r="AE279">
        <v>86.22</v>
      </c>
      <c r="AF279">
        <v>15.11</v>
      </c>
      <c r="AG279">
        <v>1</v>
      </c>
      <c r="AH279">
        <v>8.0399999999999991</v>
      </c>
      <c r="AI279">
        <v>46.04</v>
      </c>
      <c r="AJ279">
        <v>230.11</v>
      </c>
      <c r="AK279">
        <v>71.64</v>
      </c>
      <c r="AL279" t="s">
        <v>23</v>
      </c>
      <c r="AM279" t="s">
        <v>24</v>
      </c>
      <c r="AN279" t="str">
        <f t="shared" si="16"/>
        <v>Morning</v>
      </c>
      <c r="AO279" t="str">
        <f t="shared" si="17"/>
        <v>Peak</v>
      </c>
      <c r="AP279" t="str">
        <f t="shared" si="18"/>
        <v>Medium</v>
      </c>
      <c r="AQ279" t="str">
        <f t="shared" si="19"/>
        <v>Medium</v>
      </c>
    </row>
    <row r="280" spans="1:43" x14ac:dyDescent="0.3">
      <c r="A280">
        <v>279</v>
      </c>
      <c r="B280" t="s">
        <v>7</v>
      </c>
      <c r="C280" t="s">
        <v>8</v>
      </c>
      <c r="D280" s="1">
        <v>46172</v>
      </c>
      <c r="E280" t="s">
        <v>31</v>
      </c>
      <c r="F280">
        <v>1</v>
      </c>
      <c r="G280">
        <v>9</v>
      </c>
      <c r="H280" t="s">
        <v>49</v>
      </c>
      <c r="I280" t="s">
        <v>42</v>
      </c>
      <c r="J280">
        <v>1.08</v>
      </c>
      <c r="K280" t="s">
        <v>21</v>
      </c>
      <c r="L280">
        <v>0</v>
      </c>
      <c r="M280">
        <v>1.82</v>
      </c>
      <c r="N280">
        <v>49</v>
      </c>
      <c r="O280" t="s">
        <v>35</v>
      </c>
      <c r="P280">
        <v>22</v>
      </c>
      <c r="Q280">
        <v>2.5</v>
      </c>
      <c r="R280">
        <v>26.6</v>
      </c>
      <c r="S280">
        <v>68</v>
      </c>
      <c r="T280">
        <v>46.88</v>
      </c>
      <c r="U280">
        <v>1</v>
      </c>
      <c r="V280">
        <v>0</v>
      </c>
      <c r="W280">
        <v>114.88</v>
      </c>
      <c r="X280">
        <v>40.200000000000003</v>
      </c>
      <c r="Y280">
        <v>106.11</v>
      </c>
      <c r="Z280">
        <v>6.6</v>
      </c>
      <c r="AA280">
        <v>10.79</v>
      </c>
      <c r="AB280">
        <v>97.49</v>
      </c>
      <c r="AC280">
        <v>219.90225563909772</v>
      </c>
      <c r="AD280">
        <v>38.995999999999995</v>
      </c>
      <c r="AE280">
        <v>82.1</v>
      </c>
      <c r="AF280">
        <v>9.93</v>
      </c>
      <c r="AG280">
        <v>1</v>
      </c>
      <c r="AH280">
        <v>-1.7</v>
      </c>
      <c r="AI280">
        <v>47.3</v>
      </c>
      <c r="AJ280">
        <v>213.44</v>
      </c>
      <c r="AK280">
        <v>76.53</v>
      </c>
      <c r="AL280" t="s">
        <v>14</v>
      </c>
      <c r="AM280" t="s">
        <v>15</v>
      </c>
      <c r="AN280" t="str">
        <f t="shared" si="16"/>
        <v>Morning</v>
      </c>
      <c r="AO280" t="str">
        <f t="shared" si="17"/>
        <v>Peak</v>
      </c>
      <c r="AP280" t="str">
        <f t="shared" si="18"/>
        <v>Medium</v>
      </c>
      <c r="AQ280" t="str">
        <f t="shared" si="19"/>
        <v>Medium</v>
      </c>
    </row>
    <row r="281" spans="1:43" x14ac:dyDescent="0.3">
      <c r="A281">
        <v>280</v>
      </c>
      <c r="B281" t="s">
        <v>7</v>
      </c>
      <c r="C281" t="s">
        <v>8</v>
      </c>
      <c r="D281" s="1">
        <v>46119</v>
      </c>
      <c r="E281" t="s">
        <v>44</v>
      </c>
      <c r="F281">
        <v>0</v>
      </c>
      <c r="G281">
        <v>7</v>
      </c>
      <c r="H281" t="s">
        <v>49</v>
      </c>
      <c r="I281" t="s">
        <v>20</v>
      </c>
      <c r="J281">
        <v>1.25</v>
      </c>
      <c r="K281" t="s">
        <v>12</v>
      </c>
      <c r="L281">
        <v>0</v>
      </c>
      <c r="M281">
        <v>2.86</v>
      </c>
      <c r="N281">
        <v>40</v>
      </c>
      <c r="O281" t="s">
        <v>35</v>
      </c>
      <c r="P281">
        <v>14</v>
      </c>
      <c r="Q281">
        <v>3.29</v>
      </c>
      <c r="R281">
        <v>39.5</v>
      </c>
      <c r="S281">
        <v>76.290000000000006</v>
      </c>
      <c r="T281">
        <v>45.91</v>
      </c>
      <c r="U281">
        <v>1</v>
      </c>
      <c r="V281">
        <v>0</v>
      </c>
      <c r="W281">
        <v>122.2</v>
      </c>
      <c r="X281">
        <v>44.7</v>
      </c>
      <c r="Y281">
        <v>102.54</v>
      </c>
      <c r="Z281">
        <v>7.56</v>
      </c>
      <c r="AA281">
        <v>11.11</v>
      </c>
      <c r="AB281">
        <v>103.53</v>
      </c>
      <c r="AC281">
        <v>157.26075949367089</v>
      </c>
      <c r="AD281">
        <v>31.468085106382979</v>
      </c>
      <c r="AE281">
        <v>75.819999999999993</v>
      </c>
      <c r="AF281">
        <v>17.75</v>
      </c>
      <c r="AG281">
        <v>0</v>
      </c>
      <c r="AH281">
        <v>19.86</v>
      </c>
      <c r="AI281">
        <v>59.86</v>
      </c>
      <c r="AJ281">
        <v>140.43</v>
      </c>
      <c r="AK281">
        <v>71.66</v>
      </c>
      <c r="AL281" t="s">
        <v>14</v>
      </c>
      <c r="AM281" t="s">
        <v>15</v>
      </c>
      <c r="AN281" t="str">
        <f t="shared" si="16"/>
        <v>Morning</v>
      </c>
      <c r="AO281" t="str">
        <f t="shared" si="17"/>
        <v>Peak</v>
      </c>
      <c r="AP281" t="str">
        <f t="shared" si="18"/>
        <v>Medium</v>
      </c>
      <c r="AQ281" t="str">
        <f t="shared" si="19"/>
        <v>Medium</v>
      </c>
    </row>
    <row r="282" spans="1:43" x14ac:dyDescent="0.3">
      <c r="A282">
        <v>281</v>
      </c>
      <c r="B282" t="s">
        <v>14</v>
      </c>
      <c r="C282" t="s">
        <v>8</v>
      </c>
      <c r="D282" s="1">
        <v>46053</v>
      </c>
      <c r="E282" t="s">
        <v>31</v>
      </c>
      <c r="F282">
        <v>1</v>
      </c>
      <c r="G282">
        <v>20</v>
      </c>
      <c r="H282" t="s">
        <v>51</v>
      </c>
      <c r="I282" t="s">
        <v>46</v>
      </c>
      <c r="J282">
        <v>1.1499999999999999</v>
      </c>
      <c r="K282" t="s">
        <v>21</v>
      </c>
      <c r="L282">
        <v>0</v>
      </c>
      <c r="M282">
        <v>2.77</v>
      </c>
      <c r="N282">
        <v>86</v>
      </c>
      <c r="O282" t="s">
        <v>13</v>
      </c>
      <c r="P282">
        <v>34</v>
      </c>
      <c r="Q282">
        <v>2.97</v>
      </c>
      <c r="R282">
        <v>39</v>
      </c>
      <c r="S282">
        <v>66.900000000000006</v>
      </c>
      <c r="T282">
        <v>89.64</v>
      </c>
      <c r="U282">
        <v>1</v>
      </c>
      <c r="V282">
        <v>0</v>
      </c>
      <c r="W282">
        <v>156.54</v>
      </c>
      <c r="X282">
        <v>44.8</v>
      </c>
      <c r="Y282">
        <v>101.52</v>
      </c>
      <c r="Z282">
        <v>6.74</v>
      </c>
      <c r="AA282">
        <v>5.17</v>
      </c>
      <c r="AB282">
        <v>144.63</v>
      </c>
      <c r="AC282">
        <v>222.50769230769228</v>
      </c>
      <c r="AD282">
        <v>48.696969696969695</v>
      </c>
      <c r="AE282">
        <v>88.04</v>
      </c>
      <c r="AF282">
        <v>10.9</v>
      </c>
      <c r="AG282">
        <v>1</v>
      </c>
      <c r="AH282">
        <v>23.31</v>
      </c>
      <c r="AI282">
        <v>109.31</v>
      </c>
      <c r="AJ282">
        <v>215.31</v>
      </c>
      <c r="AK282">
        <v>68.33</v>
      </c>
      <c r="AL282" t="s">
        <v>14</v>
      </c>
      <c r="AM282" t="s">
        <v>15</v>
      </c>
      <c r="AN282" t="str">
        <f t="shared" si="16"/>
        <v>Night</v>
      </c>
      <c r="AO282" t="str">
        <f t="shared" si="17"/>
        <v>Peak</v>
      </c>
      <c r="AP282" t="str">
        <f t="shared" si="18"/>
        <v>Medium</v>
      </c>
      <c r="AQ282" t="str">
        <f t="shared" si="19"/>
        <v>High</v>
      </c>
    </row>
    <row r="283" spans="1:43" x14ac:dyDescent="0.3">
      <c r="A283">
        <v>282</v>
      </c>
      <c r="B283" t="s">
        <v>29</v>
      </c>
      <c r="C283" t="s">
        <v>30</v>
      </c>
      <c r="D283" s="1">
        <v>46049</v>
      </c>
      <c r="E283" t="s">
        <v>44</v>
      </c>
      <c r="F283">
        <v>0</v>
      </c>
      <c r="G283">
        <v>10</v>
      </c>
      <c r="H283" t="s">
        <v>47</v>
      </c>
      <c r="I283" t="s">
        <v>45</v>
      </c>
      <c r="J283">
        <v>1</v>
      </c>
      <c r="K283" t="s">
        <v>34</v>
      </c>
      <c r="L283">
        <v>1</v>
      </c>
      <c r="M283">
        <v>2.66</v>
      </c>
      <c r="N283">
        <v>49</v>
      </c>
      <c r="O283" t="s">
        <v>35</v>
      </c>
      <c r="P283">
        <v>14</v>
      </c>
      <c r="Q283">
        <v>6.16</v>
      </c>
      <c r="R283">
        <v>45.4</v>
      </c>
      <c r="S283">
        <v>105.8</v>
      </c>
      <c r="T283">
        <v>62.15</v>
      </c>
      <c r="U283">
        <v>1</v>
      </c>
      <c r="V283">
        <v>0</v>
      </c>
      <c r="W283">
        <v>167.95</v>
      </c>
      <c r="X283">
        <v>36.5</v>
      </c>
      <c r="Y283">
        <v>106.96</v>
      </c>
      <c r="Z283">
        <v>18.04</v>
      </c>
      <c r="AA283">
        <v>11.6</v>
      </c>
      <c r="AB283">
        <v>138.31</v>
      </c>
      <c r="AC283">
        <v>182.78854625550662</v>
      </c>
      <c r="AD283">
        <v>22.452922077922079</v>
      </c>
      <c r="AE283">
        <v>62.73</v>
      </c>
      <c r="AF283">
        <v>14.97</v>
      </c>
      <c r="AG283">
        <v>0</v>
      </c>
      <c r="AH283">
        <v>1.96</v>
      </c>
      <c r="AI283">
        <v>50.96</v>
      </c>
      <c r="AJ283">
        <v>190.17</v>
      </c>
      <c r="AK283">
        <v>79.92</v>
      </c>
      <c r="AL283" t="s">
        <v>23</v>
      </c>
      <c r="AM283" t="s">
        <v>24</v>
      </c>
      <c r="AN283" t="str">
        <f t="shared" si="16"/>
        <v>Morning</v>
      </c>
      <c r="AO283" t="str">
        <f t="shared" si="17"/>
        <v>Peak</v>
      </c>
      <c r="AP283" t="str">
        <f t="shared" si="18"/>
        <v>Medium</v>
      </c>
      <c r="AQ283" t="str">
        <f t="shared" si="19"/>
        <v>Medium</v>
      </c>
    </row>
    <row r="284" spans="1:43" x14ac:dyDescent="0.3">
      <c r="A284">
        <v>283</v>
      </c>
      <c r="B284" t="s">
        <v>25</v>
      </c>
      <c r="C284" t="s">
        <v>17</v>
      </c>
      <c r="D284" s="1">
        <v>46123</v>
      </c>
      <c r="E284" t="s">
        <v>31</v>
      </c>
      <c r="F284">
        <v>1</v>
      </c>
      <c r="G284">
        <v>16</v>
      </c>
      <c r="H284" t="s">
        <v>19</v>
      </c>
      <c r="I284" t="s">
        <v>42</v>
      </c>
      <c r="J284">
        <v>1.08</v>
      </c>
      <c r="K284" t="s">
        <v>12</v>
      </c>
      <c r="L284">
        <v>0</v>
      </c>
      <c r="M284">
        <v>3.67</v>
      </c>
      <c r="N284">
        <v>44</v>
      </c>
      <c r="O284" t="s">
        <v>35</v>
      </c>
      <c r="P284">
        <v>8</v>
      </c>
      <c r="Q284">
        <v>3.69</v>
      </c>
      <c r="R284">
        <v>43.4</v>
      </c>
      <c r="S284">
        <v>117.91</v>
      </c>
      <c r="T284">
        <v>56.82</v>
      </c>
      <c r="U284">
        <v>1.1200000000000001</v>
      </c>
      <c r="V284">
        <v>14.15</v>
      </c>
      <c r="W284">
        <v>188.88</v>
      </c>
      <c r="X284">
        <v>41.3</v>
      </c>
      <c r="Y284">
        <v>108.69</v>
      </c>
      <c r="Z284">
        <v>9.7100000000000009</v>
      </c>
      <c r="AA284">
        <v>10.65</v>
      </c>
      <c r="AB284">
        <v>168.52</v>
      </c>
      <c r="AC284">
        <v>232.97695852534565</v>
      </c>
      <c r="AD284">
        <v>45.669376693766942</v>
      </c>
      <c r="AE284">
        <v>74.84</v>
      </c>
      <c r="AF284">
        <v>16.850000000000001</v>
      </c>
      <c r="AG284">
        <v>1</v>
      </c>
      <c r="AH284">
        <v>6.76</v>
      </c>
      <c r="AI284">
        <v>50.76</v>
      </c>
      <c r="AJ284">
        <v>229.12</v>
      </c>
      <c r="AK284">
        <v>71.31</v>
      </c>
      <c r="AL284" t="s">
        <v>23</v>
      </c>
      <c r="AM284" t="s">
        <v>24</v>
      </c>
      <c r="AN284" t="str">
        <f t="shared" si="16"/>
        <v>Evening</v>
      </c>
      <c r="AO284" t="str">
        <f t="shared" si="17"/>
        <v>Off-Peak</v>
      </c>
      <c r="AP284" t="str">
        <f t="shared" si="18"/>
        <v>Medium</v>
      </c>
      <c r="AQ284" t="str">
        <f t="shared" si="19"/>
        <v>Medium</v>
      </c>
    </row>
    <row r="285" spans="1:43" x14ac:dyDescent="0.3">
      <c r="A285">
        <v>284</v>
      </c>
      <c r="B285" t="s">
        <v>29</v>
      </c>
      <c r="C285" t="s">
        <v>30</v>
      </c>
      <c r="D285" s="1">
        <v>46232</v>
      </c>
      <c r="E285" t="s">
        <v>18</v>
      </c>
      <c r="F285">
        <v>0</v>
      </c>
      <c r="G285">
        <v>14</v>
      </c>
      <c r="H285" t="s">
        <v>43</v>
      </c>
      <c r="I285" t="s">
        <v>46</v>
      </c>
      <c r="J285">
        <v>1.1499999999999999</v>
      </c>
      <c r="K285" t="s">
        <v>12</v>
      </c>
      <c r="L285">
        <v>0</v>
      </c>
      <c r="M285">
        <v>2.96</v>
      </c>
      <c r="N285">
        <v>15</v>
      </c>
      <c r="O285" t="s">
        <v>22</v>
      </c>
      <c r="P285">
        <v>5</v>
      </c>
      <c r="Q285">
        <v>2.0499999999999998</v>
      </c>
      <c r="R285">
        <v>23.5</v>
      </c>
      <c r="S285">
        <v>57.66</v>
      </c>
      <c r="T285">
        <v>10.25</v>
      </c>
      <c r="U285">
        <v>1</v>
      </c>
      <c r="V285">
        <v>0</v>
      </c>
      <c r="W285">
        <v>67.91</v>
      </c>
      <c r="X285">
        <v>44.6</v>
      </c>
      <c r="Y285">
        <v>109.02</v>
      </c>
      <c r="Z285">
        <v>5</v>
      </c>
      <c r="AA285">
        <v>11.28</v>
      </c>
      <c r="AB285">
        <v>51.63</v>
      </c>
      <c r="AC285">
        <v>131.82127659574468</v>
      </c>
      <c r="AD285">
        <v>25.185365853658539</v>
      </c>
      <c r="AE285">
        <v>74.3</v>
      </c>
      <c r="AF285">
        <v>16.059999999999999</v>
      </c>
      <c r="AG285">
        <v>0</v>
      </c>
      <c r="AH285">
        <v>-3.79</v>
      </c>
      <c r="AI285">
        <v>11.21</v>
      </c>
      <c r="AJ285">
        <v>169.06</v>
      </c>
      <c r="AK285">
        <v>78.739999999999995</v>
      </c>
      <c r="AL285" t="s">
        <v>14</v>
      </c>
      <c r="AM285" t="s">
        <v>15</v>
      </c>
      <c r="AN285" t="str">
        <f t="shared" si="16"/>
        <v>Afternoon</v>
      </c>
      <c r="AO285" t="str">
        <f t="shared" si="17"/>
        <v>Off-Peak</v>
      </c>
      <c r="AP285" t="str">
        <f t="shared" si="18"/>
        <v>Low</v>
      </c>
      <c r="AQ285" t="str">
        <f t="shared" si="19"/>
        <v>Low</v>
      </c>
    </row>
    <row r="286" spans="1:43" x14ac:dyDescent="0.3">
      <c r="A286">
        <v>285</v>
      </c>
      <c r="B286" t="s">
        <v>29</v>
      </c>
      <c r="C286" t="s">
        <v>30</v>
      </c>
      <c r="D286" s="1">
        <v>46153</v>
      </c>
      <c r="E286" t="s">
        <v>38</v>
      </c>
      <c r="F286">
        <v>0</v>
      </c>
      <c r="G286">
        <v>9</v>
      </c>
      <c r="H286" t="s">
        <v>47</v>
      </c>
      <c r="I286" t="s">
        <v>20</v>
      </c>
      <c r="J286">
        <v>1.25</v>
      </c>
      <c r="K286" t="s">
        <v>12</v>
      </c>
      <c r="L286">
        <v>0</v>
      </c>
      <c r="M286">
        <v>2.74</v>
      </c>
      <c r="N286">
        <v>24</v>
      </c>
      <c r="O286" t="s">
        <v>22</v>
      </c>
      <c r="P286">
        <v>7</v>
      </c>
      <c r="Q286">
        <v>7.65</v>
      </c>
      <c r="R286">
        <v>57.3</v>
      </c>
      <c r="S286">
        <v>116.48</v>
      </c>
      <c r="T286">
        <v>34.65</v>
      </c>
      <c r="U286">
        <v>1</v>
      </c>
      <c r="V286">
        <v>0</v>
      </c>
      <c r="W286">
        <v>151.13</v>
      </c>
      <c r="X286">
        <v>38.9</v>
      </c>
      <c r="Y286">
        <v>108.41</v>
      </c>
      <c r="Z286">
        <v>21.34</v>
      </c>
      <c r="AA286">
        <v>9.06</v>
      </c>
      <c r="AB286">
        <v>120.73</v>
      </c>
      <c r="AC286">
        <v>126.41884816753928</v>
      </c>
      <c r="AD286">
        <v>15.781699346405228</v>
      </c>
      <c r="AE286">
        <v>78.739999999999995</v>
      </c>
      <c r="AF286">
        <v>13.71</v>
      </c>
      <c r="AG286">
        <v>0</v>
      </c>
      <c r="AH286">
        <v>12.4</v>
      </c>
      <c r="AI286">
        <v>36.4</v>
      </c>
      <c r="AJ286">
        <v>135.41999999999999</v>
      </c>
      <c r="AK286">
        <v>68.09</v>
      </c>
      <c r="AL286" t="s">
        <v>23</v>
      </c>
      <c r="AM286" t="s">
        <v>24</v>
      </c>
      <c r="AN286" t="str">
        <f t="shared" si="16"/>
        <v>Morning</v>
      </c>
      <c r="AO286" t="str">
        <f t="shared" si="17"/>
        <v>Peak</v>
      </c>
      <c r="AP286" t="str">
        <f t="shared" si="18"/>
        <v>Low</v>
      </c>
      <c r="AQ286" t="str">
        <f t="shared" si="19"/>
        <v>Low</v>
      </c>
    </row>
    <row r="287" spans="1:43" x14ac:dyDescent="0.3">
      <c r="A287">
        <v>286</v>
      </c>
      <c r="B287" t="s">
        <v>23</v>
      </c>
      <c r="C287" t="s">
        <v>17</v>
      </c>
      <c r="D287" s="1">
        <v>46147</v>
      </c>
      <c r="E287" t="s">
        <v>44</v>
      </c>
      <c r="F287">
        <v>0</v>
      </c>
      <c r="G287">
        <v>13</v>
      </c>
      <c r="H287" t="s">
        <v>19</v>
      </c>
      <c r="I287" t="s">
        <v>11</v>
      </c>
      <c r="J287">
        <v>1.18</v>
      </c>
      <c r="K287" t="s">
        <v>21</v>
      </c>
      <c r="L287">
        <v>0</v>
      </c>
      <c r="M287">
        <v>2.4</v>
      </c>
      <c r="N287">
        <v>22</v>
      </c>
      <c r="O287" t="s">
        <v>22</v>
      </c>
      <c r="P287">
        <v>3</v>
      </c>
      <c r="Q287">
        <v>1.48</v>
      </c>
      <c r="R287">
        <v>21.4</v>
      </c>
      <c r="S287">
        <v>78.099999999999994</v>
      </c>
      <c r="T287">
        <v>47.22</v>
      </c>
      <c r="U287">
        <v>1.07</v>
      </c>
      <c r="V287">
        <v>5.47</v>
      </c>
      <c r="W287">
        <v>130.79</v>
      </c>
      <c r="X287">
        <v>41.1</v>
      </c>
      <c r="Y287">
        <v>105.31</v>
      </c>
      <c r="Z287">
        <v>3.8</v>
      </c>
      <c r="AA287">
        <v>3.98</v>
      </c>
      <c r="AB287">
        <v>123.01</v>
      </c>
      <c r="AC287">
        <v>344.88785046728975</v>
      </c>
      <c r="AD287">
        <v>83.11486486486487</v>
      </c>
      <c r="AE287">
        <v>60.04</v>
      </c>
      <c r="AF287">
        <v>14.53</v>
      </c>
      <c r="AG287">
        <v>0</v>
      </c>
      <c r="AH287">
        <v>-14.91</v>
      </c>
      <c r="AI287">
        <v>7.09</v>
      </c>
      <c r="AJ287">
        <v>327.29000000000002</v>
      </c>
      <c r="AK287">
        <v>60.42</v>
      </c>
      <c r="AL287" t="s">
        <v>14</v>
      </c>
      <c r="AM287" t="s">
        <v>15</v>
      </c>
      <c r="AN287" t="str">
        <f t="shared" si="16"/>
        <v>Afternoon</v>
      </c>
      <c r="AO287" t="str">
        <f t="shared" si="17"/>
        <v>Off-Peak</v>
      </c>
      <c r="AP287" t="str">
        <f t="shared" si="18"/>
        <v>High</v>
      </c>
      <c r="AQ287" t="str">
        <f t="shared" si="19"/>
        <v>Low</v>
      </c>
    </row>
    <row r="288" spans="1:43" x14ac:dyDescent="0.3">
      <c r="A288">
        <v>287</v>
      </c>
      <c r="B288" t="s">
        <v>14</v>
      </c>
      <c r="C288" t="s">
        <v>8</v>
      </c>
      <c r="D288" s="1">
        <v>46086</v>
      </c>
      <c r="E288" t="s">
        <v>41</v>
      </c>
      <c r="F288">
        <v>0</v>
      </c>
      <c r="G288">
        <v>8</v>
      </c>
      <c r="H288" t="s">
        <v>49</v>
      </c>
      <c r="I288" t="s">
        <v>46</v>
      </c>
      <c r="J288">
        <v>1.1499999999999999</v>
      </c>
      <c r="K288" t="s">
        <v>12</v>
      </c>
      <c r="L288">
        <v>0</v>
      </c>
      <c r="M288">
        <v>2.82</v>
      </c>
      <c r="N288">
        <v>17</v>
      </c>
      <c r="O288" t="s">
        <v>22</v>
      </c>
      <c r="P288">
        <v>4</v>
      </c>
      <c r="Q288">
        <v>4.24</v>
      </c>
      <c r="R288">
        <v>32.5</v>
      </c>
      <c r="S288">
        <v>87.63</v>
      </c>
      <c r="T288">
        <v>18.12</v>
      </c>
      <c r="U288">
        <v>1</v>
      </c>
      <c r="V288">
        <v>0</v>
      </c>
      <c r="W288">
        <v>105.75</v>
      </c>
      <c r="X288">
        <v>44.2</v>
      </c>
      <c r="Y288">
        <v>107.89</v>
      </c>
      <c r="Z288">
        <v>10.35</v>
      </c>
      <c r="AA288">
        <v>3.95</v>
      </c>
      <c r="AB288">
        <v>91.45</v>
      </c>
      <c r="AC288">
        <v>168.83076923076925</v>
      </c>
      <c r="AD288">
        <v>21.568396226415093</v>
      </c>
      <c r="AE288">
        <v>71.28</v>
      </c>
      <c r="AF288">
        <v>13.74</v>
      </c>
      <c r="AG288">
        <v>0</v>
      </c>
      <c r="AH288">
        <v>29.94</v>
      </c>
      <c r="AI288">
        <v>46.94</v>
      </c>
      <c r="AJ288">
        <v>146.01</v>
      </c>
      <c r="AK288">
        <v>60</v>
      </c>
      <c r="AL288" t="s">
        <v>14</v>
      </c>
      <c r="AM288" t="s">
        <v>15</v>
      </c>
      <c r="AN288" t="str">
        <f t="shared" si="16"/>
        <v>Morning</v>
      </c>
      <c r="AO288" t="str">
        <f t="shared" si="17"/>
        <v>Peak</v>
      </c>
      <c r="AP288" t="str">
        <f t="shared" si="18"/>
        <v>Medium</v>
      </c>
      <c r="AQ288" t="str">
        <f t="shared" si="19"/>
        <v>Low</v>
      </c>
    </row>
    <row r="289" spans="1:43" x14ac:dyDescent="0.3">
      <c r="A289">
        <v>288</v>
      </c>
      <c r="B289" t="s">
        <v>25</v>
      </c>
      <c r="C289" t="s">
        <v>17</v>
      </c>
      <c r="D289" s="1">
        <v>46168</v>
      </c>
      <c r="E289" t="s">
        <v>44</v>
      </c>
      <c r="F289">
        <v>0</v>
      </c>
      <c r="G289">
        <v>9</v>
      </c>
      <c r="H289" t="s">
        <v>27</v>
      </c>
      <c r="I289" t="s">
        <v>45</v>
      </c>
      <c r="J289">
        <v>1</v>
      </c>
      <c r="K289" t="s">
        <v>21</v>
      </c>
      <c r="L289">
        <v>0</v>
      </c>
      <c r="M289">
        <v>4.34</v>
      </c>
      <c r="N289">
        <v>72</v>
      </c>
      <c r="O289" t="s">
        <v>13</v>
      </c>
      <c r="P289">
        <v>16</v>
      </c>
      <c r="Q289">
        <v>3.77</v>
      </c>
      <c r="R289">
        <v>41.4</v>
      </c>
      <c r="S289">
        <v>117.96</v>
      </c>
      <c r="T289">
        <v>87.3</v>
      </c>
      <c r="U289">
        <v>1.25</v>
      </c>
      <c r="V289">
        <v>29.49</v>
      </c>
      <c r="W289">
        <v>234.75</v>
      </c>
      <c r="X289">
        <v>41</v>
      </c>
      <c r="Y289">
        <v>109.26</v>
      </c>
      <c r="Z289">
        <v>10.029999999999999</v>
      </c>
      <c r="AA289">
        <v>11.09</v>
      </c>
      <c r="AB289">
        <v>213.63</v>
      </c>
      <c r="AC289">
        <v>309.60869565217394</v>
      </c>
      <c r="AD289">
        <v>56.665782493368695</v>
      </c>
      <c r="AE289">
        <v>80.959999999999994</v>
      </c>
      <c r="AF289">
        <v>17.61</v>
      </c>
      <c r="AG289">
        <v>1</v>
      </c>
      <c r="AH289">
        <v>20.100000000000001</v>
      </c>
      <c r="AI289">
        <v>92.1</v>
      </c>
      <c r="AJ289">
        <v>323.62</v>
      </c>
      <c r="AK289">
        <v>76.11</v>
      </c>
      <c r="AL289" t="s">
        <v>23</v>
      </c>
      <c r="AM289" t="s">
        <v>24</v>
      </c>
      <c r="AN289" t="str">
        <f t="shared" si="16"/>
        <v>Morning</v>
      </c>
      <c r="AO289" t="str">
        <f t="shared" si="17"/>
        <v>Peak</v>
      </c>
      <c r="AP289" t="str">
        <f t="shared" si="18"/>
        <v>High</v>
      </c>
      <c r="AQ289" t="str">
        <f t="shared" si="19"/>
        <v>High</v>
      </c>
    </row>
    <row r="290" spans="1:43" x14ac:dyDescent="0.3">
      <c r="A290">
        <v>289</v>
      </c>
      <c r="B290" t="s">
        <v>29</v>
      </c>
      <c r="C290" t="s">
        <v>30</v>
      </c>
      <c r="D290" s="1">
        <v>46187</v>
      </c>
      <c r="E290" t="s">
        <v>26</v>
      </c>
      <c r="F290">
        <v>1</v>
      </c>
      <c r="G290">
        <v>9</v>
      </c>
      <c r="H290" t="s">
        <v>47</v>
      </c>
      <c r="I290" t="s">
        <v>46</v>
      </c>
      <c r="J290">
        <v>1.1499999999999999</v>
      </c>
      <c r="K290" t="s">
        <v>12</v>
      </c>
      <c r="L290">
        <v>0</v>
      </c>
      <c r="M290">
        <v>3.79</v>
      </c>
      <c r="N290">
        <v>48</v>
      </c>
      <c r="O290" t="s">
        <v>35</v>
      </c>
      <c r="P290">
        <v>12</v>
      </c>
      <c r="Q290">
        <v>5.36</v>
      </c>
      <c r="R290">
        <v>54.3</v>
      </c>
      <c r="S290">
        <v>109.14</v>
      </c>
      <c r="T290">
        <v>51.88</v>
      </c>
      <c r="U290">
        <v>1</v>
      </c>
      <c r="V290">
        <v>0</v>
      </c>
      <c r="W290">
        <v>161.02000000000001</v>
      </c>
      <c r="X290">
        <v>35.5</v>
      </c>
      <c r="Y290">
        <v>100.23</v>
      </c>
      <c r="Z290">
        <v>15.15</v>
      </c>
      <c r="AA290">
        <v>7.07</v>
      </c>
      <c r="AB290">
        <v>138.80000000000001</v>
      </c>
      <c r="AC290">
        <v>153.37016574585638</v>
      </c>
      <c r="AD290">
        <v>25.895522388059703</v>
      </c>
      <c r="AE290">
        <v>79.66</v>
      </c>
      <c r="AF290">
        <v>17.14</v>
      </c>
      <c r="AG290">
        <v>1</v>
      </c>
      <c r="AH290">
        <v>-14.98</v>
      </c>
      <c r="AI290">
        <v>33.020000000000003</v>
      </c>
      <c r="AJ290">
        <v>147.5</v>
      </c>
      <c r="AK290">
        <v>69.53</v>
      </c>
      <c r="AL290" t="s">
        <v>23</v>
      </c>
      <c r="AM290" t="s">
        <v>24</v>
      </c>
      <c r="AN290" t="str">
        <f t="shared" si="16"/>
        <v>Morning</v>
      </c>
      <c r="AO290" t="str">
        <f t="shared" si="17"/>
        <v>Peak</v>
      </c>
      <c r="AP290" t="str">
        <f t="shared" si="18"/>
        <v>Medium</v>
      </c>
      <c r="AQ290" t="str">
        <f t="shared" si="19"/>
        <v>Medium</v>
      </c>
    </row>
    <row r="291" spans="1:43" x14ac:dyDescent="0.3">
      <c r="A291">
        <v>290</v>
      </c>
      <c r="B291" t="s">
        <v>29</v>
      </c>
      <c r="C291" t="s">
        <v>30</v>
      </c>
      <c r="D291" s="1">
        <v>46276</v>
      </c>
      <c r="E291" t="s">
        <v>9</v>
      </c>
      <c r="F291">
        <v>0</v>
      </c>
      <c r="G291">
        <v>20</v>
      </c>
      <c r="H291" t="s">
        <v>32</v>
      </c>
      <c r="I291" t="s">
        <v>39</v>
      </c>
      <c r="J291">
        <v>1.05</v>
      </c>
      <c r="K291" t="s">
        <v>12</v>
      </c>
      <c r="L291">
        <v>0</v>
      </c>
      <c r="M291">
        <v>2</v>
      </c>
      <c r="N291">
        <v>49</v>
      </c>
      <c r="O291" t="s">
        <v>35</v>
      </c>
      <c r="P291">
        <v>16</v>
      </c>
      <c r="Q291">
        <v>8.81</v>
      </c>
      <c r="R291">
        <v>56.6</v>
      </c>
      <c r="S291">
        <v>120.87</v>
      </c>
      <c r="T291">
        <v>61.95</v>
      </c>
      <c r="U291">
        <v>1</v>
      </c>
      <c r="V291">
        <v>0</v>
      </c>
      <c r="W291">
        <v>182.82</v>
      </c>
      <c r="X291">
        <v>38.299999999999997</v>
      </c>
      <c r="Y291">
        <v>104.12</v>
      </c>
      <c r="Z291">
        <v>23.93</v>
      </c>
      <c r="AA291">
        <v>10.9</v>
      </c>
      <c r="AB291">
        <v>147.99</v>
      </c>
      <c r="AC291">
        <v>156.87985865724383</v>
      </c>
      <c r="AD291">
        <v>16.797956867196369</v>
      </c>
      <c r="AE291">
        <v>85.41</v>
      </c>
      <c r="AF291">
        <v>13.24</v>
      </c>
      <c r="AG291">
        <v>1</v>
      </c>
      <c r="AH291">
        <v>-8.84</v>
      </c>
      <c r="AI291">
        <v>40.159999999999997</v>
      </c>
      <c r="AJ291">
        <v>184.95</v>
      </c>
      <c r="AK291">
        <v>71.58</v>
      </c>
      <c r="AL291" t="s">
        <v>14</v>
      </c>
      <c r="AM291" t="s">
        <v>15</v>
      </c>
      <c r="AN291" t="str">
        <f t="shared" si="16"/>
        <v>Night</v>
      </c>
      <c r="AO291" t="str">
        <f t="shared" si="17"/>
        <v>Peak</v>
      </c>
      <c r="AP291" t="str">
        <f t="shared" si="18"/>
        <v>Medium</v>
      </c>
      <c r="AQ291" t="str">
        <f t="shared" si="19"/>
        <v>Medium</v>
      </c>
    </row>
    <row r="292" spans="1:43" x14ac:dyDescent="0.3">
      <c r="A292">
        <v>291</v>
      </c>
      <c r="B292" t="s">
        <v>16</v>
      </c>
      <c r="C292" t="s">
        <v>17</v>
      </c>
      <c r="D292" s="1">
        <v>46211</v>
      </c>
      <c r="E292" t="s">
        <v>18</v>
      </c>
      <c r="F292">
        <v>0</v>
      </c>
      <c r="G292">
        <v>16</v>
      </c>
      <c r="H292" t="s">
        <v>19</v>
      </c>
      <c r="I292" t="s">
        <v>42</v>
      </c>
      <c r="J292">
        <v>1.08</v>
      </c>
      <c r="K292" t="s">
        <v>34</v>
      </c>
      <c r="L292">
        <v>1</v>
      </c>
      <c r="M292">
        <v>2.83</v>
      </c>
      <c r="N292">
        <v>22</v>
      </c>
      <c r="O292" t="s">
        <v>22</v>
      </c>
      <c r="P292">
        <v>3</v>
      </c>
      <c r="Q292">
        <v>15</v>
      </c>
      <c r="R292">
        <v>94.3</v>
      </c>
      <c r="S292">
        <v>231.71</v>
      </c>
      <c r="T292">
        <v>9.73</v>
      </c>
      <c r="U292">
        <v>1.18</v>
      </c>
      <c r="V292">
        <v>41.71</v>
      </c>
      <c r="W292">
        <v>283.14999999999998</v>
      </c>
      <c r="X292">
        <v>46.6</v>
      </c>
      <c r="Y292">
        <v>102.04</v>
      </c>
      <c r="Z292">
        <v>32.82</v>
      </c>
      <c r="AA292">
        <v>9.2100000000000009</v>
      </c>
      <c r="AB292">
        <v>241.12</v>
      </c>
      <c r="AC292">
        <v>153.41675503711559</v>
      </c>
      <c r="AD292">
        <v>16.074666666666666</v>
      </c>
      <c r="AE292">
        <v>79.849999999999994</v>
      </c>
      <c r="AF292">
        <v>14.35</v>
      </c>
      <c r="AG292">
        <v>0</v>
      </c>
      <c r="AH292">
        <v>9.32</v>
      </c>
      <c r="AI292">
        <v>31.32</v>
      </c>
      <c r="AJ292">
        <v>162.61000000000001</v>
      </c>
      <c r="AK292">
        <v>70.45</v>
      </c>
      <c r="AL292" t="s">
        <v>23</v>
      </c>
      <c r="AM292" t="s">
        <v>24</v>
      </c>
      <c r="AN292" t="str">
        <f t="shared" si="16"/>
        <v>Evening</v>
      </c>
      <c r="AO292" t="str">
        <f t="shared" si="17"/>
        <v>Off-Peak</v>
      </c>
      <c r="AP292" t="str">
        <f t="shared" si="18"/>
        <v>Medium</v>
      </c>
      <c r="AQ292" t="str">
        <f t="shared" si="19"/>
        <v>Low</v>
      </c>
    </row>
    <row r="293" spans="1:43" x14ac:dyDescent="0.3">
      <c r="A293">
        <v>292</v>
      </c>
      <c r="B293" t="s">
        <v>14</v>
      </c>
      <c r="C293" t="s">
        <v>8</v>
      </c>
      <c r="D293" s="1">
        <v>46179</v>
      </c>
      <c r="E293" t="s">
        <v>31</v>
      </c>
      <c r="F293">
        <v>1</v>
      </c>
      <c r="G293">
        <v>21</v>
      </c>
      <c r="H293" t="s">
        <v>51</v>
      </c>
      <c r="I293" t="s">
        <v>20</v>
      </c>
      <c r="J293">
        <v>1.25</v>
      </c>
      <c r="K293" t="s">
        <v>12</v>
      </c>
      <c r="L293">
        <v>0</v>
      </c>
      <c r="M293">
        <v>4.2300000000000004</v>
      </c>
      <c r="N293">
        <v>98</v>
      </c>
      <c r="O293" t="s">
        <v>13</v>
      </c>
      <c r="P293">
        <v>25</v>
      </c>
      <c r="Q293">
        <v>4.38</v>
      </c>
      <c r="R293">
        <v>40.9</v>
      </c>
      <c r="S293">
        <v>85.66</v>
      </c>
      <c r="T293">
        <v>100</v>
      </c>
      <c r="U293">
        <v>1</v>
      </c>
      <c r="V293">
        <v>0</v>
      </c>
      <c r="W293">
        <v>185.66</v>
      </c>
      <c r="X293">
        <v>38.700000000000003</v>
      </c>
      <c r="Y293">
        <v>109.97</v>
      </c>
      <c r="Z293">
        <v>12.45</v>
      </c>
      <c r="AA293">
        <v>4.13</v>
      </c>
      <c r="AB293">
        <v>169.08</v>
      </c>
      <c r="AC293">
        <v>248.039119804401</v>
      </c>
      <c r="AD293">
        <v>38.602739726027401</v>
      </c>
      <c r="AE293">
        <v>79.349999999999994</v>
      </c>
      <c r="AF293">
        <v>19.13</v>
      </c>
      <c r="AG293">
        <v>1</v>
      </c>
      <c r="AH293">
        <v>-2.0699999999999998</v>
      </c>
      <c r="AI293">
        <v>95.93</v>
      </c>
      <c r="AJ293">
        <v>226.36</v>
      </c>
      <c r="AK293">
        <v>80.489999999999995</v>
      </c>
      <c r="AL293" t="s">
        <v>14</v>
      </c>
      <c r="AM293" t="s">
        <v>15</v>
      </c>
      <c r="AN293" t="str">
        <f t="shared" si="16"/>
        <v>Night</v>
      </c>
      <c r="AO293" t="str">
        <f t="shared" si="17"/>
        <v>Off-Peak</v>
      </c>
      <c r="AP293" t="str">
        <f t="shared" si="18"/>
        <v>Medium</v>
      </c>
      <c r="AQ293" t="str">
        <f t="shared" si="19"/>
        <v>High</v>
      </c>
    </row>
    <row r="294" spans="1:43" x14ac:dyDescent="0.3">
      <c r="A294">
        <v>293</v>
      </c>
      <c r="B294" t="s">
        <v>23</v>
      </c>
      <c r="C294" t="s">
        <v>17</v>
      </c>
      <c r="D294" s="1">
        <v>46257</v>
      </c>
      <c r="E294" t="s">
        <v>26</v>
      </c>
      <c r="F294">
        <v>1</v>
      </c>
      <c r="G294">
        <v>13</v>
      </c>
      <c r="H294" t="s">
        <v>19</v>
      </c>
      <c r="I294" t="s">
        <v>45</v>
      </c>
      <c r="J294">
        <v>1</v>
      </c>
      <c r="K294" t="s">
        <v>34</v>
      </c>
      <c r="L294">
        <v>1</v>
      </c>
      <c r="M294">
        <v>3.42</v>
      </c>
      <c r="N294">
        <v>50</v>
      </c>
      <c r="O294" t="s">
        <v>35</v>
      </c>
      <c r="P294">
        <v>9</v>
      </c>
      <c r="Q294">
        <v>2.4700000000000002</v>
      </c>
      <c r="R294">
        <v>38</v>
      </c>
      <c r="S294">
        <v>80.75</v>
      </c>
      <c r="T294">
        <v>58.44</v>
      </c>
      <c r="U294">
        <v>1.17</v>
      </c>
      <c r="V294">
        <v>13.73</v>
      </c>
      <c r="W294">
        <v>152.91999999999999</v>
      </c>
      <c r="X294">
        <v>47.3</v>
      </c>
      <c r="Y294">
        <v>109.3</v>
      </c>
      <c r="Z294">
        <v>5.71</v>
      </c>
      <c r="AA294">
        <v>5.85</v>
      </c>
      <c r="AB294">
        <v>141.36000000000001</v>
      </c>
      <c r="AC294">
        <v>223.20000000000005</v>
      </c>
      <c r="AD294">
        <v>57.230769230769234</v>
      </c>
      <c r="AE294">
        <v>81.400000000000006</v>
      </c>
      <c r="AF294">
        <v>12.78</v>
      </c>
      <c r="AG294">
        <v>1</v>
      </c>
      <c r="AH294">
        <v>11.17</v>
      </c>
      <c r="AI294">
        <v>61.17</v>
      </c>
      <c r="AJ294">
        <v>212.69</v>
      </c>
      <c r="AK294">
        <v>70.19</v>
      </c>
      <c r="AL294" t="s">
        <v>14</v>
      </c>
      <c r="AM294" t="s">
        <v>15</v>
      </c>
      <c r="AN294" t="str">
        <f t="shared" si="16"/>
        <v>Afternoon</v>
      </c>
      <c r="AO294" t="str">
        <f t="shared" si="17"/>
        <v>Off-Peak</v>
      </c>
      <c r="AP294" t="str">
        <f t="shared" si="18"/>
        <v>Medium</v>
      </c>
      <c r="AQ294" t="str">
        <f t="shared" si="19"/>
        <v>Medium</v>
      </c>
    </row>
    <row r="295" spans="1:43" x14ac:dyDescent="0.3">
      <c r="A295">
        <v>294</v>
      </c>
      <c r="B295" t="s">
        <v>48</v>
      </c>
      <c r="C295" t="s">
        <v>30</v>
      </c>
      <c r="D295" s="1">
        <v>46132</v>
      </c>
      <c r="E295" t="s">
        <v>38</v>
      </c>
      <c r="F295">
        <v>0</v>
      </c>
      <c r="G295">
        <v>10</v>
      </c>
      <c r="H295" t="s">
        <v>47</v>
      </c>
      <c r="I295" t="s">
        <v>50</v>
      </c>
      <c r="J295">
        <v>1.2</v>
      </c>
      <c r="K295" t="s">
        <v>34</v>
      </c>
      <c r="L295">
        <v>1</v>
      </c>
      <c r="M295">
        <v>3.82</v>
      </c>
      <c r="N295">
        <v>48</v>
      </c>
      <c r="O295" t="s">
        <v>35</v>
      </c>
      <c r="P295">
        <v>15</v>
      </c>
      <c r="Q295">
        <v>2.2799999999999998</v>
      </c>
      <c r="R295">
        <v>30.3</v>
      </c>
      <c r="S295">
        <v>75.16</v>
      </c>
      <c r="T295">
        <v>66.19</v>
      </c>
      <c r="U295">
        <v>1</v>
      </c>
      <c r="V295">
        <v>0</v>
      </c>
      <c r="W295">
        <v>141.35</v>
      </c>
      <c r="X295">
        <v>42</v>
      </c>
      <c r="Y295">
        <v>108.02</v>
      </c>
      <c r="Z295">
        <v>5.87</v>
      </c>
      <c r="AA295">
        <v>11.68</v>
      </c>
      <c r="AB295">
        <v>123.8</v>
      </c>
      <c r="AC295">
        <v>245.14851485148515</v>
      </c>
      <c r="AD295">
        <v>54.298245614035089</v>
      </c>
      <c r="AE295">
        <v>74.23</v>
      </c>
      <c r="AF295">
        <v>12.96</v>
      </c>
      <c r="AG295">
        <v>0</v>
      </c>
      <c r="AH295">
        <v>-2.39</v>
      </c>
      <c r="AI295">
        <v>45.61</v>
      </c>
      <c r="AJ295">
        <v>239.97</v>
      </c>
      <c r="AK295">
        <v>70.47</v>
      </c>
      <c r="AL295" t="s">
        <v>23</v>
      </c>
      <c r="AM295" t="s">
        <v>24</v>
      </c>
      <c r="AN295" t="str">
        <f t="shared" si="16"/>
        <v>Morning</v>
      </c>
      <c r="AO295" t="str">
        <f t="shared" si="17"/>
        <v>Peak</v>
      </c>
      <c r="AP295" t="str">
        <f t="shared" si="18"/>
        <v>Medium</v>
      </c>
      <c r="AQ295" t="str">
        <f t="shared" si="19"/>
        <v>Medium</v>
      </c>
    </row>
    <row r="296" spans="1:43" x14ac:dyDescent="0.3">
      <c r="A296">
        <v>295</v>
      </c>
      <c r="B296" t="s">
        <v>29</v>
      </c>
      <c r="C296" t="s">
        <v>30</v>
      </c>
      <c r="D296" s="1">
        <v>46264</v>
      </c>
      <c r="E296" t="s">
        <v>26</v>
      </c>
      <c r="F296">
        <v>1</v>
      </c>
      <c r="G296">
        <v>16</v>
      </c>
      <c r="H296" t="s">
        <v>32</v>
      </c>
      <c r="I296" t="s">
        <v>20</v>
      </c>
      <c r="J296">
        <v>1.25</v>
      </c>
      <c r="K296" t="s">
        <v>34</v>
      </c>
      <c r="L296">
        <v>1</v>
      </c>
      <c r="M296">
        <v>3.71</v>
      </c>
      <c r="N296">
        <v>75</v>
      </c>
      <c r="O296" t="s">
        <v>13</v>
      </c>
      <c r="P296">
        <v>27</v>
      </c>
      <c r="Q296">
        <v>2.2799999999999998</v>
      </c>
      <c r="R296">
        <v>34.200000000000003</v>
      </c>
      <c r="S296">
        <v>74.900000000000006</v>
      </c>
      <c r="T296">
        <v>62.55</v>
      </c>
      <c r="U296">
        <v>1</v>
      </c>
      <c r="V296">
        <v>0</v>
      </c>
      <c r="W296">
        <v>137.44999999999999</v>
      </c>
      <c r="X296">
        <v>42.1</v>
      </c>
      <c r="Y296">
        <v>102.96</v>
      </c>
      <c r="Z296">
        <v>5.56</v>
      </c>
      <c r="AA296">
        <v>2.2000000000000002</v>
      </c>
      <c r="AB296">
        <v>129.69</v>
      </c>
      <c r="AC296">
        <v>227.52631578947364</v>
      </c>
      <c r="AD296">
        <v>56.881578947368425</v>
      </c>
      <c r="AE296">
        <v>79.17</v>
      </c>
      <c r="AF296">
        <v>14.78</v>
      </c>
      <c r="AG296">
        <v>1</v>
      </c>
      <c r="AH296">
        <v>25.87</v>
      </c>
      <c r="AI296">
        <v>100.87</v>
      </c>
      <c r="AJ296">
        <v>239.02</v>
      </c>
      <c r="AK296">
        <v>75.819999999999993</v>
      </c>
      <c r="AL296" t="s">
        <v>23</v>
      </c>
      <c r="AM296" t="s">
        <v>24</v>
      </c>
      <c r="AN296" t="str">
        <f t="shared" si="16"/>
        <v>Evening</v>
      </c>
      <c r="AO296" t="str">
        <f t="shared" si="17"/>
        <v>Off-Peak</v>
      </c>
      <c r="AP296" t="str">
        <f t="shared" si="18"/>
        <v>Medium</v>
      </c>
      <c r="AQ296" t="str">
        <f t="shared" si="19"/>
        <v>High</v>
      </c>
    </row>
    <row r="297" spans="1:43" x14ac:dyDescent="0.3">
      <c r="A297">
        <v>296</v>
      </c>
      <c r="B297" t="s">
        <v>29</v>
      </c>
      <c r="C297" t="s">
        <v>30</v>
      </c>
      <c r="D297" s="1">
        <v>46118</v>
      </c>
      <c r="E297" t="s">
        <v>38</v>
      </c>
      <c r="F297">
        <v>0</v>
      </c>
      <c r="G297">
        <v>21</v>
      </c>
      <c r="H297" t="s">
        <v>36</v>
      </c>
      <c r="I297" t="s">
        <v>20</v>
      </c>
      <c r="J297">
        <v>1.25</v>
      </c>
      <c r="K297" t="s">
        <v>12</v>
      </c>
      <c r="L297">
        <v>0</v>
      </c>
      <c r="M297">
        <v>2.76</v>
      </c>
      <c r="N297">
        <v>12</v>
      </c>
      <c r="O297" t="s">
        <v>22</v>
      </c>
      <c r="P297">
        <v>4</v>
      </c>
      <c r="Q297">
        <v>5.23</v>
      </c>
      <c r="R297">
        <v>43.6</v>
      </c>
      <c r="S297">
        <v>95.32</v>
      </c>
      <c r="T297">
        <v>12.99</v>
      </c>
      <c r="U297">
        <v>1</v>
      </c>
      <c r="V297">
        <v>0</v>
      </c>
      <c r="W297">
        <v>108.31</v>
      </c>
      <c r="X297">
        <v>46.6</v>
      </c>
      <c r="Y297">
        <v>109.52</v>
      </c>
      <c r="Z297">
        <v>12.29</v>
      </c>
      <c r="AA297">
        <v>9.15</v>
      </c>
      <c r="AB297">
        <v>86.87</v>
      </c>
      <c r="AC297">
        <v>119.54587155963303</v>
      </c>
      <c r="AD297">
        <v>16.609942638623327</v>
      </c>
      <c r="AE297">
        <v>79.319999999999993</v>
      </c>
      <c r="AF297">
        <v>15.2</v>
      </c>
      <c r="AG297">
        <v>0</v>
      </c>
      <c r="AH297">
        <v>3.12</v>
      </c>
      <c r="AI297">
        <v>15.12</v>
      </c>
      <c r="AJ297">
        <v>103.69</v>
      </c>
      <c r="AK297">
        <v>63.66</v>
      </c>
      <c r="AL297" t="s">
        <v>14</v>
      </c>
      <c r="AM297" t="s">
        <v>15</v>
      </c>
      <c r="AN297" t="str">
        <f t="shared" si="16"/>
        <v>Night</v>
      </c>
      <c r="AO297" t="str">
        <f t="shared" si="17"/>
        <v>Off-Peak</v>
      </c>
      <c r="AP297" t="str">
        <f t="shared" si="18"/>
        <v>Low</v>
      </c>
      <c r="AQ297" t="str">
        <f t="shared" si="19"/>
        <v>Low</v>
      </c>
    </row>
    <row r="298" spans="1:43" x14ac:dyDescent="0.3">
      <c r="A298">
        <v>297</v>
      </c>
      <c r="B298" t="s">
        <v>16</v>
      </c>
      <c r="C298" t="s">
        <v>17</v>
      </c>
      <c r="D298" s="1">
        <v>46055</v>
      </c>
      <c r="E298" t="s">
        <v>38</v>
      </c>
      <c r="F298">
        <v>0</v>
      </c>
      <c r="G298">
        <v>15</v>
      </c>
      <c r="H298" t="s">
        <v>19</v>
      </c>
      <c r="I298" t="s">
        <v>39</v>
      </c>
      <c r="J298">
        <v>1.05</v>
      </c>
      <c r="K298" t="s">
        <v>21</v>
      </c>
      <c r="L298">
        <v>0</v>
      </c>
      <c r="M298">
        <v>2.58</v>
      </c>
      <c r="N298">
        <v>6</v>
      </c>
      <c r="O298" t="s">
        <v>22</v>
      </c>
      <c r="P298">
        <v>1</v>
      </c>
      <c r="Q298">
        <v>1</v>
      </c>
      <c r="R298">
        <v>26.1</v>
      </c>
      <c r="S298">
        <v>66.83</v>
      </c>
      <c r="T298">
        <v>23.28</v>
      </c>
      <c r="U298">
        <v>1.08</v>
      </c>
      <c r="V298">
        <v>5.35</v>
      </c>
      <c r="W298">
        <v>95.46</v>
      </c>
      <c r="X298">
        <v>40.700000000000003</v>
      </c>
      <c r="Y298">
        <v>100.29</v>
      </c>
      <c r="Z298">
        <v>2.46</v>
      </c>
      <c r="AA298">
        <v>11.79</v>
      </c>
      <c r="AB298">
        <v>81.209999999999994</v>
      </c>
      <c r="AC298">
        <v>186.68965517241378</v>
      </c>
      <c r="AD298">
        <v>81.209999999999994</v>
      </c>
      <c r="AE298">
        <v>72.12</v>
      </c>
      <c r="AF298">
        <v>17.850000000000001</v>
      </c>
      <c r="AG298">
        <v>0</v>
      </c>
      <c r="AH298">
        <v>39.31</v>
      </c>
      <c r="AI298">
        <v>45.31</v>
      </c>
      <c r="AJ298">
        <v>188.83</v>
      </c>
      <c r="AK298">
        <v>60</v>
      </c>
      <c r="AL298" t="s">
        <v>23</v>
      </c>
      <c r="AM298" t="s">
        <v>24</v>
      </c>
      <c r="AN298" t="str">
        <f t="shared" si="16"/>
        <v>Evening</v>
      </c>
      <c r="AO298" t="str">
        <f t="shared" si="17"/>
        <v>Off-Peak</v>
      </c>
      <c r="AP298" t="str">
        <f t="shared" si="18"/>
        <v>Medium</v>
      </c>
      <c r="AQ298" t="str">
        <f t="shared" si="19"/>
        <v>Low</v>
      </c>
    </row>
    <row r="299" spans="1:43" x14ac:dyDescent="0.3">
      <c r="A299">
        <v>298</v>
      </c>
      <c r="B299" t="s">
        <v>29</v>
      </c>
      <c r="C299" t="s">
        <v>30</v>
      </c>
      <c r="D299" s="1">
        <v>46130</v>
      </c>
      <c r="E299" t="s">
        <v>31</v>
      </c>
      <c r="F299">
        <v>1</v>
      </c>
      <c r="G299">
        <v>7</v>
      </c>
      <c r="H299" t="s">
        <v>47</v>
      </c>
      <c r="I299" t="s">
        <v>33</v>
      </c>
      <c r="J299">
        <v>1</v>
      </c>
      <c r="K299" t="s">
        <v>12</v>
      </c>
      <c r="L299">
        <v>0</v>
      </c>
      <c r="M299">
        <v>2.8</v>
      </c>
      <c r="N299">
        <v>62</v>
      </c>
      <c r="O299" t="s">
        <v>35</v>
      </c>
      <c r="P299">
        <v>20</v>
      </c>
      <c r="Q299">
        <v>1.4</v>
      </c>
      <c r="R299">
        <v>26.8</v>
      </c>
      <c r="S299">
        <v>59.99</v>
      </c>
      <c r="T299">
        <v>66.38</v>
      </c>
      <c r="U299">
        <v>1</v>
      </c>
      <c r="V299">
        <v>0</v>
      </c>
      <c r="W299">
        <v>126.37</v>
      </c>
      <c r="X299">
        <v>38.6</v>
      </c>
      <c r="Y299">
        <v>101.88</v>
      </c>
      <c r="Z299">
        <v>3.71</v>
      </c>
      <c r="AA299">
        <v>3.04</v>
      </c>
      <c r="AB299">
        <v>119.62</v>
      </c>
      <c r="AC299">
        <v>267.80597014925377</v>
      </c>
      <c r="AD299">
        <v>85.44285714285715</v>
      </c>
      <c r="AE299">
        <v>79.86</v>
      </c>
      <c r="AF299">
        <v>15.33</v>
      </c>
      <c r="AG299">
        <v>1</v>
      </c>
      <c r="AH299">
        <v>12.04</v>
      </c>
      <c r="AI299">
        <v>74.040000000000006</v>
      </c>
      <c r="AJ299">
        <v>247.88</v>
      </c>
      <c r="AK299">
        <v>74.400000000000006</v>
      </c>
      <c r="AL299" t="s">
        <v>23</v>
      </c>
      <c r="AM299" t="s">
        <v>24</v>
      </c>
      <c r="AN299" t="str">
        <f t="shared" si="16"/>
        <v>Morning</v>
      </c>
      <c r="AO299" t="str">
        <f t="shared" si="17"/>
        <v>Peak</v>
      </c>
      <c r="AP299" t="str">
        <f t="shared" si="18"/>
        <v>High</v>
      </c>
      <c r="AQ299" t="str">
        <f t="shared" si="19"/>
        <v>Medium</v>
      </c>
    </row>
    <row r="300" spans="1:43" x14ac:dyDescent="0.3">
      <c r="A300">
        <v>299</v>
      </c>
      <c r="B300" t="s">
        <v>14</v>
      </c>
      <c r="C300" t="s">
        <v>8</v>
      </c>
      <c r="D300" s="1">
        <v>46056</v>
      </c>
      <c r="E300" t="s">
        <v>44</v>
      </c>
      <c r="F300">
        <v>0</v>
      </c>
      <c r="G300">
        <v>11</v>
      </c>
      <c r="H300" t="s">
        <v>10</v>
      </c>
      <c r="I300" t="s">
        <v>20</v>
      </c>
      <c r="J300">
        <v>1.25</v>
      </c>
      <c r="K300" t="s">
        <v>12</v>
      </c>
      <c r="L300">
        <v>0</v>
      </c>
      <c r="M300">
        <v>3.92</v>
      </c>
      <c r="N300">
        <v>32</v>
      </c>
      <c r="O300" t="s">
        <v>22</v>
      </c>
      <c r="P300">
        <v>9</v>
      </c>
      <c r="Q300">
        <v>5.23</v>
      </c>
      <c r="R300">
        <v>43.5</v>
      </c>
      <c r="S300">
        <v>88.64</v>
      </c>
      <c r="T300">
        <v>32.090000000000003</v>
      </c>
      <c r="U300">
        <v>1</v>
      </c>
      <c r="V300">
        <v>0</v>
      </c>
      <c r="W300">
        <v>120.73</v>
      </c>
      <c r="X300">
        <v>36.6</v>
      </c>
      <c r="Y300">
        <v>106.17</v>
      </c>
      <c r="Z300">
        <v>15.18</v>
      </c>
      <c r="AA300">
        <v>4.72</v>
      </c>
      <c r="AB300">
        <v>100.83</v>
      </c>
      <c r="AC300">
        <v>139.07586206896551</v>
      </c>
      <c r="AD300">
        <v>19.279158699808793</v>
      </c>
      <c r="AE300">
        <v>82.25</v>
      </c>
      <c r="AF300">
        <v>16.82</v>
      </c>
      <c r="AG300">
        <v>0</v>
      </c>
      <c r="AH300">
        <v>-17.239999999999998</v>
      </c>
      <c r="AI300">
        <v>14.76</v>
      </c>
      <c r="AJ300">
        <v>139.13</v>
      </c>
      <c r="AK300">
        <v>65.849999999999994</v>
      </c>
      <c r="AL300" t="s">
        <v>14</v>
      </c>
      <c r="AM300" t="s">
        <v>15</v>
      </c>
      <c r="AN300" t="str">
        <f t="shared" si="16"/>
        <v>Afternoon</v>
      </c>
      <c r="AO300" t="str">
        <f t="shared" si="17"/>
        <v>Off-Peak</v>
      </c>
      <c r="AP300" t="str">
        <f t="shared" si="18"/>
        <v>Low</v>
      </c>
      <c r="AQ300" t="str">
        <f t="shared" si="19"/>
        <v>Low</v>
      </c>
    </row>
    <row r="301" spans="1:43" x14ac:dyDescent="0.3">
      <c r="A301">
        <v>300</v>
      </c>
      <c r="B301" t="s">
        <v>7</v>
      </c>
      <c r="C301" t="s">
        <v>8</v>
      </c>
      <c r="D301" s="1">
        <v>46053</v>
      </c>
      <c r="E301" t="s">
        <v>31</v>
      </c>
      <c r="F301">
        <v>1</v>
      </c>
      <c r="G301">
        <v>21</v>
      </c>
      <c r="H301" t="s">
        <v>51</v>
      </c>
      <c r="I301" t="s">
        <v>11</v>
      </c>
      <c r="J301">
        <v>1.18</v>
      </c>
      <c r="K301" t="s">
        <v>34</v>
      </c>
      <c r="L301">
        <v>1</v>
      </c>
      <c r="M301">
        <v>4.01</v>
      </c>
      <c r="N301">
        <v>104</v>
      </c>
      <c r="O301" t="s">
        <v>13</v>
      </c>
      <c r="P301">
        <v>44</v>
      </c>
      <c r="Q301">
        <v>7.91</v>
      </c>
      <c r="R301">
        <v>64</v>
      </c>
      <c r="S301">
        <v>105.37</v>
      </c>
      <c r="T301">
        <v>100</v>
      </c>
      <c r="U301">
        <v>1</v>
      </c>
      <c r="V301">
        <v>0</v>
      </c>
      <c r="W301">
        <v>205.37</v>
      </c>
      <c r="X301">
        <v>45.1</v>
      </c>
      <c r="Y301">
        <v>107.93</v>
      </c>
      <c r="Z301">
        <v>18.93</v>
      </c>
      <c r="AA301">
        <v>7.47</v>
      </c>
      <c r="AB301">
        <v>178.97</v>
      </c>
      <c r="AC301">
        <v>167.78437500000001</v>
      </c>
      <c r="AD301">
        <v>22.625790139064474</v>
      </c>
      <c r="AE301">
        <v>86.02</v>
      </c>
      <c r="AF301">
        <v>15.38</v>
      </c>
      <c r="AG301">
        <v>1</v>
      </c>
      <c r="AH301">
        <v>34.299999999999997</v>
      </c>
      <c r="AI301">
        <v>138.30000000000001</v>
      </c>
      <c r="AJ301">
        <v>186.22</v>
      </c>
      <c r="AK301">
        <v>64.86</v>
      </c>
      <c r="AL301" t="s">
        <v>14</v>
      </c>
      <c r="AM301" t="s">
        <v>15</v>
      </c>
      <c r="AN301" t="str">
        <f t="shared" si="16"/>
        <v>Night</v>
      </c>
      <c r="AO301" t="str">
        <f t="shared" si="17"/>
        <v>Off-Peak</v>
      </c>
      <c r="AP301" t="str">
        <f t="shared" si="18"/>
        <v>Medium</v>
      </c>
      <c r="AQ301" t="str">
        <f t="shared" si="19"/>
        <v>High</v>
      </c>
    </row>
    <row r="302" spans="1:43" x14ac:dyDescent="0.3">
      <c r="A302">
        <v>301</v>
      </c>
      <c r="B302" t="s">
        <v>48</v>
      </c>
      <c r="C302" t="s">
        <v>30</v>
      </c>
      <c r="D302" s="1">
        <v>46250</v>
      </c>
      <c r="E302" t="s">
        <v>26</v>
      </c>
      <c r="F302">
        <v>1</v>
      </c>
      <c r="G302">
        <v>15</v>
      </c>
      <c r="H302" t="s">
        <v>43</v>
      </c>
      <c r="I302" t="s">
        <v>39</v>
      </c>
      <c r="J302">
        <v>1.05</v>
      </c>
      <c r="K302" t="s">
        <v>21</v>
      </c>
      <c r="L302">
        <v>0</v>
      </c>
      <c r="M302">
        <v>2.95</v>
      </c>
      <c r="N302">
        <v>32</v>
      </c>
      <c r="O302" t="s">
        <v>22</v>
      </c>
      <c r="P302">
        <v>11</v>
      </c>
      <c r="Q302">
        <v>7.94</v>
      </c>
      <c r="R302">
        <v>64.2</v>
      </c>
      <c r="S302">
        <v>120.71</v>
      </c>
      <c r="T302">
        <v>32.47</v>
      </c>
      <c r="U302">
        <v>1</v>
      </c>
      <c r="V302">
        <v>0</v>
      </c>
      <c r="W302">
        <v>153.18</v>
      </c>
      <c r="X302">
        <v>42</v>
      </c>
      <c r="Y302">
        <v>108.84</v>
      </c>
      <c r="Z302">
        <v>20.55</v>
      </c>
      <c r="AA302">
        <v>10.44</v>
      </c>
      <c r="AB302">
        <v>122.19</v>
      </c>
      <c r="AC302">
        <v>114.19626168224298</v>
      </c>
      <c r="AD302">
        <v>15.389168765743072</v>
      </c>
      <c r="AE302">
        <v>84.43</v>
      </c>
      <c r="AF302">
        <v>16.27</v>
      </c>
      <c r="AG302">
        <v>1</v>
      </c>
      <c r="AH302">
        <v>19.48</v>
      </c>
      <c r="AI302">
        <v>51.48</v>
      </c>
      <c r="AJ302">
        <v>136.15</v>
      </c>
      <c r="AK302">
        <v>61.01</v>
      </c>
      <c r="AL302" t="s">
        <v>14</v>
      </c>
      <c r="AM302" t="s">
        <v>15</v>
      </c>
      <c r="AN302" t="str">
        <f t="shared" si="16"/>
        <v>Evening</v>
      </c>
      <c r="AO302" t="str">
        <f t="shared" si="17"/>
        <v>Off-Peak</v>
      </c>
      <c r="AP302" t="str">
        <f t="shared" si="18"/>
        <v>Low</v>
      </c>
      <c r="AQ302" t="str">
        <f t="shared" si="19"/>
        <v>Low</v>
      </c>
    </row>
    <row r="303" spans="1:43" x14ac:dyDescent="0.3">
      <c r="A303">
        <v>302</v>
      </c>
      <c r="B303" t="s">
        <v>16</v>
      </c>
      <c r="C303" t="s">
        <v>17</v>
      </c>
      <c r="D303" s="1">
        <v>46228</v>
      </c>
      <c r="E303" t="s">
        <v>31</v>
      </c>
      <c r="F303">
        <v>1</v>
      </c>
      <c r="G303">
        <v>22</v>
      </c>
      <c r="H303" t="s">
        <v>19</v>
      </c>
      <c r="I303" t="s">
        <v>42</v>
      </c>
      <c r="J303">
        <v>1.08</v>
      </c>
      <c r="K303" t="s">
        <v>12</v>
      </c>
      <c r="L303">
        <v>0</v>
      </c>
      <c r="M303">
        <v>3.15</v>
      </c>
      <c r="N303">
        <v>38</v>
      </c>
      <c r="O303" t="s">
        <v>35</v>
      </c>
      <c r="P303">
        <v>7</v>
      </c>
      <c r="Q303">
        <v>4.53</v>
      </c>
      <c r="R303">
        <v>38.1</v>
      </c>
      <c r="S303">
        <v>114.79</v>
      </c>
      <c r="T303">
        <v>28.94</v>
      </c>
      <c r="U303">
        <v>1.08</v>
      </c>
      <c r="V303">
        <v>9.18</v>
      </c>
      <c r="W303">
        <v>152.91</v>
      </c>
      <c r="X303">
        <v>47.1</v>
      </c>
      <c r="Y303">
        <v>103.01</v>
      </c>
      <c r="Z303">
        <v>9.9</v>
      </c>
      <c r="AA303">
        <v>7.07</v>
      </c>
      <c r="AB303">
        <v>135.94</v>
      </c>
      <c r="AC303">
        <v>214.0787401574803</v>
      </c>
      <c r="AD303">
        <v>30.008830022075053</v>
      </c>
      <c r="AE303">
        <v>93.67</v>
      </c>
      <c r="AF303">
        <v>19.600000000000001</v>
      </c>
      <c r="AG303">
        <v>1</v>
      </c>
      <c r="AH303">
        <v>8.6999999999999993</v>
      </c>
      <c r="AI303">
        <v>46.7</v>
      </c>
      <c r="AJ303">
        <v>217.96</v>
      </c>
      <c r="AK303">
        <v>72.31</v>
      </c>
      <c r="AL303" t="s">
        <v>23</v>
      </c>
      <c r="AM303" t="s">
        <v>24</v>
      </c>
      <c r="AN303" t="str">
        <f t="shared" si="16"/>
        <v>Night</v>
      </c>
      <c r="AO303" t="str">
        <f t="shared" si="17"/>
        <v>Off-Peak</v>
      </c>
      <c r="AP303" t="str">
        <f t="shared" si="18"/>
        <v>Medium</v>
      </c>
      <c r="AQ303" t="str">
        <f t="shared" si="19"/>
        <v>Medium</v>
      </c>
    </row>
    <row r="304" spans="1:43" x14ac:dyDescent="0.3">
      <c r="A304">
        <v>303</v>
      </c>
      <c r="B304" t="s">
        <v>7</v>
      </c>
      <c r="C304" t="s">
        <v>8</v>
      </c>
      <c r="D304" s="1">
        <v>46080</v>
      </c>
      <c r="E304" t="s">
        <v>9</v>
      </c>
      <c r="F304">
        <v>0</v>
      </c>
      <c r="G304">
        <v>15</v>
      </c>
      <c r="H304" t="s">
        <v>32</v>
      </c>
      <c r="I304" t="s">
        <v>42</v>
      </c>
      <c r="J304">
        <v>1.08</v>
      </c>
      <c r="K304" t="s">
        <v>12</v>
      </c>
      <c r="L304">
        <v>0</v>
      </c>
      <c r="M304">
        <v>4.25</v>
      </c>
      <c r="N304">
        <v>9</v>
      </c>
      <c r="O304" t="s">
        <v>22</v>
      </c>
      <c r="P304">
        <v>5</v>
      </c>
      <c r="Q304">
        <v>7.24</v>
      </c>
      <c r="R304">
        <v>48.4</v>
      </c>
      <c r="S304">
        <v>112.8</v>
      </c>
      <c r="T304">
        <v>6.81</v>
      </c>
      <c r="U304">
        <v>1</v>
      </c>
      <c r="V304">
        <v>0</v>
      </c>
      <c r="W304">
        <v>119.61</v>
      </c>
      <c r="X304">
        <v>41.9</v>
      </c>
      <c r="Y304">
        <v>103.91</v>
      </c>
      <c r="Z304">
        <v>17.98</v>
      </c>
      <c r="AA304">
        <v>2.6</v>
      </c>
      <c r="AB304">
        <v>99.03</v>
      </c>
      <c r="AC304">
        <v>122.76446280991736</v>
      </c>
      <c r="AD304">
        <v>13.678176795580111</v>
      </c>
      <c r="AE304">
        <v>78.34</v>
      </c>
      <c r="AF304">
        <v>18.559999999999999</v>
      </c>
      <c r="AG304">
        <v>0</v>
      </c>
      <c r="AH304">
        <v>12.7</v>
      </c>
      <c r="AI304">
        <v>21.7</v>
      </c>
      <c r="AJ304">
        <v>110.49</v>
      </c>
      <c r="AK304">
        <v>61.15</v>
      </c>
      <c r="AL304" t="s">
        <v>14</v>
      </c>
      <c r="AM304" t="s">
        <v>15</v>
      </c>
      <c r="AN304" t="str">
        <f t="shared" si="16"/>
        <v>Evening</v>
      </c>
      <c r="AO304" t="str">
        <f t="shared" si="17"/>
        <v>Off-Peak</v>
      </c>
      <c r="AP304" t="str">
        <f t="shared" si="18"/>
        <v>Low</v>
      </c>
      <c r="AQ304" t="str">
        <f t="shared" si="19"/>
        <v>Low</v>
      </c>
    </row>
    <row r="305" spans="1:43" x14ac:dyDescent="0.3">
      <c r="A305">
        <v>304</v>
      </c>
      <c r="B305" t="s">
        <v>23</v>
      </c>
      <c r="C305" t="s">
        <v>17</v>
      </c>
      <c r="D305" s="1">
        <v>46239</v>
      </c>
      <c r="E305" t="s">
        <v>18</v>
      </c>
      <c r="F305">
        <v>0</v>
      </c>
      <c r="G305">
        <v>7</v>
      </c>
      <c r="H305" t="s">
        <v>27</v>
      </c>
      <c r="I305" t="s">
        <v>50</v>
      </c>
      <c r="J305">
        <v>1.2</v>
      </c>
      <c r="K305" t="s">
        <v>21</v>
      </c>
      <c r="L305">
        <v>0</v>
      </c>
      <c r="M305">
        <v>3.86</v>
      </c>
      <c r="N305">
        <v>82</v>
      </c>
      <c r="O305" t="s">
        <v>13</v>
      </c>
      <c r="P305">
        <v>12</v>
      </c>
      <c r="Q305">
        <v>8.91</v>
      </c>
      <c r="R305">
        <v>66</v>
      </c>
      <c r="S305">
        <v>150.05000000000001</v>
      </c>
      <c r="T305">
        <v>80.91</v>
      </c>
      <c r="U305">
        <v>1.35</v>
      </c>
      <c r="V305">
        <v>52.52</v>
      </c>
      <c r="W305">
        <v>283.48</v>
      </c>
      <c r="X305">
        <v>41.2</v>
      </c>
      <c r="Y305">
        <v>104.55</v>
      </c>
      <c r="Z305">
        <v>22.61</v>
      </c>
      <c r="AA305">
        <v>3.27</v>
      </c>
      <c r="AB305">
        <v>257.60000000000002</v>
      </c>
      <c r="AC305">
        <v>234.18181818181819</v>
      </c>
      <c r="AD305">
        <v>28.911335578002248</v>
      </c>
      <c r="AE305">
        <v>74.87</v>
      </c>
      <c r="AF305">
        <v>13.56</v>
      </c>
      <c r="AG305">
        <v>1</v>
      </c>
      <c r="AH305">
        <v>-14.84</v>
      </c>
      <c r="AI305">
        <v>67.16</v>
      </c>
      <c r="AJ305">
        <v>264.41000000000003</v>
      </c>
      <c r="AK305">
        <v>66.08</v>
      </c>
      <c r="AL305" t="s">
        <v>23</v>
      </c>
      <c r="AM305" t="s">
        <v>24</v>
      </c>
      <c r="AN305" t="str">
        <f t="shared" si="16"/>
        <v>Morning</v>
      </c>
      <c r="AO305" t="str">
        <f t="shared" si="17"/>
        <v>Peak</v>
      </c>
      <c r="AP305" t="str">
        <f t="shared" si="18"/>
        <v>Medium</v>
      </c>
      <c r="AQ305" t="str">
        <f t="shared" si="19"/>
        <v>High</v>
      </c>
    </row>
    <row r="306" spans="1:43" x14ac:dyDescent="0.3">
      <c r="A306">
        <v>305</v>
      </c>
      <c r="B306" t="s">
        <v>29</v>
      </c>
      <c r="C306" t="s">
        <v>30</v>
      </c>
      <c r="D306" s="1">
        <v>46040</v>
      </c>
      <c r="E306" t="s">
        <v>26</v>
      </c>
      <c r="F306">
        <v>1</v>
      </c>
      <c r="G306">
        <v>20</v>
      </c>
      <c r="H306" t="s">
        <v>32</v>
      </c>
      <c r="I306" t="s">
        <v>39</v>
      </c>
      <c r="J306">
        <v>1.05</v>
      </c>
      <c r="K306" t="s">
        <v>21</v>
      </c>
      <c r="L306">
        <v>0</v>
      </c>
      <c r="M306">
        <v>4.87</v>
      </c>
      <c r="N306">
        <v>79</v>
      </c>
      <c r="O306" t="s">
        <v>13</v>
      </c>
      <c r="P306">
        <v>15</v>
      </c>
      <c r="Q306">
        <v>3.1</v>
      </c>
      <c r="R306">
        <v>39.799999999999997</v>
      </c>
      <c r="S306">
        <v>72.739999999999995</v>
      </c>
      <c r="T306">
        <v>97.28</v>
      </c>
      <c r="U306">
        <v>1</v>
      </c>
      <c r="V306">
        <v>0</v>
      </c>
      <c r="W306">
        <v>170.02</v>
      </c>
      <c r="X306">
        <v>39.5</v>
      </c>
      <c r="Y306">
        <v>100.27</v>
      </c>
      <c r="Z306">
        <v>7.87</v>
      </c>
      <c r="AA306">
        <v>5.76</v>
      </c>
      <c r="AB306">
        <v>156.38999999999999</v>
      </c>
      <c r="AC306">
        <v>235.76381909547737</v>
      </c>
      <c r="AD306">
        <v>50.448387096774191</v>
      </c>
      <c r="AE306">
        <v>82.41</v>
      </c>
      <c r="AF306">
        <v>16.93</v>
      </c>
      <c r="AG306">
        <v>1</v>
      </c>
      <c r="AH306">
        <v>-24.07</v>
      </c>
      <c r="AI306">
        <v>54.93</v>
      </c>
      <c r="AJ306">
        <v>241.3</v>
      </c>
      <c r="AK306">
        <v>71.77</v>
      </c>
      <c r="AL306" t="s">
        <v>14</v>
      </c>
      <c r="AM306" t="s">
        <v>15</v>
      </c>
      <c r="AN306" t="str">
        <f t="shared" si="16"/>
        <v>Night</v>
      </c>
      <c r="AO306" t="str">
        <f t="shared" si="17"/>
        <v>Peak</v>
      </c>
      <c r="AP306" t="str">
        <f t="shared" si="18"/>
        <v>Medium</v>
      </c>
      <c r="AQ306" t="str">
        <f t="shared" si="19"/>
        <v>High</v>
      </c>
    </row>
    <row r="307" spans="1:43" x14ac:dyDescent="0.3">
      <c r="A307">
        <v>306</v>
      </c>
      <c r="B307" t="s">
        <v>7</v>
      </c>
      <c r="C307" t="s">
        <v>8</v>
      </c>
      <c r="D307" s="1">
        <v>46096</v>
      </c>
      <c r="E307" t="s">
        <v>26</v>
      </c>
      <c r="F307">
        <v>1</v>
      </c>
      <c r="G307">
        <v>19</v>
      </c>
      <c r="H307" t="s">
        <v>51</v>
      </c>
      <c r="I307" t="s">
        <v>42</v>
      </c>
      <c r="J307">
        <v>1.08</v>
      </c>
      <c r="K307" t="s">
        <v>12</v>
      </c>
      <c r="L307">
        <v>0</v>
      </c>
      <c r="M307">
        <v>5</v>
      </c>
      <c r="N307">
        <v>102</v>
      </c>
      <c r="O307" t="s">
        <v>13</v>
      </c>
      <c r="P307">
        <v>41</v>
      </c>
      <c r="Q307">
        <v>8.33</v>
      </c>
      <c r="R307">
        <v>64.8</v>
      </c>
      <c r="S307">
        <v>125.49</v>
      </c>
      <c r="T307">
        <v>100</v>
      </c>
      <c r="U307">
        <v>1</v>
      </c>
      <c r="V307">
        <v>0</v>
      </c>
      <c r="W307">
        <v>225.49</v>
      </c>
      <c r="X307">
        <v>38</v>
      </c>
      <c r="Y307">
        <v>108.64</v>
      </c>
      <c r="Z307">
        <v>23.81</v>
      </c>
      <c r="AA307">
        <v>5.23</v>
      </c>
      <c r="AB307">
        <v>196.45</v>
      </c>
      <c r="AC307">
        <v>181.89814814814815</v>
      </c>
      <c r="AD307">
        <v>23.583433373349337</v>
      </c>
      <c r="AE307">
        <v>83.91</v>
      </c>
      <c r="AF307">
        <v>10.69</v>
      </c>
      <c r="AG307">
        <v>1</v>
      </c>
      <c r="AH307">
        <v>2.37</v>
      </c>
      <c r="AI307">
        <v>104.37</v>
      </c>
      <c r="AJ307">
        <v>201.47</v>
      </c>
      <c r="AK307">
        <v>78.86</v>
      </c>
      <c r="AL307" t="s">
        <v>14</v>
      </c>
      <c r="AM307" t="s">
        <v>15</v>
      </c>
      <c r="AN307" t="str">
        <f t="shared" si="16"/>
        <v>Night</v>
      </c>
      <c r="AO307" t="str">
        <f t="shared" si="17"/>
        <v>Peak</v>
      </c>
      <c r="AP307" t="str">
        <f t="shared" si="18"/>
        <v>Medium</v>
      </c>
      <c r="AQ307" t="str">
        <f t="shared" si="19"/>
        <v>High</v>
      </c>
    </row>
    <row r="308" spans="1:43" x14ac:dyDescent="0.3">
      <c r="A308">
        <v>307</v>
      </c>
      <c r="B308" t="s">
        <v>48</v>
      </c>
      <c r="C308" t="s">
        <v>30</v>
      </c>
      <c r="D308" s="1">
        <v>46205</v>
      </c>
      <c r="E308" t="s">
        <v>41</v>
      </c>
      <c r="F308">
        <v>0</v>
      </c>
      <c r="G308">
        <v>18</v>
      </c>
      <c r="H308" t="s">
        <v>32</v>
      </c>
      <c r="I308" t="s">
        <v>28</v>
      </c>
      <c r="J308">
        <v>1.03</v>
      </c>
      <c r="K308" t="s">
        <v>34</v>
      </c>
      <c r="L308">
        <v>1</v>
      </c>
      <c r="M308">
        <v>4.55</v>
      </c>
      <c r="N308">
        <v>81</v>
      </c>
      <c r="O308" t="s">
        <v>13</v>
      </c>
      <c r="P308">
        <v>28</v>
      </c>
      <c r="Q308">
        <v>1</v>
      </c>
      <c r="R308">
        <v>33.5</v>
      </c>
      <c r="S308">
        <v>61.86</v>
      </c>
      <c r="T308">
        <v>85.1</v>
      </c>
      <c r="U308">
        <v>1</v>
      </c>
      <c r="V308">
        <v>0</v>
      </c>
      <c r="W308">
        <v>146.96</v>
      </c>
      <c r="X308">
        <v>47.5</v>
      </c>
      <c r="Y308">
        <v>103.38</v>
      </c>
      <c r="Z308">
        <v>2.1800000000000002</v>
      </c>
      <c r="AA308">
        <v>4.2</v>
      </c>
      <c r="AB308">
        <v>140.58000000000001</v>
      </c>
      <c r="AC308">
        <v>251.78507462686568</v>
      </c>
      <c r="AD308">
        <v>140.58000000000001</v>
      </c>
      <c r="AE308">
        <v>83.39</v>
      </c>
      <c r="AF308">
        <v>15.92</v>
      </c>
      <c r="AG308">
        <v>1</v>
      </c>
      <c r="AH308">
        <v>23.68</v>
      </c>
      <c r="AI308">
        <v>104.68</v>
      </c>
      <c r="AJ308">
        <v>255.72</v>
      </c>
      <c r="AK308">
        <v>73.2</v>
      </c>
      <c r="AL308" t="s">
        <v>23</v>
      </c>
      <c r="AM308" t="s">
        <v>24</v>
      </c>
      <c r="AN308" t="str">
        <f t="shared" si="16"/>
        <v>Night</v>
      </c>
      <c r="AO308" t="str">
        <f t="shared" si="17"/>
        <v>Peak</v>
      </c>
      <c r="AP308" t="str">
        <f t="shared" si="18"/>
        <v>High</v>
      </c>
      <c r="AQ308" t="str">
        <f t="shared" si="19"/>
        <v>High</v>
      </c>
    </row>
    <row r="309" spans="1:43" x14ac:dyDescent="0.3">
      <c r="A309">
        <v>308</v>
      </c>
      <c r="B309" t="s">
        <v>29</v>
      </c>
      <c r="C309" t="s">
        <v>30</v>
      </c>
      <c r="D309" s="1">
        <v>46101</v>
      </c>
      <c r="E309" t="s">
        <v>9</v>
      </c>
      <c r="F309">
        <v>0</v>
      </c>
      <c r="G309">
        <v>22</v>
      </c>
      <c r="H309" t="s">
        <v>36</v>
      </c>
      <c r="I309" t="s">
        <v>20</v>
      </c>
      <c r="J309">
        <v>1.25</v>
      </c>
      <c r="K309" t="s">
        <v>12</v>
      </c>
      <c r="L309">
        <v>0</v>
      </c>
      <c r="M309">
        <v>2.83</v>
      </c>
      <c r="N309">
        <v>15</v>
      </c>
      <c r="O309" t="s">
        <v>22</v>
      </c>
      <c r="P309">
        <v>3</v>
      </c>
      <c r="Q309">
        <v>1.37</v>
      </c>
      <c r="R309">
        <v>23.2</v>
      </c>
      <c r="S309">
        <v>63.16</v>
      </c>
      <c r="T309">
        <v>13.98</v>
      </c>
      <c r="U309">
        <v>1</v>
      </c>
      <c r="V309">
        <v>0</v>
      </c>
      <c r="W309">
        <v>77.14</v>
      </c>
      <c r="X309">
        <v>36.4</v>
      </c>
      <c r="Y309">
        <v>101.99</v>
      </c>
      <c r="Z309">
        <v>3.83</v>
      </c>
      <c r="AA309">
        <v>10.4</v>
      </c>
      <c r="AB309">
        <v>62.91</v>
      </c>
      <c r="AC309">
        <v>162.69827586206895</v>
      </c>
      <c r="AD309">
        <v>45.919708029197075</v>
      </c>
      <c r="AE309">
        <v>85.16</v>
      </c>
      <c r="AF309">
        <v>17.91</v>
      </c>
      <c r="AG309">
        <v>0</v>
      </c>
      <c r="AH309">
        <v>8.94</v>
      </c>
      <c r="AI309">
        <v>23.94</v>
      </c>
      <c r="AJ309">
        <v>164.03</v>
      </c>
      <c r="AK309">
        <v>65.87</v>
      </c>
      <c r="AL309" t="s">
        <v>14</v>
      </c>
      <c r="AM309" t="s">
        <v>15</v>
      </c>
      <c r="AN309" t="str">
        <f t="shared" si="16"/>
        <v>Night</v>
      </c>
      <c r="AO309" t="str">
        <f t="shared" si="17"/>
        <v>Off-Peak</v>
      </c>
      <c r="AP309" t="str">
        <f t="shared" si="18"/>
        <v>Medium</v>
      </c>
      <c r="AQ309" t="str">
        <f t="shared" si="19"/>
        <v>Low</v>
      </c>
    </row>
    <row r="310" spans="1:43" x14ac:dyDescent="0.3">
      <c r="A310">
        <v>309</v>
      </c>
      <c r="B310" t="s">
        <v>48</v>
      </c>
      <c r="C310" t="s">
        <v>30</v>
      </c>
      <c r="D310" s="1">
        <v>46211</v>
      </c>
      <c r="E310" t="s">
        <v>18</v>
      </c>
      <c r="F310">
        <v>0</v>
      </c>
      <c r="G310">
        <v>10</v>
      </c>
      <c r="H310" t="s">
        <v>47</v>
      </c>
      <c r="I310" t="s">
        <v>11</v>
      </c>
      <c r="J310">
        <v>1.18</v>
      </c>
      <c r="K310" t="s">
        <v>12</v>
      </c>
      <c r="L310">
        <v>0</v>
      </c>
      <c r="M310">
        <v>2.74</v>
      </c>
      <c r="N310">
        <v>21</v>
      </c>
      <c r="O310" t="s">
        <v>22</v>
      </c>
      <c r="P310">
        <v>7</v>
      </c>
      <c r="Q310">
        <v>3.24</v>
      </c>
      <c r="R310">
        <v>32.200000000000003</v>
      </c>
      <c r="S310">
        <v>79.7</v>
      </c>
      <c r="T310">
        <v>23.42</v>
      </c>
      <c r="U310">
        <v>1</v>
      </c>
      <c r="V310">
        <v>0</v>
      </c>
      <c r="W310">
        <v>103.12</v>
      </c>
      <c r="X310">
        <v>48.5</v>
      </c>
      <c r="Y310">
        <v>104.09</v>
      </c>
      <c r="Z310">
        <v>6.95</v>
      </c>
      <c r="AA310">
        <v>2.27</v>
      </c>
      <c r="AB310">
        <v>93.9</v>
      </c>
      <c r="AC310">
        <v>174.96894409937886</v>
      </c>
      <c r="AD310">
        <v>28.981481481481481</v>
      </c>
      <c r="AE310">
        <v>60.21</v>
      </c>
      <c r="AF310">
        <v>16.57</v>
      </c>
      <c r="AG310">
        <v>0</v>
      </c>
      <c r="AH310">
        <v>28.64</v>
      </c>
      <c r="AI310">
        <v>49.64</v>
      </c>
      <c r="AJ310">
        <v>163.02000000000001</v>
      </c>
      <c r="AK310">
        <v>60</v>
      </c>
      <c r="AL310" t="s">
        <v>14</v>
      </c>
      <c r="AM310" t="s">
        <v>15</v>
      </c>
      <c r="AN310" t="str">
        <f t="shared" si="16"/>
        <v>Morning</v>
      </c>
      <c r="AO310" t="str">
        <f t="shared" si="17"/>
        <v>Peak</v>
      </c>
      <c r="AP310" t="str">
        <f t="shared" si="18"/>
        <v>Medium</v>
      </c>
      <c r="AQ310" t="str">
        <f t="shared" si="19"/>
        <v>Low</v>
      </c>
    </row>
    <row r="311" spans="1:43" x14ac:dyDescent="0.3">
      <c r="A311">
        <v>310</v>
      </c>
      <c r="B311" t="s">
        <v>7</v>
      </c>
      <c r="C311" t="s">
        <v>8</v>
      </c>
      <c r="D311" s="1">
        <v>46248</v>
      </c>
      <c r="E311" t="s">
        <v>9</v>
      </c>
      <c r="F311">
        <v>0</v>
      </c>
      <c r="G311">
        <v>21</v>
      </c>
      <c r="H311" t="s">
        <v>51</v>
      </c>
      <c r="I311" t="s">
        <v>37</v>
      </c>
      <c r="J311">
        <v>1.02</v>
      </c>
      <c r="K311" t="s">
        <v>21</v>
      </c>
      <c r="L311">
        <v>0</v>
      </c>
      <c r="M311">
        <v>3.9</v>
      </c>
      <c r="N311">
        <v>36</v>
      </c>
      <c r="O311" t="s">
        <v>35</v>
      </c>
      <c r="P311">
        <v>11</v>
      </c>
      <c r="Q311">
        <v>1</v>
      </c>
      <c r="R311">
        <v>27.6</v>
      </c>
      <c r="S311">
        <v>63.93</v>
      </c>
      <c r="T311">
        <v>44.11</v>
      </c>
      <c r="U311">
        <v>1</v>
      </c>
      <c r="V311">
        <v>0</v>
      </c>
      <c r="W311">
        <v>108.04</v>
      </c>
      <c r="X311">
        <v>35.4</v>
      </c>
      <c r="Y311">
        <v>107.11</v>
      </c>
      <c r="Z311">
        <v>3.03</v>
      </c>
      <c r="AA311">
        <v>10.29</v>
      </c>
      <c r="AB311">
        <v>94.72</v>
      </c>
      <c r="AC311">
        <v>205.91304347826085</v>
      </c>
      <c r="AD311">
        <v>94.72</v>
      </c>
      <c r="AE311">
        <v>86.99</v>
      </c>
      <c r="AF311">
        <v>17.18</v>
      </c>
      <c r="AG311">
        <v>1</v>
      </c>
      <c r="AH311">
        <v>22.82</v>
      </c>
      <c r="AI311">
        <v>58.82</v>
      </c>
      <c r="AJ311">
        <v>218.89</v>
      </c>
      <c r="AK311">
        <v>64.48</v>
      </c>
      <c r="AL311" t="s">
        <v>14</v>
      </c>
      <c r="AM311" t="s">
        <v>15</v>
      </c>
      <c r="AN311" t="str">
        <f t="shared" si="16"/>
        <v>Night</v>
      </c>
      <c r="AO311" t="str">
        <f t="shared" si="17"/>
        <v>Off-Peak</v>
      </c>
      <c r="AP311" t="str">
        <f t="shared" si="18"/>
        <v>Medium</v>
      </c>
      <c r="AQ311" t="str">
        <f t="shared" si="19"/>
        <v>Medium</v>
      </c>
    </row>
    <row r="312" spans="1:43" x14ac:dyDescent="0.3">
      <c r="A312">
        <v>311</v>
      </c>
      <c r="B312" t="s">
        <v>25</v>
      </c>
      <c r="C312" t="s">
        <v>17</v>
      </c>
      <c r="D312" s="1">
        <v>46040</v>
      </c>
      <c r="E312" t="s">
        <v>26</v>
      </c>
      <c r="F312">
        <v>1</v>
      </c>
      <c r="G312">
        <v>10</v>
      </c>
      <c r="H312" t="s">
        <v>19</v>
      </c>
      <c r="I312" t="s">
        <v>50</v>
      </c>
      <c r="J312">
        <v>1.2</v>
      </c>
      <c r="K312" t="s">
        <v>34</v>
      </c>
      <c r="L312">
        <v>1</v>
      </c>
      <c r="M312">
        <v>4.18</v>
      </c>
      <c r="N312">
        <v>63</v>
      </c>
      <c r="O312" t="s">
        <v>35</v>
      </c>
      <c r="P312">
        <v>14</v>
      </c>
      <c r="Q312">
        <v>6.23</v>
      </c>
      <c r="R312">
        <v>60.1</v>
      </c>
      <c r="S312">
        <v>141.74</v>
      </c>
      <c r="T312">
        <v>59.08</v>
      </c>
      <c r="U312">
        <v>1.1499999999999999</v>
      </c>
      <c r="V312">
        <v>21.26</v>
      </c>
      <c r="W312">
        <v>222.08</v>
      </c>
      <c r="X312">
        <v>42.8</v>
      </c>
      <c r="Y312">
        <v>108.71</v>
      </c>
      <c r="Z312">
        <v>15.81</v>
      </c>
      <c r="AA312">
        <v>11.22</v>
      </c>
      <c r="AB312">
        <v>195.05</v>
      </c>
      <c r="AC312">
        <v>194.72545757071549</v>
      </c>
      <c r="AD312">
        <v>31.308186195826647</v>
      </c>
      <c r="AE312">
        <v>91.84</v>
      </c>
      <c r="AF312">
        <v>17.37</v>
      </c>
      <c r="AG312">
        <v>1</v>
      </c>
      <c r="AH312">
        <v>3.31</v>
      </c>
      <c r="AI312">
        <v>66.31</v>
      </c>
      <c r="AJ312">
        <v>211.71</v>
      </c>
      <c r="AK312">
        <v>71.569999999999993</v>
      </c>
      <c r="AL312" t="s">
        <v>23</v>
      </c>
      <c r="AM312" t="s">
        <v>24</v>
      </c>
      <c r="AN312" t="str">
        <f t="shared" si="16"/>
        <v>Morning</v>
      </c>
      <c r="AO312" t="str">
        <f t="shared" si="17"/>
        <v>Peak</v>
      </c>
      <c r="AP312" t="str">
        <f t="shared" si="18"/>
        <v>Medium</v>
      </c>
      <c r="AQ312" t="str">
        <f t="shared" si="19"/>
        <v>Medium</v>
      </c>
    </row>
    <row r="313" spans="1:43" x14ac:dyDescent="0.3">
      <c r="A313">
        <v>312</v>
      </c>
      <c r="B313" t="s">
        <v>25</v>
      </c>
      <c r="C313" t="s">
        <v>17</v>
      </c>
      <c r="D313" s="1">
        <v>46029</v>
      </c>
      <c r="E313" t="s">
        <v>18</v>
      </c>
      <c r="F313">
        <v>0</v>
      </c>
      <c r="G313">
        <v>22</v>
      </c>
      <c r="H313" t="s">
        <v>19</v>
      </c>
      <c r="I313" t="s">
        <v>42</v>
      </c>
      <c r="J313">
        <v>1.08</v>
      </c>
      <c r="K313" t="s">
        <v>12</v>
      </c>
      <c r="L313">
        <v>0</v>
      </c>
      <c r="M313">
        <v>3.18</v>
      </c>
      <c r="N313">
        <v>22</v>
      </c>
      <c r="O313" t="s">
        <v>22</v>
      </c>
      <c r="P313">
        <v>4</v>
      </c>
      <c r="Q313">
        <v>2.75</v>
      </c>
      <c r="R313">
        <v>33.299999999999997</v>
      </c>
      <c r="S313">
        <v>103.06</v>
      </c>
      <c r="T313">
        <v>25.66</v>
      </c>
      <c r="U313">
        <v>1.03</v>
      </c>
      <c r="V313">
        <v>3.09</v>
      </c>
      <c r="W313">
        <v>131.81</v>
      </c>
      <c r="X313">
        <v>35.9</v>
      </c>
      <c r="Y313">
        <v>102.15</v>
      </c>
      <c r="Z313">
        <v>7.84</v>
      </c>
      <c r="AA313">
        <v>8.3000000000000007</v>
      </c>
      <c r="AB313">
        <v>115.67</v>
      </c>
      <c r="AC313">
        <v>208.41441441441444</v>
      </c>
      <c r="AD313">
        <v>42.061818181818182</v>
      </c>
      <c r="AE313">
        <v>78.3</v>
      </c>
      <c r="AF313">
        <v>18.21</v>
      </c>
      <c r="AG313">
        <v>0</v>
      </c>
      <c r="AH313">
        <v>20.76</v>
      </c>
      <c r="AI313">
        <v>42.76</v>
      </c>
      <c r="AJ313">
        <v>201.16</v>
      </c>
      <c r="AK313">
        <v>60</v>
      </c>
      <c r="AL313" t="s">
        <v>23</v>
      </c>
      <c r="AM313" t="s">
        <v>24</v>
      </c>
      <c r="AN313" t="str">
        <f t="shared" si="16"/>
        <v>Night</v>
      </c>
      <c r="AO313" t="str">
        <f t="shared" si="17"/>
        <v>Off-Peak</v>
      </c>
      <c r="AP313" t="str">
        <f t="shared" si="18"/>
        <v>Medium</v>
      </c>
      <c r="AQ313" t="str">
        <f t="shared" si="19"/>
        <v>Low</v>
      </c>
    </row>
    <row r="314" spans="1:43" x14ac:dyDescent="0.3">
      <c r="A314">
        <v>313</v>
      </c>
      <c r="B314" t="s">
        <v>7</v>
      </c>
      <c r="C314" t="s">
        <v>8</v>
      </c>
      <c r="D314" s="1">
        <v>46265</v>
      </c>
      <c r="E314" t="s">
        <v>38</v>
      </c>
      <c r="F314">
        <v>0</v>
      </c>
      <c r="G314">
        <v>10</v>
      </c>
      <c r="H314" t="s">
        <v>49</v>
      </c>
      <c r="I314" t="s">
        <v>33</v>
      </c>
      <c r="J314">
        <v>1</v>
      </c>
      <c r="K314" t="s">
        <v>12</v>
      </c>
      <c r="L314">
        <v>0</v>
      </c>
      <c r="M314">
        <v>3.19</v>
      </c>
      <c r="N314">
        <v>32</v>
      </c>
      <c r="O314" t="s">
        <v>22</v>
      </c>
      <c r="P314">
        <v>10</v>
      </c>
      <c r="Q314">
        <v>3.8</v>
      </c>
      <c r="R314">
        <v>31.7</v>
      </c>
      <c r="S314">
        <v>78.569999999999993</v>
      </c>
      <c r="T314">
        <v>44.47</v>
      </c>
      <c r="U314">
        <v>1</v>
      </c>
      <c r="V314">
        <v>0</v>
      </c>
      <c r="W314">
        <v>123.04</v>
      </c>
      <c r="X314">
        <v>46.7</v>
      </c>
      <c r="Y314">
        <v>101.73</v>
      </c>
      <c r="Z314">
        <v>8.27</v>
      </c>
      <c r="AA314">
        <v>8.25</v>
      </c>
      <c r="AB314">
        <v>106.52</v>
      </c>
      <c r="AC314">
        <v>201.61514195583595</v>
      </c>
      <c r="AD314">
        <v>28.03157894736842</v>
      </c>
      <c r="AE314">
        <v>79.3</v>
      </c>
      <c r="AF314">
        <v>18.510000000000002</v>
      </c>
      <c r="AG314">
        <v>0</v>
      </c>
      <c r="AH314">
        <v>25.84</v>
      </c>
      <c r="AI314">
        <v>57.84</v>
      </c>
      <c r="AJ314">
        <v>193.55</v>
      </c>
      <c r="AK314">
        <v>61.42</v>
      </c>
      <c r="AL314" t="s">
        <v>14</v>
      </c>
      <c r="AM314" t="s">
        <v>15</v>
      </c>
      <c r="AN314" t="str">
        <f t="shared" si="16"/>
        <v>Morning</v>
      </c>
      <c r="AO314" t="str">
        <f t="shared" si="17"/>
        <v>Peak</v>
      </c>
      <c r="AP314" t="str">
        <f t="shared" si="18"/>
        <v>Medium</v>
      </c>
      <c r="AQ314" t="str">
        <f t="shared" si="19"/>
        <v>Low</v>
      </c>
    </row>
    <row r="315" spans="1:43" x14ac:dyDescent="0.3">
      <c r="A315">
        <v>314</v>
      </c>
      <c r="B315" t="s">
        <v>14</v>
      </c>
      <c r="C315" t="s">
        <v>8</v>
      </c>
      <c r="D315" s="1">
        <v>46157</v>
      </c>
      <c r="E315" t="s">
        <v>9</v>
      </c>
      <c r="F315">
        <v>0</v>
      </c>
      <c r="G315">
        <v>15</v>
      </c>
      <c r="H315" t="s">
        <v>32</v>
      </c>
      <c r="I315" t="s">
        <v>50</v>
      </c>
      <c r="J315">
        <v>1.2</v>
      </c>
      <c r="K315" t="s">
        <v>12</v>
      </c>
      <c r="L315">
        <v>0</v>
      </c>
      <c r="M315">
        <v>2.1</v>
      </c>
      <c r="N315">
        <v>5</v>
      </c>
      <c r="O315" t="s">
        <v>22</v>
      </c>
      <c r="P315">
        <v>2</v>
      </c>
      <c r="Q315">
        <v>3.9</v>
      </c>
      <c r="R315">
        <v>28</v>
      </c>
      <c r="S315">
        <v>75.12</v>
      </c>
      <c r="T315">
        <v>10.78</v>
      </c>
      <c r="U315">
        <v>1</v>
      </c>
      <c r="V315">
        <v>0</v>
      </c>
      <c r="W315">
        <v>85.9</v>
      </c>
      <c r="X315">
        <v>38.200000000000003</v>
      </c>
      <c r="Y315">
        <v>109.44</v>
      </c>
      <c r="Z315">
        <v>11.19</v>
      </c>
      <c r="AA315">
        <v>3.49</v>
      </c>
      <c r="AB315">
        <v>71.22</v>
      </c>
      <c r="AC315">
        <v>152.6142857142857</v>
      </c>
      <c r="AD315">
        <v>18.261538461538461</v>
      </c>
      <c r="AE315">
        <v>70.47</v>
      </c>
      <c r="AF315">
        <v>15.87</v>
      </c>
      <c r="AG315">
        <v>0</v>
      </c>
      <c r="AH315">
        <v>1.8</v>
      </c>
      <c r="AI315">
        <v>6.8</v>
      </c>
      <c r="AJ315">
        <v>158.06</v>
      </c>
      <c r="AK315">
        <v>63.45</v>
      </c>
      <c r="AL315" t="s">
        <v>14</v>
      </c>
      <c r="AM315" t="s">
        <v>15</v>
      </c>
      <c r="AN315" t="str">
        <f t="shared" si="16"/>
        <v>Evening</v>
      </c>
      <c r="AO315" t="str">
        <f t="shared" si="17"/>
        <v>Off-Peak</v>
      </c>
      <c r="AP315" t="str">
        <f t="shared" si="18"/>
        <v>Medium</v>
      </c>
      <c r="AQ315" t="str">
        <f t="shared" si="19"/>
        <v>Low</v>
      </c>
    </row>
    <row r="316" spans="1:43" x14ac:dyDescent="0.3">
      <c r="A316">
        <v>315</v>
      </c>
      <c r="B316" t="s">
        <v>14</v>
      </c>
      <c r="C316" t="s">
        <v>8</v>
      </c>
      <c r="D316" s="1">
        <v>46153</v>
      </c>
      <c r="E316" t="s">
        <v>38</v>
      </c>
      <c r="F316">
        <v>0</v>
      </c>
      <c r="G316">
        <v>19</v>
      </c>
      <c r="H316" t="s">
        <v>51</v>
      </c>
      <c r="I316" t="s">
        <v>42</v>
      </c>
      <c r="J316">
        <v>1.08</v>
      </c>
      <c r="K316" t="s">
        <v>34</v>
      </c>
      <c r="L316">
        <v>1</v>
      </c>
      <c r="M316">
        <v>3.83</v>
      </c>
      <c r="N316">
        <v>101</v>
      </c>
      <c r="O316" t="s">
        <v>13</v>
      </c>
      <c r="P316">
        <v>47</v>
      </c>
      <c r="Q316">
        <v>3.18</v>
      </c>
      <c r="R316">
        <v>38.299999999999997</v>
      </c>
      <c r="S316">
        <v>88.91</v>
      </c>
      <c r="T316">
        <v>100</v>
      </c>
      <c r="U316">
        <v>1</v>
      </c>
      <c r="V316">
        <v>0</v>
      </c>
      <c r="W316">
        <v>188.91</v>
      </c>
      <c r="X316">
        <v>43.5</v>
      </c>
      <c r="Y316">
        <v>105.51</v>
      </c>
      <c r="Z316">
        <v>7.71</v>
      </c>
      <c r="AA316">
        <v>7.68</v>
      </c>
      <c r="AB316">
        <v>173.52</v>
      </c>
      <c r="AC316">
        <v>271.83289817232378</v>
      </c>
      <c r="AD316">
        <v>54.566037735849058</v>
      </c>
      <c r="AE316">
        <v>80.13</v>
      </c>
      <c r="AF316">
        <v>13.57</v>
      </c>
      <c r="AG316">
        <v>1</v>
      </c>
      <c r="AH316">
        <v>-0.21</v>
      </c>
      <c r="AI316">
        <v>100.79</v>
      </c>
      <c r="AJ316">
        <v>272.41000000000003</v>
      </c>
      <c r="AK316">
        <v>85.92</v>
      </c>
      <c r="AL316" t="s">
        <v>14</v>
      </c>
      <c r="AM316" t="s">
        <v>15</v>
      </c>
      <c r="AN316" t="str">
        <f t="shared" si="16"/>
        <v>Night</v>
      </c>
      <c r="AO316" t="str">
        <f t="shared" si="17"/>
        <v>Peak</v>
      </c>
      <c r="AP316" t="str">
        <f t="shared" si="18"/>
        <v>High</v>
      </c>
      <c r="AQ316" t="str">
        <f t="shared" si="19"/>
        <v>High</v>
      </c>
    </row>
    <row r="317" spans="1:43" x14ac:dyDescent="0.3">
      <c r="A317">
        <v>316</v>
      </c>
      <c r="B317" t="s">
        <v>25</v>
      </c>
      <c r="C317" t="s">
        <v>17</v>
      </c>
      <c r="D317" s="1">
        <v>46142</v>
      </c>
      <c r="E317" t="s">
        <v>41</v>
      </c>
      <c r="F317">
        <v>0</v>
      </c>
      <c r="G317">
        <v>8</v>
      </c>
      <c r="H317" t="s">
        <v>27</v>
      </c>
      <c r="I317" t="s">
        <v>28</v>
      </c>
      <c r="J317">
        <v>1.03</v>
      </c>
      <c r="K317" t="s">
        <v>12</v>
      </c>
      <c r="L317">
        <v>0</v>
      </c>
      <c r="M317">
        <v>5</v>
      </c>
      <c r="N317">
        <v>78</v>
      </c>
      <c r="O317" t="s">
        <v>13</v>
      </c>
      <c r="P317">
        <v>15</v>
      </c>
      <c r="Q317">
        <v>2.2599999999999998</v>
      </c>
      <c r="R317">
        <v>32.5</v>
      </c>
      <c r="S317">
        <v>95.89</v>
      </c>
      <c r="T317">
        <v>85.97</v>
      </c>
      <c r="U317">
        <v>1.29</v>
      </c>
      <c r="V317">
        <v>27.81</v>
      </c>
      <c r="W317">
        <v>209.67</v>
      </c>
      <c r="X317">
        <v>48.7</v>
      </c>
      <c r="Y317">
        <v>103.66</v>
      </c>
      <c r="Z317">
        <v>4.8099999999999996</v>
      </c>
      <c r="AA317">
        <v>5.75</v>
      </c>
      <c r="AB317">
        <v>199.11</v>
      </c>
      <c r="AC317">
        <v>367.58769230769235</v>
      </c>
      <c r="AD317">
        <v>88.101769911504434</v>
      </c>
      <c r="AE317">
        <v>83.82</v>
      </c>
      <c r="AF317">
        <v>12.14</v>
      </c>
      <c r="AG317">
        <v>1</v>
      </c>
      <c r="AH317">
        <v>5.1100000000000003</v>
      </c>
      <c r="AI317">
        <v>83.11</v>
      </c>
      <c r="AJ317">
        <v>352.39</v>
      </c>
      <c r="AK317">
        <v>76.430000000000007</v>
      </c>
      <c r="AL317" t="s">
        <v>23</v>
      </c>
      <c r="AM317" t="s">
        <v>24</v>
      </c>
      <c r="AN317" t="str">
        <f t="shared" si="16"/>
        <v>Morning</v>
      </c>
      <c r="AO317" t="str">
        <f t="shared" si="17"/>
        <v>Peak</v>
      </c>
      <c r="AP317" t="str">
        <f t="shared" si="18"/>
        <v>High</v>
      </c>
      <c r="AQ317" t="str">
        <f t="shared" si="19"/>
        <v>High</v>
      </c>
    </row>
    <row r="318" spans="1:43" x14ac:dyDescent="0.3">
      <c r="A318">
        <v>317</v>
      </c>
      <c r="B318" t="s">
        <v>16</v>
      </c>
      <c r="C318" t="s">
        <v>17</v>
      </c>
      <c r="D318" s="1">
        <v>46134</v>
      </c>
      <c r="E318" t="s">
        <v>18</v>
      </c>
      <c r="F318">
        <v>0</v>
      </c>
      <c r="G318">
        <v>8</v>
      </c>
      <c r="H318" t="s">
        <v>27</v>
      </c>
      <c r="I318" t="s">
        <v>20</v>
      </c>
      <c r="J318">
        <v>1.25</v>
      </c>
      <c r="K318" t="s">
        <v>12</v>
      </c>
      <c r="L318">
        <v>0</v>
      </c>
      <c r="M318">
        <v>3.96</v>
      </c>
      <c r="N318">
        <v>88</v>
      </c>
      <c r="O318" t="s">
        <v>13</v>
      </c>
      <c r="P318">
        <v>13</v>
      </c>
      <c r="Q318">
        <v>6.03</v>
      </c>
      <c r="R318">
        <v>43.1</v>
      </c>
      <c r="S318">
        <v>125.11</v>
      </c>
      <c r="T318">
        <v>75.69</v>
      </c>
      <c r="U318">
        <v>1.3</v>
      </c>
      <c r="V318">
        <v>37.53</v>
      </c>
      <c r="W318">
        <v>238.33</v>
      </c>
      <c r="X318">
        <v>44.7</v>
      </c>
      <c r="Y318">
        <v>101.99</v>
      </c>
      <c r="Z318">
        <v>13.74</v>
      </c>
      <c r="AA318">
        <v>4.29</v>
      </c>
      <c r="AB318">
        <v>220.3</v>
      </c>
      <c r="AC318">
        <v>306.68213457076564</v>
      </c>
      <c r="AD318">
        <v>36.533996683250415</v>
      </c>
      <c r="AE318">
        <v>84.11</v>
      </c>
      <c r="AF318">
        <v>16.809999999999999</v>
      </c>
      <c r="AG318">
        <v>1</v>
      </c>
      <c r="AH318">
        <v>-33.18</v>
      </c>
      <c r="AI318">
        <v>54.82</v>
      </c>
      <c r="AJ318">
        <v>319.66000000000003</v>
      </c>
      <c r="AK318">
        <v>62.13</v>
      </c>
      <c r="AL318" t="s">
        <v>23</v>
      </c>
      <c r="AM318" t="s">
        <v>24</v>
      </c>
      <c r="AN318" t="str">
        <f t="shared" si="16"/>
        <v>Morning</v>
      </c>
      <c r="AO318" t="str">
        <f t="shared" si="17"/>
        <v>Peak</v>
      </c>
      <c r="AP318" t="str">
        <f t="shared" si="18"/>
        <v>High</v>
      </c>
      <c r="AQ318" t="str">
        <f t="shared" si="19"/>
        <v>High</v>
      </c>
    </row>
    <row r="319" spans="1:43" x14ac:dyDescent="0.3">
      <c r="A319">
        <v>318</v>
      </c>
      <c r="B319" t="s">
        <v>16</v>
      </c>
      <c r="C319" t="s">
        <v>17</v>
      </c>
      <c r="D319" s="1">
        <v>46201</v>
      </c>
      <c r="E319" t="s">
        <v>26</v>
      </c>
      <c r="F319">
        <v>1</v>
      </c>
      <c r="G319">
        <v>20</v>
      </c>
      <c r="H319" t="s">
        <v>40</v>
      </c>
      <c r="I319" t="s">
        <v>45</v>
      </c>
      <c r="J319">
        <v>1</v>
      </c>
      <c r="K319" t="s">
        <v>34</v>
      </c>
      <c r="L319">
        <v>1</v>
      </c>
      <c r="M319">
        <v>3.98</v>
      </c>
      <c r="N319">
        <v>104</v>
      </c>
      <c r="O319" t="s">
        <v>13</v>
      </c>
      <c r="P319">
        <v>14</v>
      </c>
      <c r="Q319">
        <v>2.71</v>
      </c>
      <c r="R319">
        <v>39.299999999999997</v>
      </c>
      <c r="S319">
        <v>101.74</v>
      </c>
      <c r="T319">
        <v>100</v>
      </c>
      <c r="U319">
        <v>1.42</v>
      </c>
      <c r="V319">
        <v>42.73</v>
      </c>
      <c r="W319">
        <v>244.47</v>
      </c>
      <c r="X319">
        <v>37.700000000000003</v>
      </c>
      <c r="Y319">
        <v>109.95</v>
      </c>
      <c r="Z319">
        <v>7.9</v>
      </c>
      <c r="AA319">
        <v>7.83</v>
      </c>
      <c r="AB319">
        <v>228.74</v>
      </c>
      <c r="AC319">
        <v>349.22137404580161</v>
      </c>
      <c r="AD319">
        <v>84.405904059040594</v>
      </c>
      <c r="AE319">
        <v>86.09</v>
      </c>
      <c r="AF319">
        <v>15.36</v>
      </c>
      <c r="AG319">
        <v>1</v>
      </c>
      <c r="AH319">
        <v>7.21</v>
      </c>
      <c r="AI319">
        <v>111.21</v>
      </c>
      <c r="AJ319">
        <v>360.81</v>
      </c>
      <c r="AK319">
        <v>78.48</v>
      </c>
      <c r="AL319" t="s">
        <v>23</v>
      </c>
      <c r="AM319" t="s">
        <v>24</v>
      </c>
      <c r="AN319" t="str">
        <f t="shared" si="16"/>
        <v>Night</v>
      </c>
      <c r="AO319" t="str">
        <f t="shared" si="17"/>
        <v>Peak</v>
      </c>
      <c r="AP319" t="str">
        <f t="shared" si="18"/>
        <v>High</v>
      </c>
      <c r="AQ319" t="str">
        <f t="shared" si="19"/>
        <v>High</v>
      </c>
    </row>
    <row r="320" spans="1:43" x14ac:dyDescent="0.3">
      <c r="A320">
        <v>319</v>
      </c>
      <c r="B320" t="s">
        <v>23</v>
      </c>
      <c r="C320" t="s">
        <v>17</v>
      </c>
      <c r="D320" s="1">
        <v>46172</v>
      </c>
      <c r="E320" t="s">
        <v>31</v>
      </c>
      <c r="F320">
        <v>1</v>
      </c>
      <c r="G320">
        <v>7</v>
      </c>
      <c r="H320" t="s">
        <v>27</v>
      </c>
      <c r="I320" t="s">
        <v>20</v>
      </c>
      <c r="J320">
        <v>1.25</v>
      </c>
      <c r="K320" t="s">
        <v>12</v>
      </c>
      <c r="L320">
        <v>0</v>
      </c>
      <c r="M320">
        <v>5</v>
      </c>
      <c r="N320">
        <v>105</v>
      </c>
      <c r="O320" t="s">
        <v>13</v>
      </c>
      <c r="P320">
        <v>27</v>
      </c>
      <c r="Q320">
        <v>3.86</v>
      </c>
      <c r="R320">
        <v>48.8</v>
      </c>
      <c r="S320">
        <v>96.77</v>
      </c>
      <c r="T320">
        <v>100</v>
      </c>
      <c r="U320">
        <v>1.28</v>
      </c>
      <c r="V320">
        <v>27.1</v>
      </c>
      <c r="W320">
        <v>223.87</v>
      </c>
      <c r="X320">
        <v>47</v>
      </c>
      <c r="Y320">
        <v>107.19</v>
      </c>
      <c r="Z320">
        <v>8.82</v>
      </c>
      <c r="AA320">
        <v>2.0099999999999998</v>
      </c>
      <c r="AB320">
        <v>213.04</v>
      </c>
      <c r="AC320">
        <v>261.93442622950823</v>
      </c>
      <c r="AD320">
        <v>55.191709844559583</v>
      </c>
      <c r="AE320">
        <v>85.41</v>
      </c>
      <c r="AF320">
        <v>16.13</v>
      </c>
      <c r="AG320">
        <v>1</v>
      </c>
      <c r="AH320">
        <v>13.81</v>
      </c>
      <c r="AI320">
        <v>118.81</v>
      </c>
      <c r="AJ320">
        <v>267.92</v>
      </c>
      <c r="AK320">
        <v>78.63</v>
      </c>
      <c r="AL320" t="s">
        <v>23</v>
      </c>
      <c r="AM320" t="s">
        <v>24</v>
      </c>
      <c r="AN320" t="str">
        <f t="shared" si="16"/>
        <v>Morning</v>
      </c>
      <c r="AO320" t="str">
        <f t="shared" si="17"/>
        <v>Peak</v>
      </c>
      <c r="AP320" t="str">
        <f t="shared" si="18"/>
        <v>High</v>
      </c>
      <c r="AQ320" t="str">
        <f t="shared" si="19"/>
        <v>High</v>
      </c>
    </row>
    <row r="321" spans="1:43" x14ac:dyDescent="0.3">
      <c r="A321">
        <v>320</v>
      </c>
      <c r="B321" t="s">
        <v>16</v>
      </c>
      <c r="C321" t="s">
        <v>17</v>
      </c>
      <c r="D321" s="1">
        <v>46065</v>
      </c>
      <c r="E321" t="s">
        <v>41</v>
      </c>
      <c r="F321">
        <v>0</v>
      </c>
      <c r="G321">
        <v>16</v>
      </c>
      <c r="H321" t="s">
        <v>19</v>
      </c>
      <c r="I321" t="s">
        <v>20</v>
      </c>
      <c r="J321">
        <v>1.25</v>
      </c>
      <c r="K321" t="s">
        <v>12</v>
      </c>
      <c r="L321">
        <v>0</v>
      </c>
      <c r="M321">
        <v>3.23</v>
      </c>
      <c r="N321">
        <v>10</v>
      </c>
      <c r="O321" t="s">
        <v>22</v>
      </c>
      <c r="P321">
        <v>2</v>
      </c>
      <c r="Q321">
        <v>5.4</v>
      </c>
      <c r="R321">
        <v>43.4</v>
      </c>
      <c r="S321">
        <v>131.26</v>
      </c>
      <c r="T321">
        <v>4.67</v>
      </c>
      <c r="U321">
        <v>1.1100000000000001</v>
      </c>
      <c r="V321">
        <v>14.44</v>
      </c>
      <c r="W321">
        <v>150.37</v>
      </c>
      <c r="X321">
        <v>41.6</v>
      </c>
      <c r="Y321">
        <v>102.18</v>
      </c>
      <c r="Z321">
        <v>13.25</v>
      </c>
      <c r="AA321">
        <v>4.76</v>
      </c>
      <c r="AB321">
        <v>132.36000000000001</v>
      </c>
      <c r="AC321">
        <v>182.9861751152074</v>
      </c>
      <c r="AD321">
        <v>24.511111111111113</v>
      </c>
      <c r="AE321">
        <v>79.989999999999995</v>
      </c>
      <c r="AF321">
        <v>15.11</v>
      </c>
      <c r="AG321">
        <v>0</v>
      </c>
      <c r="AH321">
        <v>5.17</v>
      </c>
      <c r="AI321">
        <v>15.17</v>
      </c>
      <c r="AJ321">
        <v>191</v>
      </c>
      <c r="AK321">
        <v>65.650000000000006</v>
      </c>
      <c r="AL321" t="s">
        <v>23</v>
      </c>
      <c r="AM321" t="s">
        <v>24</v>
      </c>
      <c r="AN321" t="str">
        <f t="shared" si="16"/>
        <v>Evening</v>
      </c>
      <c r="AO321" t="str">
        <f t="shared" si="17"/>
        <v>Off-Peak</v>
      </c>
      <c r="AP321" t="str">
        <f t="shared" si="18"/>
        <v>Medium</v>
      </c>
      <c r="AQ321" t="str">
        <f t="shared" si="19"/>
        <v>Low</v>
      </c>
    </row>
    <row r="322" spans="1:43" x14ac:dyDescent="0.3">
      <c r="A322">
        <v>321</v>
      </c>
      <c r="B322" t="s">
        <v>48</v>
      </c>
      <c r="C322" t="s">
        <v>30</v>
      </c>
      <c r="D322" s="1">
        <v>46184</v>
      </c>
      <c r="E322" t="s">
        <v>41</v>
      </c>
      <c r="F322">
        <v>0</v>
      </c>
      <c r="G322">
        <v>22</v>
      </c>
      <c r="H322" t="s">
        <v>36</v>
      </c>
      <c r="I322" t="s">
        <v>11</v>
      </c>
      <c r="J322">
        <v>1.18</v>
      </c>
      <c r="K322" t="s">
        <v>12</v>
      </c>
      <c r="L322">
        <v>0</v>
      </c>
      <c r="M322">
        <v>3.46</v>
      </c>
      <c r="N322">
        <v>35</v>
      </c>
      <c r="O322" t="s">
        <v>22</v>
      </c>
      <c r="P322">
        <v>11</v>
      </c>
      <c r="Q322">
        <v>8.8699999999999992</v>
      </c>
      <c r="R322">
        <v>63.2</v>
      </c>
      <c r="S322">
        <v>136.27000000000001</v>
      </c>
      <c r="T322">
        <v>28.98</v>
      </c>
      <c r="U322">
        <v>1</v>
      </c>
      <c r="V322">
        <v>0</v>
      </c>
      <c r="W322">
        <v>165.25</v>
      </c>
      <c r="X322">
        <v>35.200000000000003</v>
      </c>
      <c r="Y322">
        <v>100.91</v>
      </c>
      <c r="Z322">
        <v>25.42</v>
      </c>
      <c r="AA322">
        <v>8.56</v>
      </c>
      <c r="AB322">
        <v>131.27000000000001</v>
      </c>
      <c r="AC322">
        <v>124.62341772151898</v>
      </c>
      <c r="AD322">
        <v>14.799323562570464</v>
      </c>
      <c r="AE322">
        <v>81.09</v>
      </c>
      <c r="AF322">
        <v>17.899999999999999</v>
      </c>
      <c r="AG322">
        <v>0</v>
      </c>
      <c r="AH322">
        <v>8.17</v>
      </c>
      <c r="AI322">
        <v>43.17</v>
      </c>
      <c r="AJ322">
        <v>134.51</v>
      </c>
      <c r="AK322">
        <v>71.58</v>
      </c>
      <c r="AL322" t="s">
        <v>14</v>
      </c>
      <c r="AM322" t="s">
        <v>15</v>
      </c>
      <c r="AN322" t="str">
        <f t="shared" si="16"/>
        <v>Night</v>
      </c>
      <c r="AO322" t="str">
        <f t="shared" si="17"/>
        <v>Off-Peak</v>
      </c>
      <c r="AP322" t="str">
        <f t="shared" si="18"/>
        <v>Low</v>
      </c>
      <c r="AQ322" t="str">
        <f t="shared" si="19"/>
        <v>Low</v>
      </c>
    </row>
    <row r="323" spans="1:43" x14ac:dyDescent="0.3">
      <c r="A323">
        <v>322</v>
      </c>
      <c r="B323" t="s">
        <v>7</v>
      </c>
      <c r="C323" t="s">
        <v>8</v>
      </c>
      <c r="D323" s="1">
        <v>46195</v>
      </c>
      <c r="E323" t="s">
        <v>38</v>
      </c>
      <c r="F323">
        <v>0</v>
      </c>
      <c r="G323">
        <v>16</v>
      </c>
      <c r="H323" t="s">
        <v>32</v>
      </c>
      <c r="I323" t="s">
        <v>33</v>
      </c>
      <c r="J323">
        <v>1</v>
      </c>
      <c r="K323" t="s">
        <v>21</v>
      </c>
      <c r="L323">
        <v>0</v>
      </c>
      <c r="M323">
        <v>2.89</v>
      </c>
      <c r="N323">
        <v>13</v>
      </c>
      <c r="O323" t="s">
        <v>22</v>
      </c>
      <c r="P323">
        <v>6</v>
      </c>
      <c r="Q323">
        <v>8.41</v>
      </c>
      <c r="R323">
        <v>58.3</v>
      </c>
      <c r="S323">
        <v>108.83</v>
      </c>
      <c r="T323">
        <v>12.6</v>
      </c>
      <c r="U323">
        <v>1</v>
      </c>
      <c r="V323">
        <v>0</v>
      </c>
      <c r="W323">
        <v>121.43</v>
      </c>
      <c r="X323">
        <v>42.3</v>
      </c>
      <c r="Y323">
        <v>101.99</v>
      </c>
      <c r="Z323">
        <v>20.28</v>
      </c>
      <c r="AA323">
        <v>6.55</v>
      </c>
      <c r="AB323">
        <v>94.6</v>
      </c>
      <c r="AC323">
        <v>97.358490566037744</v>
      </c>
      <c r="AD323">
        <v>11.248513674197383</v>
      </c>
      <c r="AE323">
        <v>64.849999999999994</v>
      </c>
      <c r="AF323">
        <v>15.36</v>
      </c>
      <c r="AG323">
        <v>0</v>
      </c>
      <c r="AH323">
        <v>2.35</v>
      </c>
      <c r="AI323">
        <v>15.35</v>
      </c>
      <c r="AJ323">
        <v>94.86</v>
      </c>
      <c r="AK323">
        <v>71.31</v>
      </c>
      <c r="AL323" t="s">
        <v>14</v>
      </c>
      <c r="AM323" t="s">
        <v>15</v>
      </c>
      <c r="AN323" t="str">
        <f t="shared" ref="AN323:AN386" si="20">IF(G323&lt;11,"Morning",IF(G323&lt;15,"Afternoon",IF(G323&lt;18,"Evening","Night")))</f>
        <v>Evening</v>
      </c>
      <c r="AO323" t="str">
        <f t="shared" ref="AO323:AO386" si="21">IF(OR(AND(G323&gt;=7,G323&lt;=10),AND(G323&gt;=17,G323&lt;=20)),"Peak","Off-Peak")</f>
        <v>Off-Peak</v>
      </c>
      <c r="AP323" t="str">
        <f t="shared" ref="AP323:AP386" si="22">IF(AC323&lt;150,"Low",IF(AC323&lt;=250,"Medium","High"))</f>
        <v>Low</v>
      </c>
      <c r="AQ323" t="str">
        <f t="shared" ref="AQ323:AQ386" si="23">IF(N323&lt;=35,"Low",IF(N323&lt;=70,"Medium","High"))</f>
        <v>Low</v>
      </c>
    </row>
    <row r="324" spans="1:43" x14ac:dyDescent="0.3">
      <c r="A324">
        <v>323</v>
      </c>
      <c r="B324" t="s">
        <v>25</v>
      </c>
      <c r="C324" t="s">
        <v>17</v>
      </c>
      <c r="D324" s="1">
        <v>46052</v>
      </c>
      <c r="E324" t="s">
        <v>9</v>
      </c>
      <c r="F324">
        <v>0</v>
      </c>
      <c r="G324">
        <v>14</v>
      </c>
      <c r="H324" t="s">
        <v>19</v>
      </c>
      <c r="I324" t="s">
        <v>46</v>
      </c>
      <c r="J324">
        <v>1.1499999999999999</v>
      </c>
      <c r="K324" t="s">
        <v>12</v>
      </c>
      <c r="L324">
        <v>0</v>
      </c>
      <c r="M324">
        <v>2.75</v>
      </c>
      <c r="N324">
        <v>5</v>
      </c>
      <c r="O324" t="s">
        <v>22</v>
      </c>
      <c r="P324">
        <v>1</v>
      </c>
      <c r="Q324">
        <v>2.9</v>
      </c>
      <c r="R324">
        <v>35</v>
      </c>
      <c r="S324">
        <v>100.96</v>
      </c>
      <c r="T324">
        <v>19.420000000000002</v>
      </c>
      <c r="U324">
        <v>1</v>
      </c>
      <c r="V324">
        <v>0</v>
      </c>
      <c r="W324">
        <v>120.38</v>
      </c>
      <c r="X324">
        <v>47.2</v>
      </c>
      <c r="Y324">
        <v>102.48</v>
      </c>
      <c r="Z324">
        <v>6.3</v>
      </c>
      <c r="AA324">
        <v>3.46</v>
      </c>
      <c r="AB324">
        <v>110.62</v>
      </c>
      <c r="AC324">
        <v>189.63428571428571</v>
      </c>
      <c r="AD324">
        <v>38.144827586206901</v>
      </c>
      <c r="AE324">
        <v>79.06</v>
      </c>
      <c r="AF324">
        <v>15.87</v>
      </c>
      <c r="AG324">
        <v>0</v>
      </c>
      <c r="AH324">
        <v>-26.96</v>
      </c>
      <c r="AI324">
        <v>5</v>
      </c>
      <c r="AJ324">
        <v>172.6</v>
      </c>
      <c r="AK324">
        <v>67.569999999999993</v>
      </c>
      <c r="AL324" t="s">
        <v>14</v>
      </c>
      <c r="AM324" t="s">
        <v>15</v>
      </c>
      <c r="AN324" t="str">
        <f t="shared" si="20"/>
        <v>Afternoon</v>
      </c>
      <c r="AO324" t="str">
        <f t="shared" si="21"/>
        <v>Off-Peak</v>
      </c>
      <c r="AP324" t="str">
        <f t="shared" si="22"/>
        <v>Medium</v>
      </c>
      <c r="AQ324" t="str">
        <f t="shared" si="23"/>
        <v>Low</v>
      </c>
    </row>
    <row r="325" spans="1:43" x14ac:dyDescent="0.3">
      <c r="A325">
        <v>324</v>
      </c>
      <c r="B325" t="s">
        <v>23</v>
      </c>
      <c r="C325" t="s">
        <v>17</v>
      </c>
      <c r="D325" s="1">
        <v>46120</v>
      </c>
      <c r="E325" t="s">
        <v>18</v>
      </c>
      <c r="F325">
        <v>0</v>
      </c>
      <c r="G325">
        <v>13</v>
      </c>
      <c r="H325" t="s">
        <v>19</v>
      </c>
      <c r="I325" t="s">
        <v>46</v>
      </c>
      <c r="J325">
        <v>1.1499999999999999</v>
      </c>
      <c r="K325" t="s">
        <v>12</v>
      </c>
      <c r="L325">
        <v>0</v>
      </c>
      <c r="M325">
        <v>2.86</v>
      </c>
      <c r="N325">
        <v>12</v>
      </c>
      <c r="O325" t="s">
        <v>22</v>
      </c>
      <c r="P325">
        <v>2</v>
      </c>
      <c r="Q325">
        <v>2.17</v>
      </c>
      <c r="R325">
        <v>32.200000000000003</v>
      </c>
      <c r="S325">
        <v>87.32</v>
      </c>
      <c r="T325">
        <v>26.72</v>
      </c>
      <c r="U325">
        <v>1.06</v>
      </c>
      <c r="V325">
        <v>5.24</v>
      </c>
      <c r="W325">
        <v>119.28</v>
      </c>
      <c r="X325">
        <v>41.4</v>
      </c>
      <c r="Y325">
        <v>101.11</v>
      </c>
      <c r="Z325">
        <v>5.29</v>
      </c>
      <c r="AA325">
        <v>2.0099999999999998</v>
      </c>
      <c r="AB325">
        <v>111.98</v>
      </c>
      <c r="AC325">
        <v>208.65838509316768</v>
      </c>
      <c r="AD325">
        <v>51.603686635944705</v>
      </c>
      <c r="AE325">
        <v>87.83</v>
      </c>
      <c r="AF325">
        <v>15.76</v>
      </c>
      <c r="AG325">
        <v>0</v>
      </c>
      <c r="AH325">
        <v>27.94</v>
      </c>
      <c r="AI325">
        <v>39.94</v>
      </c>
      <c r="AJ325">
        <v>198.85</v>
      </c>
      <c r="AK325">
        <v>63.23</v>
      </c>
      <c r="AL325" t="s">
        <v>14</v>
      </c>
      <c r="AM325" t="s">
        <v>15</v>
      </c>
      <c r="AN325" t="str">
        <f t="shared" si="20"/>
        <v>Afternoon</v>
      </c>
      <c r="AO325" t="str">
        <f t="shared" si="21"/>
        <v>Off-Peak</v>
      </c>
      <c r="AP325" t="str">
        <f t="shared" si="22"/>
        <v>Medium</v>
      </c>
      <c r="AQ325" t="str">
        <f t="shared" si="23"/>
        <v>Low</v>
      </c>
    </row>
    <row r="326" spans="1:43" x14ac:dyDescent="0.3">
      <c r="A326">
        <v>325</v>
      </c>
      <c r="B326" t="s">
        <v>23</v>
      </c>
      <c r="C326" t="s">
        <v>17</v>
      </c>
      <c r="D326" s="1">
        <v>46226</v>
      </c>
      <c r="E326" t="s">
        <v>41</v>
      </c>
      <c r="F326">
        <v>0</v>
      </c>
      <c r="G326">
        <v>17</v>
      </c>
      <c r="H326" t="s">
        <v>40</v>
      </c>
      <c r="I326" t="s">
        <v>37</v>
      </c>
      <c r="J326">
        <v>1.02</v>
      </c>
      <c r="K326" t="s">
        <v>12</v>
      </c>
      <c r="L326">
        <v>0</v>
      </c>
      <c r="M326">
        <v>2.99</v>
      </c>
      <c r="N326">
        <v>68</v>
      </c>
      <c r="O326" t="s">
        <v>35</v>
      </c>
      <c r="P326">
        <v>13</v>
      </c>
      <c r="Q326">
        <v>10.06</v>
      </c>
      <c r="R326">
        <v>52.2</v>
      </c>
      <c r="S326">
        <v>186.97</v>
      </c>
      <c r="T326">
        <v>68.92</v>
      </c>
      <c r="U326">
        <v>1.29</v>
      </c>
      <c r="V326">
        <v>54.22</v>
      </c>
      <c r="W326">
        <v>310.11</v>
      </c>
      <c r="X326">
        <v>46.4</v>
      </c>
      <c r="Y326">
        <v>102.3</v>
      </c>
      <c r="Z326">
        <v>22.19</v>
      </c>
      <c r="AA326">
        <v>4.7</v>
      </c>
      <c r="AB326">
        <v>283.22000000000003</v>
      </c>
      <c r="AC326">
        <v>325.5402298850575</v>
      </c>
      <c r="AD326">
        <v>28.153081510934395</v>
      </c>
      <c r="AE326">
        <v>77.23</v>
      </c>
      <c r="AF326">
        <v>15.01</v>
      </c>
      <c r="AG326">
        <v>1</v>
      </c>
      <c r="AH326">
        <v>-2.52</v>
      </c>
      <c r="AI326">
        <v>65.48</v>
      </c>
      <c r="AJ326">
        <v>342.19</v>
      </c>
      <c r="AK326">
        <v>70.650000000000006</v>
      </c>
      <c r="AL326" t="s">
        <v>23</v>
      </c>
      <c r="AM326" t="s">
        <v>24</v>
      </c>
      <c r="AN326" t="str">
        <f t="shared" si="20"/>
        <v>Evening</v>
      </c>
      <c r="AO326" t="str">
        <f t="shared" si="21"/>
        <v>Peak</v>
      </c>
      <c r="AP326" t="str">
        <f t="shared" si="22"/>
        <v>High</v>
      </c>
      <c r="AQ326" t="str">
        <f t="shared" si="23"/>
        <v>Medium</v>
      </c>
    </row>
    <row r="327" spans="1:43" x14ac:dyDescent="0.3">
      <c r="A327">
        <v>326</v>
      </c>
      <c r="B327" t="s">
        <v>14</v>
      </c>
      <c r="C327" t="s">
        <v>8</v>
      </c>
      <c r="D327" s="1">
        <v>46182</v>
      </c>
      <c r="E327" t="s">
        <v>44</v>
      </c>
      <c r="F327">
        <v>0</v>
      </c>
      <c r="G327">
        <v>16</v>
      </c>
      <c r="H327" t="s">
        <v>32</v>
      </c>
      <c r="I327" t="s">
        <v>45</v>
      </c>
      <c r="J327">
        <v>1</v>
      </c>
      <c r="K327" t="s">
        <v>21</v>
      </c>
      <c r="L327">
        <v>0</v>
      </c>
      <c r="M327">
        <v>2.93</v>
      </c>
      <c r="N327">
        <v>12</v>
      </c>
      <c r="O327" t="s">
        <v>22</v>
      </c>
      <c r="P327">
        <v>5</v>
      </c>
      <c r="Q327">
        <v>2.69</v>
      </c>
      <c r="R327">
        <v>30.6</v>
      </c>
      <c r="S327">
        <v>66.36</v>
      </c>
      <c r="T327">
        <v>10.62</v>
      </c>
      <c r="U327">
        <v>1</v>
      </c>
      <c r="V327">
        <v>0</v>
      </c>
      <c r="W327">
        <v>76.98</v>
      </c>
      <c r="X327">
        <v>45.6</v>
      </c>
      <c r="Y327">
        <v>101.17</v>
      </c>
      <c r="Z327">
        <v>5.98</v>
      </c>
      <c r="AA327">
        <v>7.49</v>
      </c>
      <c r="AB327">
        <v>63.51</v>
      </c>
      <c r="AC327">
        <v>124.52941176470587</v>
      </c>
      <c r="AD327">
        <v>23.609665427509292</v>
      </c>
      <c r="AE327">
        <v>84.96</v>
      </c>
      <c r="AF327">
        <v>13.68</v>
      </c>
      <c r="AG327">
        <v>0</v>
      </c>
      <c r="AH327">
        <v>-6.27</v>
      </c>
      <c r="AI327">
        <v>5.73</v>
      </c>
      <c r="AJ327">
        <v>126.41</v>
      </c>
      <c r="AK327">
        <v>65.849999999999994</v>
      </c>
      <c r="AL327" t="s">
        <v>14</v>
      </c>
      <c r="AM327" t="s">
        <v>15</v>
      </c>
      <c r="AN327" t="str">
        <f t="shared" si="20"/>
        <v>Evening</v>
      </c>
      <c r="AO327" t="str">
        <f t="shared" si="21"/>
        <v>Off-Peak</v>
      </c>
      <c r="AP327" t="str">
        <f t="shared" si="22"/>
        <v>Low</v>
      </c>
      <c r="AQ327" t="str">
        <f t="shared" si="23"/>
        <v>Low</v>
      </c>
    </row>
    <row r="328" spans="1:43" x14ac:dyDescent="0.3">
      <c r="A328">
        <v>327</v>
      </c>
      <c r="B328" t="s">
        <v>14</v>
      </c>
      <c r="C328" t="s">
        <v>8</v>
      </c>
      <c r="D328" s="1">
        <v>46058</v>
      </c>
      <c r="E328" t="s">
        <v>41</v>
      </c>
      <c r="F328">
        <v>0</v>
      </c>
      <c r="G328">
        <v>15</v>
      </c>
      <c r="H328" t="s">
        <v>32</v>
      </c>
      <c r="I328" t="s">
        <v>50</v>
      </c>
      <c r="J328">
        <v>1.2</v>
      </c>
      <c r="K328" t="s">
        <v>21</v>
      </c>
      <c r="L328">
        <v>0</v>
      </c>
      <c r="M328">
        <v>3.24</v>
      </c>
      <c r="N328">
        <v>31</v>
      </c>
      <c r="O328" t="s">
        <v>22</v>
      </c>
      <c r="P328">
        <v>9</v>
      </c>
      <c r="Q328">
        <v>5.86</v>
      </c>
      <c r="R328">
        <v>49.9</v>
      </c>
      <c r="S328">
        <v>106.93</v>
      </c>
      <c r="T328">
        <v>27.97</v>
      </c>
      <c r="U328">
        <v>1</v>
      </c>
      <c r="V328">
        <v>0</v>
      </c>
      <c r="W328">
        <v>134.9</v>
      </c>
      <c r="X328">
        <v>41.9</v>
      </c>
      <c r="Y328">
        <v>103.78</v>
      </c>
      <c r="Z328">
        <v>14.54</v>
      </c>
      <c r="AA328">
        <v>7.35</v>
      </c>
      <c r="AB328">
        <v>113.01</v>
      </c>
      <c r="AC328">
        <v>135.88376753507015</v>
      </c>
      <c r="AD328">
        <v>19.284982935153582</v>
      </c>
      <c r="AE328">
        <v>67.14</v>
      </c>
      <c r="AF328">
        <v>16.899999999999999</v>
      </c>
      <c r="AG328">
        <v>0</v>
      </c>
      <c r="AH328">
        <v>23.37</v>
      </c>
      <c r="AI328">
        <v>54.37</v>
      </c>
      <c r="AJ328">
        <v>127.58</v>
      </c>
      <c r="AK328">
        <v>62.24</v>
      </c>
      <c r="AL328" t="s">
        <v>14</v>
      </c>
      <c r="AM328" t="s">
        <v>15</v>
      </c>
      <c r="AN328" t="str">
        <f t="shared" si="20"/>
        <v>Evening</v>
      </c>
      <c r="AO328" t="str">
        <f t="shared" si="21"/>
        <v>Off-Peak</v>
      </c>
      <c r="AP328" t="str">
        <f t="shared" si="22"/>
        <v>Low</v>
      </c>
      <c r="AQ328" t="str">
        <f t="shared" si="23"/>
        <v>Low</v>
      </c>
    </row>
    <row r="329" spans="1:43" x14ac:dyDescent="0.3">
      <c r="A329">
        <v>328</v>
      </c>
      <c r="B329" t="s">
        <v>7</v>
      </c>
      <c r="C329" t="s">
        <v>8</v>
      </c>
      <c r="D329" s="1">
        <v>46033</v>
      </c>
      <c r="E329" t="s">
        <v>26</v>
      </c>
      <c r="F329">
        <v>1</v>
      </c>
      <c r="G329">
        <v>9</v>
      </c>
      <c r="H329" t="s">
        <v>49</v>
      </c>
      <c r="I329" t="s">
        <v>46</v>
      </c>
      <c r="J329">
        <v>1.1499999999999999</v>
      </c>
      <c r="K329" t="s">
        <v>12</v>
      </c>
      <c r="L329">
        <v>0</v>
      </c>
      <c r="M329">
        <v>4.4800000000000004</v>
      </c>
      <c r="N329">
        <v>24</v>
      </c>
      <c r="O329" t="s">
        <v>22</v>
      </c>
      <c r="P329">
        <v>7</v>
      </c>
      <c r="Q329">
        <v>1</v>
      </c>
      <c r="R329">
        <v>28.4</v>
      </c>
      <c r="S329">
        <v>56.12</v>
      </c>
      <c r="T329">
        <v>42.7</v>
      </c>
      <c r="U329">
        <v>1</v>
      </c>
      <c r="V329">
        <v>0</v>
      </c>
      <c r="W329">
        <v>98.82</v>
      </c>
      <c r="X329">
        <v>39.799999999999997</v>
      </c>
      <c r="Y329">
        <v>104.86</v>
      </c>
      <c r="Z329">
        <v>2.63</v>
      </c>
      <c r="AA329">
        <v>3.31</v>
      </c>
      <c r="AB329">
        <v>92.88</v>
      </c>
      <c r="AC329">
        <v>196.22535211267603</v>
      </c>
      <c r="AD329">
        <v>92.88</v>
      </c>
      <c r="AE329">
        <v>73.680000000000007</v>
      </c>
      <c r="AF329">
        <v>16.440000000000001</v>
      </c>
      <c r="AG329">
        <v>1</v>
      </c>
      <c r="AH329">
        <v>17.68</v>
      </c>
      <c r="AI329">
        <v>41.68</v>
      </c>
      <c r="AJ329">
        <v>184.67</v>
      </c>
      <c r="AK329">
        <v>66.83</v>
      </c>
      <c r="AL329" t="s">
        <v>14</v>
      </c>
      <c r="AM329" t="s">
        <v>15</v>
      </c>
      <c r="AN329" t="str">
        <f t="shared" si="20"/>
        <v>Morning</v>
      </c>
      <c r="AO329" t="str">
        <f t="shared" si="21"/>
        <v>Peak</v>
      </c>
      <c r="AP329" t="str">
        <f t="shared" si="22"/>
        <v>Medium</v>
      </c>
      <c r="AQ329" t="str">
        <f t="shared" si="23"/>
        <v>Low</v>
      </c>
    </row>
    <row r="330" spans="1:43" x14ac:dyDescent="0.3">
      <c r="A330">
        <v>329</v>
      </c>
      <c r="B330" t="s">
        <v>7</v>
      </c>
      <c r="C330" t="s">
        <v>8</v>
      </c>
      <c r="D330" s="1">
        <v>46172</v>
      </c>
      <c r="E330" t="s">
        <v>31</v>
      </c>
      <c r="F330">
        <v>1</v>
      </c>
      <c r="G330">
        <v>17</v>
      </c>
      <c r="H330" t="s">
        <v>32</v>
      </c>
      <c r="I330" t="s">
        <v>45</v>
      </c>
      <c r="J330">
        <v>1</v>
      </c>
      <c r="K330" t="s">
        <v>12</v>
      </c>
      <c r="L330">
        <v>0</v>
      </c>
      <c r="M330">
        <v>3.07</v>
      </c>
      <c r="N330">
        <v>16</v>
      </c>
      <c r="O330" t="s">
        <v>22</v>
      </c>
      <c r="P330">
        <v>7</v>
      </c>
      <c r="Q330">
        <v>1</v>
      </c>
      <c r="R330">
        <v>25</v>
      </c>
      <c r="S330">
        <v>47.31</v>
      </c>
      <c r="T330">
        <v>28.86</v>
      </c>
      <c r="U330">
        <v>1</v>
      </c>
      <c r="V330">
        <v>0</v>
      </c>
      <c r="W330">
        <v>76.17</v>
      </c>
      <c r="X330">
        <v>45.9</v>
      </c>
      <c r="Y330">
        <v>104.55</v>
      </c>
      <c r="Z330">
        <v>2.2799999999999998</v>
      </c>
      <c r="AA330">
        <v>8.14</v>
      </c>
      <c r="AB330">
        <v>65.75</v>
      </c>
      <c r="AC330">
        <v>157.79999999999998</v>
      </c>
      <c r="AD330">
        <v>65.75</v>
      </c>
      <c r="AE330">
        <v>68.150000000000006</v>
      </c>
      <c r="AF330">
        <v>14.67</v>
      </c>
      <c r="AG330">
        <v>1</v>
      </c>
      <c r="AH330">
        <v>7.1</v>
      </c>
      <c r="AI330">
        <v>23.1</v>
      </c>
      <c r="AJ330">
        <v>167.35</v>
      </c>
      <c r="AK330">
        <v>63.83</v>
      </c>
      <c r="AL330" t="s">
        <v>14</v>
      </c>
      <c r="AM330" t="s">
        <v>15</v>
      </c>
      <c r="AN330" t="str">
        <f t="shared" si="20"/>
        <v>Evening</v>
      </c>
      <c r="AO330" t="str">
        <f t="shared" si="21"/>
        <v>Peak</v>
      </c>
      <c r="AP330" t="str">
        <f t="shared" si="22"/>
        <v>Medium</v>
      </c>
      <c r="AQ330" t="str">
        <f t="shared" si="23"/>
        <v>Low</v>
      </c>
    </row>
    <row r="331" spans="1:43" x14ac:dyDescent="0.3">
      <c r="A331">
        <v>330</v>
      </c>
      <c r="B331" t="s">
        <v>29</v>
      </c>
      <c r="C331" t="s">
        <v>30</v>
      </c>
      <c r="D331" s="1">
        <v>46142</v>
      </c>
      <c r="E331" t="s">
        <v>41</v>
      </c>
      <c r="F331">
        <v>0</v>
      </c>
      <c r="G331">
        <v>18</v>
      </c>
      <c r="H331" t="s">
        <v>32</v>
      </c>
      <c r="I331" t="s">
        <v>28</v>
      </c>
      <c r="J331">
        <v>1.03</v>
      </c>
      <c r="K331" t="s">
        <v>34</v>
      </c>
      <c r="L331">
        <v>1</v>
      </c>
      <c r="M331">
        <v>2.73</v>
      </c>
      <c r="N331">
        <v>102</v>
      </c>
      <c r="O331" t="s">
        <v>13</v>
      </c>
      <c r="P331">
        <v>35</v>
      </c>
      <c r="Q331">
        <v>4.38</v>
      </c>
      <c r="R331">
        <v>42.4</v>
      </c>
      <c r="S331">
        <v>86.2</v>
      </c>
      <c r="T331">
        <v>100</v>
      </c>
      <c r="U331">
        <v>1</v>
      </c>
      <c r="V331">
        <v>0</v>
      </c>
      <c r="W331">
        <v>186.2</v>
      </c>
      <c r="X331">
        <v>40.5</v>
      </c>
      <c r="Y331">
        <v>108.29</v>
      </c>
      <c r="Z331">
        <v>11.7</v>
      </c>
      <c r="AA331">
        <v>11.99</v>
      </c>
      <c r="AB331">
        <v>162.51</v>
      </c>
      <c r="AC331">
        <v>229.96698113207546</v>
      </c>
      <c r="AD331">
        <v>37.102739726027394</v>
      </c>
      <c r="AE331">
        <v>91.19</v>
      </c>
      <c r="AF331">
        <v>14.3</v>
      </c>
      <c r="AG331">
        <v>1</v>
      </c>
      <c r="AH331">
        <v>14.54</v>
      </c>
      <c r="AI331">
        <v>116.54</v>
      </c>
      <c r="AJ331">
        <v>239.67</v>
      </c>
      <c r="AK331">
        <v>75.36</v>
      </c>
      <c r="AL331" t="s">
        <v>23</v>
      </c>
      <c r="AM331" t="s">
        <v>24</v>
      </c>
      <c r="AN331" t="str">
        <f t="shared" si="20"/>
        <v>Night</v>
      </c>
      <c r="AO331" t="str">
        <f t="shared" si="21"/>
        <v>Peak</v>
      </c>
      <c r="AP331" t="str">
        <f t="shared" si="22"/>
        <v>Medium</v>
      </c>
      <c r="AQ331" t="str">
        <f t="shared" si="23"/>
        <v>High</v>
      </c>
    </row>
    <row r="332" spans="1:43" x14ac:dyDescent="0.3">
      <c r="A332">
        <v>331</v>
      </c>
      <c r="B332" t="s">
        <v>29</v>
      </c>
      <c r="C332" t="s">
        <v>30</v>
      </c>
      <c r="D332" s="1">
        <v>46270</v>
      </c>
      <c r="E332" t="s">
        <v>31</v>
      </c>
      <c r="F332">
        <v>1</v>
      </c>
      <c r="G332">
        <v>18</v>
      </c>
      <c r="H332" t="s">
        <v>32</v>
      </c>
      <c r="I332" t="s">
        <v>45</v>
      </c>
      <c r="J332">
        <v>1</v>
      </c>
      <c r="K332" t="s">
        <v>12</v>
      </c>
      <c r="L332">
        <v>0</v>
      </c>
      <c r="M332">
        <v>4.0199999999999996</v>
      </c>
      <c r="N332">
        <v>98</v>
      </c>
      <c r="O332" t="s">
        <v>13</v>
      </c>
      <c r="P332">
        <v>29</v>
      </c>
      <c r="Q332">
        <v>3.49</v>
      </c>
      <c r="R332">
        <v>40.200000000000003</v>
      </c>
      <c r="S332">
        <v>79.91</v>
      </c>
      <c r="T332">
        <v>100</v>
      </c>
      <c r="U332">
        <v>1</v>
      </c>
      <c r="V332">
        <v>0</v>
      </c>
      <c r="W332">
        <v>179.91</v>
      </c>
      <c r="X332">
        <v>37.6</v>
      </c>
      <c r="Y332">
        <v>102.54</v>
      </c>
      <c r="Z332">
        <v>9.52</v>
      </c>
      <c r="AA332">
        <v>7.85</v>
      </c>
      <c r="AB332">
        <v>162.54</v>
      </c>
      <c r="AC332">
        <v>242.59701492537312</v>
      </c>
      <c r="AD332">
        <v>46.57306590257879</v>
      </c>
      <c r="AE332">
        <v>92.96</v>
      </c>
      <c r="AF332">
        <v>12.62</v>
      </c>
      <c r="AG332">
        <v>1</v>
      </c>
      <c r="AH332">
        <v>-14.32</v>
      </c>
      <c r="AI332">
        <v>83.68</v>
      </c>
      <c r="AJ332">
        <v>261.92</v>
      </c>
      <c r="AK332">
        <v>71.989999999999995</v>
      </c>
      <c r="AL332" t="s">
        <v>14</v>
      </c>
      <c r="AM332" t="s">
        <v>15</v>
      </c>
      <c r="AN332" t="str">
        <f t="shared" si="20"/>
        <v>Night</v>
      </c>
      <c r="AO332" t="str">
        <f t="shared" si="21"/>
        <v>Peak</v>
      </c>
      <c r="AP332" t="str">
        <f t="shared" si="22"/>
        <v>Medium</v>
      </c>
      <c r="AQ332" t="str">
        <f t="shared" si="23"/>
        <v>High</v>
      </c>
    </row>
    <row r="333" spans="1:43" x14ac:dyDescent="0.3">
      <c r="A333">
        <v>332</v>
      </c>
      <c r="B333" t="s">
        <v>48</v>
      </c>
      <c r="C333" t="s">
        <v>30</v>
      </c>
      <c r="D333" s="1">
        <v>46157</v>
      </c>
      <c r="E333" t="s">
        <v>9</v>
      </c>
      <c r="F333">
        <v>0</v>
      </c>
      <c r="G333">
        <v>8</v>
      </c>
      <c r="H333" t="s">
        <v>47</v>
      </c>
      <c r="I333" t="s">
        <v>45</v>
      </c>
      <c r="J333">
        <v>1</v>
      </c>
      <c r="K333" t="s">
        <v>12</v>
      </c>
      <c r="L333">
        <v>0</v>
      </c>
      <c r="M333">
        <v>5</v>
      </c>
      <c r="N333">
        <v>9</v>
      </c>
      <c r="O333" t="s">
        <v>22</v>
      </c>
      <c r="P333">
        <v>2</v>
      </c>
      <c r="Q333">
        <v>6.92</v>
      </c>
      <c r="R333">
        <v>66.7</v>
      </c>
      <c r="S333">
        <v>102.92</v>
      </c>
      <c r="T333">
        <v>7.14</v>
      </c>
      <c r="U333">
        <v>1</v>
      </c>
      <c r="V333">
        <v>0</v>
      </c>
      <c r="W333">
        <v>110.06</v>
      </c>
      <c r="X333">
        <v>39.799999999999997</v>
      </c>
      <c r="Y333">
        <v>108.87</v>
      </c>
      <c r="Z333">
        <v>18.91</v>
      </c>
      <c r="AA333">
        <v>7.28</v>
      </c>
      <c r="AB333">
        <v>83.87</v>
      </c>
      <c r="AC333">
        <v>75.445277361319341</v>
      </c>
      <c r="AD333">
        <v>12.119942196531793</v>
      </c>
      <c r="AE333">
        <v>71.930000000000007</v>
      </c>
      <c r="AF333">
        <v>20</v>
      </c>
      <c r="AG333">
        <v>0</v>
      </c>
      <c r="AH333">
        <v>1.79</v>
      </c>
      <c r="AI333">
        <v>10.79</v>
      </c>
      <c r="AJ333">
        <v>88.68</v>
      </c>
      <c r="AK333">
        <v>66.22</v>
      </c>
      <c r="AL333" t="s">
        <v>23</v>
      </c>
      <c r="AM333" t="s">
        <v>24</v>
      </c>
      <c r="AN333" t="str">
        <f t="shared" si="20"/>
        <v>Morning</v>
      </c>
      <c r="AO333" t="str">
        <f t="shared" si="21"/>
        <v>Peak</v>
      </c>
      <c r="AP333" t="str">
        <f t="shared" si="22"/>
        <v>Low</v>
      </c>
      <c r="AQ333" t="str">
        <f t="shared" si="23"/>
        <v>Low</v>
      </c>
    </row>
    <row r="334" spans="1:43" x14ac:dyDescent="0.3">
      <c r="A334">
        <v>333</v>
      </c>
      <c r="B334" t="s">
        <v>48</v>
      </c>
      <c r="C334" t="s">
        <v>30</v>
      </c>
      <c r="D334" s="1">
        <v>46263</v>
      </c>
      <c r="E334" t="s">
        <v>31</v>
      </c>
      <c r="F334">
        <v>1</v>
      </c>
      <c r="G334">
        <v>18</v>
      </c>
      <c r="H334" t="s">
        <v>32</v>
      </c>
      <c r="I334" t="s">
        <v>28</v>
      </c>
      <c r="J334">
        <v>1.03</v>
      </c>
      <c r="K334" t="s">
        <v>12</v>
      </c>
      <c r="L334">
        <v>0</v>
      </c>
      <c r="M334">
        <v>4.79</v>
      </c>
      <c r="N334">
        <v>88</v>
      </c>
      <c r="O334" t="s">
        <v>13</v>
      </c>
      <c r="P334">
        <v>32</v>
      </c>
      <c r="Q334">
        <v>2.29</v>
      </c>
      <c r="R334">
        <v>43.1</v>
      </c>
      <c r="S334">
        <v>75.47</v>
      </c>
      <c r="T334">
        <v>100</v>
      </c>
      <c r="U334">
        <v>1</v>
      </c>
      <c r="V334">
        <v>0</v>
      </c>
      <c r="W334">
        <v>175.47</v>
      </c>
      <c r="X334">
        <v>48.2</v>
      </c>
      <c r="Y334">
        <v>109.08</v>
      </c>
      <c r="Z334">
        <v>5.18</v>
      </c>
      <c r="AA334">
        <v>8.23</v>
      </c>
      <c r="AB334">
        <v>162.06</v>
      </c>
      <c r="AC334">
        <v>225.60556844547563</v>
      </c>
      <c r="AD334">
        <v>70.768558951965062</v>
      </c>
      <c r="AE334">
        <v>88.41</v>
      </c>
      <c r="AF334">
        <v>16.309999999999999</v>
      </c>
      <c r="AG334">
        <v>1</v>
      </c>
      <c r="AH334">
        <v>22.42</v>
      </c>
      <c r="AI334">
        <v>110.42</v>
      </c>
      <c r="AJ334">
        <v>228.97</v>
      </c>
      <c r="AK334">
        <v>69.97</v>
      </c>
      <c r="AL334" t="s">
        <v>14</v>
      </c>
      <c r="AM334" t="s">
        <v>15</v>
      </c>
      <c r="AN334" t="str">
        <f t="shared" si="20"/>
        <v>Night</v>
      </c>
      <c r="AO334" t="str">
        <f t="shared" si="21"/>
        <v>Peak</v>
      </c>
      <c r="AP334" t="str">
        <f t="shared" si="22"/>
        <v>Medium</v>
      </c>
      <c r="AQ334" t="str">
        <f t="shared" si="23"/>
        <v>High</v>
      </c>
    </row>
    <row r="335" spans="1:43" x14ac:dyDescent="0.3">
      <c r="A335">
        <v>334</v>
      </c>
      <c r="B335" t="s">
        <v>16</v>
      </c>
      <c r="C335" t="s">
        <v>17</v>
      </c>
      <c r="D335" s="1">
        <v>46078</v>
      </c>
      <c r="E335" t="s">
        <v>18</v>
      </c>
      <c r="F335">
        <v>0</v>
      </c>
      <c r="G335">
        <v>18</v>
      </c>
      <c r="H335" t="s">
        <v>40</v>
      </c>
      <c r="I335" t="s">
        <v>46</v>
      </c>
      <c r="J335">
        <v>1.1499999999999999</v>
      </c>
      <c r="K335" t="s">
        <v>12</v>
      </c>
      <c r="L335">
        <v>0</v>
      </c>
      <c r="M335">
        <v>3.45</v>
      </c>
      <c r="N335">
        <v>83</v>
      </c>
      <c r="O335" t="s">
        <v>13</v>
      </c>
      <c r="P335">
        <v>12</v>
      </c>
      <c r="Q335">
        <v>5.12</v>
      </c>
      <c r="R335">
        <v>44.2</v>
      </c>
      <c r="S335">
        <v>125.01</v>
      </c>
      <c r="T335">
        <v>91.68</v>
      </c>
      <c r="U335">
        <v>1.25</v>
      </c>
      <c r="V335">
        <v>31.25</v>
      </c>
      <c r="W335">
        <v>247.94</v>
      </c>
      <c r="X335">
        <v>39.299999999999997</v>
      </c>
      <c r="Y335">
        <v>109.6</v>
      </c>
      <c r="Z335">
        <v>14.29</v>
      </c>
      <c r="AA335">
        <v>10.8</v>
      </c>
      <c r="AB335">
        <v>222.85</v>
      </c>
      <c r="AC335">
        <v>302.51131221719453</v>
      </c>
      <c r="AD335">
        <v>43.525390625</v>
      </c>
      <c r="AE335">
        <v>91.85</v>
      </c>
      <c r="AF335">
        <v>10.98</v>
      </c>
      <c r="AG335">
        <v>1</v>
      </c>
      <c r="AH335">
        <v>-7.16</v>
      </c>
      <c r="AI335">
        <v>75.84</v>
      </c>
      <c r="AJ335">
        <v>324.45</v>
      </c>
      <c r="AK335">
        <v>76.33</v>
      </c>
      <c r="AL335" t="s">
        <v>23</v>
      </c>
      <c r="AM335" t="s">
        <v>24</v>
      </c>
      <c r="AN335" t="str">
        <f t="shared" si="20"/>
        <v>Night</v>
      </c>
      <c r="AO335" t="str">
        <f t="shared" si="21"/>
        <v>Peak</v>
      </c>
      <c r="AP335" t="str">
        <f t="shared" si="22"/>
        <v>High</v>
      </c>
      <c r="AQ335" t="str">
        <f t="shared" si="23"/>
        <v>High</v>
      </c>
    </row>
    <row r="336" spans="1:43" x14ac:dyDescent="0.3">
      <c r="A336">
        <v>335</v>
      </c>
      <c r="B336" t="s">
        <v>29</v>
      </c>
      <c r="C336" t="s">
        <v>30</v>
      </c>
      <c r="D336" s="1">
        <v>46138</v>
      </c>
      <c r="E336" t="s">
        <v>26</v>
      </c>
      <c r="F336">
        <v>1</v>
      </c>
      <c r="G336">
        <v>9</v>
      </c>
      <c r="H336" t="s">
        <v>47</v>
      </c>
      <c r="I336" t="s">
        <v>11</v>
      </c>
      <c r="J336">
        <v>1.18</v>
      </c>
      <c r="K336" t="s">
        <v>12</v>
      </c>
      <c r="L336">
        <v>0</v>
      </c>
      <c r="M336">
        <v>3.47</v>
      </c>
      <c r="N336">
        <v>51</v>
      </c>
      <c r="O336" t="s">
        <v>35</v>
      </c>
      <c r="P336">
        <v>11</v>
      </c>
      <c r="Q336">
        <v>6.67</v>
      </c>
      <c r="R336">
        <v>50.9</v>
      </c>
      <c r="S336">
        <v>107.02</v>
      </c>
      <c r="T336">
        <v>50.34</v>
      </c>
      <c r="U336">
        <v>1</v>
      </c>
      <c r="V336">
        <v>0</v>
      </c>
      <c r="W336">
        <v>157.36000000000001</v>
      </c>
      <c r="X336">
        <v>38.5</v>
      </c>
      <c r="Y336">
        <v>101.81</v>
      </c>
      <c r="Z336">
        <v>17.63</v>
      </c>
      <c r="AA336">
        <v>11.46</v>
      </c>
      <c r="AB336">
        <v>128.27000000000001</v>
      </c>
      <c r="AC336">
        <v>151.20235756385071</v>
      </c>
      <c r="AD336">
        <v>19.23088455772114</v>
      </c>
      <c r="AE336">
        <v>75.819999999999993</v>
      </c>
      <c r="AF336">
        <v>18.149999999999999</v>
      </c>
      <c r="AG336">
        <v>1</v>
      </c>
      <c r="AH336">
        <v>-11.97</v>
      </c>
      <c r="AI336">
        <v>39.03</v>
      </c>
      <c r="AJ336">
        <v>153.24</v>
      </c>
      <c r="AK336">
        <v>66.12</v>
      </c>
      <c r="AL336" t="s">
        <v>23</v>
      </c>
      <c r="AM336" t="s">
        <v>24</v>
      </c>
      <c r="AN336" t="str">
        <f t="shared" si="20"/>
        <v>Morning</v>
      </c>
      <c r="AO336" t="str">
        <f t="shared" si="21"/>
        <v>Peak</v>
      </c>
      <c r="AP336" t="str">
        <f t="shared" si="22"/>
        <v>Medium</v>
      </c>
      <c r="AQ336" t="str">
        <f t="shared" si="23"/>
        <v>Medium</v>
      </c>
    </row>
    <row r="337" spans="1:43" x14ac:dyDescent="0.3">
      <c r="A337">
        <v>336</v>
      </c>
      <c r="B337" t="s">
        <v>16</v>
      </c>
      <c r="C337" t="s">
        <v>17</v>
      </c>
      <c r="D337" s="1">
        <v>46059</v>
      </c>
      <c r="E337" t="s">
        <v>9</v>
      </c>
      <c r="F337">
        <v>0</v>
      </c>
      <c r="G337">
        <v>20</v>
      </c>
      <c r="H337" t="s">
        <v>40</v>
      </c>
      <c r="I337" t="s">
        <v>45</v>
      </c>
      <c r="J337">
        <v>1</v>
      </c>
      <c r="K337" t="s">
        <v>12</v>
      </c>
      <c r="L337">
        <v>0</v>
      </c>
      <c r="M337">
        <v>3.51</v>
      </c>
      <c r="N337">
        <v>69</v>
      </c>
      <c r="O337" t="s">
        <v>35</v>
      </c>
      <c r="P337">
        <v>18</v>
      </c>
      <c r="Q337">
        <v>2.36</v>
      </c>
      <c r="R337">
        <v>18.399999999999999</v>
      </c>
      <c r="S337">
        <v>84.17</v>
      </c>
      <c r="T337">
        <v>76.8</v>
      </c>
      <c r="U337">
        <v>1.27</v>
      </c>
      <c r="V337">
        <v>22.73</v>
      </c>
      <c r="W337">
        <v>183.7</v>
      </c>
      <c r="X337">
        <v>37</v>
      </c>
      <c r="Y337">
        <v>102.46</v>
      </c>
      <c r="Z337">
        <v>6.54</v>
      </c>
      <c r="AA337">
        <v>2.41</v>
      </c>
      <c r="AB337">
        <v>174.75</v>
      </c>
      <c r="AC337">
        <v>569.83695652173913</v>
      </c>
      <c r="AD337">
        <v>74.04661016949153</v>
      </c>
      <c r="AE337">
        <v>78.56</v>
      </c>
      <c r="AF337">
        <v>15.47</v>
      </c>
      <c r="AG337">
        <v>1</v>
      </c>
      <c r="AH337">
        <v>4.18</v>
      </c>
      <c r="AI337">
        <v>73.180000000000007</v>
      </c>
      <c r="AJ337">
        <v>400</v>
      </c>
      <c r="AK337">
        <v>80.61</v>
      </c>
      <c r="AL337" t="s">
        <v>23</v>
      </c>
      <c r="AM337" t="s">
        <v>24</v>
      </c>
      <c r="AN337" t="str">
        <f t="shared" si="20"/>
        <v>Night</v>
      </c>
      <c r="AO337" t="str">
        <f t="shared" si="21"/>
        <v>Peak</v>
      </c>
      <c r="AP337" t="str">
        <f t="shared" si="22"/>
        <v>High</v>
      </c>
      <c r="AQ337" t="str">
        <f t="shared" si="23"/>
        <v>Medium</v>
      </c>
    </row>
    <row r="338" spans="1:43" x14ac:dyDescent="0.3">
      <c r="A338">
        <v>337</v>
      </c>
      <c r="B338" t="s">
        <v>23</v>
      </c>
      <c r="C338" t="s">
        <v>17</v>
      </c>
      <c r="D338" s="1">
        <v>46171</v>
      </c>
      <c r="E338" t="s">
        <v>9</v>
      </c>
      <c r="F338">
        <v>0</v>
      </c>
      <c r="G338">
        <v>15</v>
      </c>
      <c r="H338" t="s">
        <v>19</v>
      </c>
      <c r="I338" t="s">
        <v>46</v>
      </c>
      <c r="J338">
        <v>1.1499999999999999</v>
      </c>
      <c r="K338" t="s">
        <v>12</v>
      </c>
      <c r="L338">
        <v>0</v>
      </c>
      <c r="M338">
        <v>1.92</v>
      </c>
      <c r="N338">
        <v>38</v>
      </c>
      <c r="O338" t="s">
        <v>35</v>
      </c>
      <c r="P338">
        <v>9</v>
      </c>
      <c r="Q338">
        <v>3.24</v>
      </c>
      <c r="R338">
        <v>28.6</v>
      </c>
      <c r="S338">
        <v>92.58</v>
      </c>
      <c r="T338">
        <v>51.52</v>
      </c>
      <c r="U338">
        <v>1.01</v>
      </c>
      <c r="V338">
        <v>0.93</v>
      </c>
      <c r="W338">
        <v>145.03</v>
      </c>
      <c r="X338">
        <v>35.799999999999997</v>
      </c>
      <c r="Y338">
        <v>106.24</v>
      </c>
      <c r="Z338">
        <v>9.6</v>
      </c>
      <c r="AA338">
        <v>4.05</v>
      </c>
      <c r="AB338">
        <v>131.38</v>
      </c>
      <c r="AC338">
        <v>275.6223776223776</v>
      </c>
      <c r="AD338">
        <v>40.549382716049379</v>
      </c>
      <c r="AE338">
        <v>80.91</v>
      </c>
      <c r="AF338">
        <v>14.33</v>
      </c>
      <c r="AG338">
        <v>0</v>
      </c>
      <c r="AH338">
        <v>4.53</v>
      </c>
      <c r="AI338">
        <v>42.53</v>
      </c>
      <c r="AJ338">
        <v>242.72</v>
      </c>
      <c r="AK338">
        <v>73.78</v>
      </c>
      <c r="AL338" t="s">
        <v>23</v>
      </c>
      <c r="AM338" t="s">
        <v>24</v>
      </c>
      <c r="AN338" t="str">
        <f t="shared" si="20"/>
        <v>Evening</v>
      </c>
      <c r="AO338" t="str">
        <f t="shared" si="21"/>
        <v>Off-Peak</v>
      </c>
      <c r="AP338" t="str">
        <f t="shared" si="22"/>
        <v>High</v>
      </c>
      <c r="AQ338" t="str">
        <f t="shared" si="23"/>
        <v>Medium</v>
      </c>
    </row>
    <row r="339" spans="1:43" x14ac:dyDescent="0.3">
      <c r="A339">
        <v>338</v>
      </c>
      <c r="B339" t="s">
        <v>48</v>
      </c>
      <c r="C339" t="s">
        <v>30</v>
      </c>
      <c r="D339" s="1">
        <v>46071</v>
      </c>
      <c r="E339" t="s">
        <v>18</v>
      </c>
      <c r="F339">
        <v>0</v>
      </c>
      <c r="G339">
        <v>14</v>
      </c>
      <c r="H339" t="s">
        <v>43</v>
      </c>
      <c r="I339" t="s">
        <v>46</v>
      </c>
      <c r="J339">
        <v>1.1499999999999999</v>
      </c>
      <c r="K339" t="s">
        <v>12</v>
      </c>
      <c r="L339">
        <v>0</v>
      </c>
      <c r="M339">
        <v>2.72</v>
      </c>
      <c r="N339">
        <v>17</v>
      </c>
      <c r="O339" t="s">
        <v>22</v>
      </c>
      <c r="P339">
        <v>6</v>
      </c>
      <c r="Q339">
        <v>1.62</v>
      </c>
      <c r="R339">
        <v>19.399999999999999</v>
      </c>
      <c r="S339">
        <v>67.94</v>
      </c>
      <c r="T339">
        <v>16.05</v>
      </c>
      <c r="U339">
        <v>1</v>
      </c>
      <c r="V339">
        <v>0</v>
      </c>
      <c r="W339">
        <v>83.99</v>
      </c>
      <c r="X339">
        <v>49.7</v>
      </c>
      <c r="Y339">
        <v>101.41</v>
      </c>
      <c r="Z339">
        <v>3.31</v>
      </c>
      <c r="AA339">
        <v>3.16</v>
      </c>
      <c r="AB339">
        <v>77.52</v>
      </c>
      <c r="AC339">
        <v>239.75257731958763</v>
      </c>
      <c r="AD339">
        <v>47.851851851851848</v>
      </c>
      <c r="AE339">
        <v>66.62</v>
      </c>
      <c r="AF339">
        <v>17.5</v>
      </c>
      <c r="AG339">
        <v>0</v>
      </c>
      <c r="AH339">
        <v>12.71</v>
      </c>
      <c r="AI339">
        <v>29.71</v>
      </c>
      <c r="AJ339">
        <v>225</v>
      </c>
      <c r="AK339">
        <v>60</v>
      </c>
      <c r="AL339" t="s">
        <v>14</v>
      </c>
      <c r="AM339" t="s">
        <v>15</v>
      </c>
      <c r="AN339" t="str">
        <f t="shared" si="20"/>
        <v>Afternoon</v>
      </c>
      <c r="AO339" t="str">
        <f t="shared" si="21"/>
        <v>Off-Peak</v>
      </c>
      <c r="AP339" t="str">
        <f t="shared" si="22"/>
        <v>Medium</v>
      </c>
      <c r="AQ339" t="str">
        <f t="shared" si="23"/>
        <v>Low</v>
      </c>
    </row>
    <row r="340" spans="1:43" x14ac:dyDescent="0.3">
      <c r="A340">
        <v>339</v>
      </c>
      <c r="B340" t="s">
        <v>14</v>
      </c>
      <c r="C340" t="s">
        <v>8</v>
      </c>
      <c r="D340" s="1">
        <v>46150</v>
      </c>
      <c r="E340" t="s">
        <v>9</v>
      </c>
      <c r="F340">
        <v>0</v>
      </c>
      <c r="G340">
        <v>18</v>
      </c>
      <c r="H340" t="s">
        <v>51</v>
      </c>
      <c r="I340" t="s">
        <v>33</v>
      </c>
      <c r="J340">
        <v>1</v>
      </c>
      <c r="K340" t="s">
        <v>21</v>
      </c>
      <c r="L340">
        <v>0</v>
      </c>
      <c r="M340">
        <v>4.17</v>
      </c>
      <c r="N340">
        <v>67</v>
      </c>
      <c r="O340" t="s">
        <v>35</v>
      </c>
      <c r="P340">
        <v>33</v>
      </c>
      <c r="Q340">
        <v>7.08</v>
      </c>
      <c r="R340">
        <v>57.7</v>
      </c>
      <c r="S340">
        <v>108.19</v>
      </c>
      <c r="T340">
        <v>86.8</v>
      </c>
      <c r="U340">
        <v>1</v>
      </c>
      <c r="V340">
        <v>0</v>
      </c>
      <c r="W340">
        <v>194.99</v>
      </c>
      <c r="X340">
        <v>43.1</v>
      </c>
      <c r="Y340">
        <v>100.86</v>
      </c>
      <c r="Z340">
        <v>16.600000000000001</v>
      </c>
      <c r="AA340">
        <v>9.7200000000000006</v>
      </c>
      <c r="AB340">
        <v>168.67</v>
      </c>
      <c r="AC340">
        <v>175.39341421143845</v>
      </c>
      <c r="AD340">
        <v>23.823446327683612</v>
      </c>
      <c r="AE340">
        <v>78.239999999999995</v>
      </c>
      <c r="AF340">
        <v>18.91</v>
      </c>
      <c r="AG340">
        <v>1</v>
      </c>
      <c r="AH340">
        <v>-17.670000000000002</v>
      </c>
      <c r="AI340">
        <v>49.33</v>
      </c>
      <c r="AJ340">
        <v>169.71</v>
      </c>
      <c r="AK340">
        <v>71.09</v>
      </c>
      <c r="AL340" t="s">
        <v>14</v>
      </c>
      <c r="AM340" t="s">
        <v>15</v>
      </c>
      <c r="AN340" t="str">
        <f t="shared" si="20"/>
        <v>Night</v>
      </c>
      <c r="AO340" t="str">
        <f t="shared" si="21"/>
        <v>Peak</v>
      </c>
      <c r="AP340" t="str">
        <f t="shared" si="22"/>
        <v>Medium</v>
      </c>
      <c r="AQ340" t="str">
        <f t="shared" si="23"/>
        <v>Medium</v>
      </c>
    </row>
    <row r="341" spans="1:43" x14ac:dyDescent="0.3">
      <c r="A341">
        <v>340</v>
      </c>
      <c r="B341" t="s">
        <v>23</v>
      </c>
      <c r="C341" t="s">
        <v>17</v>
      </c>
      <c r="D341" s="1">
        <v>46111</v>
      </c>
      <c r="E341" t="s">
        <v>38</v>
      </c>
      <c r="F341">
        <v>0</v>
      </c>
      <c r="G341">
        <v>15</v>
      </c>
      <c r="H341" t="s">
        <v>19</v>
      </c>
      <c r="I341" t="s">
        <v>37</v>
      </c>
      <c r="J341">
        <v>1.02</v>
      </c>
      <c r="K341" t="s">
        <v>12</v>
      </c>
      <c r="L341">
        <v>0</v>
      </c>
      <c r="M341">
        <v>1.5</v>
      </c>
      <c r="N341">
        <v>22</v>
      </c>
      <c r="O341" t="s">
        <v>22</v>
      </c>
      <c r="P341">
        <v>5</v>
      </c>
      <c r="Q341">
        <v>6.08</v>
      </c>
      <c r="R341">
        <v>42.1</v>
      </c>
      <c r="S341">
        <v>132.66</v>
      </c>
      <c r="T341">
        <v>18.55</v>
      </c>
      <c r="U341">
        <v>1.07</v>
      </c>
      <c r="V341">
        <v>9.2899999999999991</v>
      </c>
      <c r="W341">
        <v>160.5</v>
      </c>
      <c r="X341">
        <v>45.9</v>
      </c>
      <c r="Y341">
        <v>100.74</v>
      </c>
      <c r="Z341">
        <v>13.33</v>
      </c>
      <c r="AA341">
        <v>2.46</v>
      </c>
      <c r="AB341">
        <v>144.71</v>
      </c>
      <c r="AC341">
        <v>206.23752969121142</v>
      </c>
      <c r="AD341">
        <v>23.800986842105264</v>
      </c>
      <c r="AE341">
        <v>90.9</v>
      </c>
      <c r="AF341">
        <v>13.89</v>
      </c>
      <c r="AG341">
        <v>0</v>
      </c>
      <c r="AH341">
        <v>-35.24</v>
      </c>
      <c r="AI341">
        <v>5</v>
      </c>
      <c r="AJ341">
        <v>201.27</v>
      </c>
      <c r="AK341">
        <v>60</v>
      </c>
      <c r="AL341" t="s">
        <v>23</v>
      </c>
      <c r="AM341" t="s">
        <v>24</v>
      </c>
      <c r="AN341" t="str">
        <f t="shared" si="20"/>
        <v>Evening</v>
      </c>
      <c r="AO341" t="str">
        <f t="shared" si="21"/>
        <v>Off-Peak</v>
      </c>
      <c r="AP341" t="str">
        <f t="shared" si="22"/>
        <v>Medium</v>
      </c>
      <c r="AQ341" t="str">
        <f t="shared" si="23"/>
        <v>Low</v>
      </c>
    </row>
    <row r="342" spans="1:43" x14ac:dyDescent="0.3">
      <c r="A342">
        <v>341</v>
      </c>
      <c r="B342" t="s">
        <v>25</v>
      </c>
      <c r="C342" t="s">
        <v>17</v>
      </c>
      <c r="D342" s="1">
        <v>46070</v>
      </c>
      <c r="E342" t="s">
        <v>44</v>
      </c>
      <c r="F342">
        <v>0</v>
      </c>
      <c r="G342">
        <v>15</v>
      </c>
      <c r="H342" t="s">
        <v>19</v>
      </c>
      <c r="I342" t="s">
        <v>20</v>
      </c>
      <c r="J342">
        <v>1.25</v>
      </c>
      <c r="K342" t="s">
        <v>12</v>
      </c>
      <c r="L342">
        <v>0</v>
      </c>
      <c r="M342">
        <v>2.08</v>
      </c>
      <c r="N342">
        <v>24</v>
      </c>
      <c r="O342" t="s">
        <v>22</v>
      </c>
      <c r="P342">
        <v>4</v>
      </c>
      <c r="Q342">
        <v>6.39</v>
      </c>
      <c r="R342">
        <v>48.6</v>
      </c>
      <c r="S342">
        <v>137.24</v>
      </c>
      <c r="T342">
        <v>18.940000000000001</v>
      </c>
      <c r="U342">
        <v>1.08</v>
      </c>
      <c r="V342">
        <v>10.98</v>
      </c>
      <c r="W342">
        <v>167.16</v>
      </c>
      <c r="X342">
        <v>46.6</v>
      </c>
      <c r="Y342">
        <v>106.06</v>
      </c>
      <c r="Z342">
        <v>14.56</v>
      </c>
      <c r="AA342">
        <v>11.03</v>
      </c>
      <c r="AB342">
        <v>141.57</v>
      </c>
      <c r="AC342">
        <v>174.77777777777777</v>
      </c>
      <c r="AD342">
        <v>22.154929577464788</v>
      </c>
      <c r="AE342">
        <v>69.92</v>
      </c>
      <c r="AF342">
        <v>15.52</v>
      </c>
      <c r="AG342">
        <v>0</v>
      </c>
      <c r="AH342">
        <v>16.82</v>
      </c>
      <c r="AI342">
        <v>40.82</v>
      </c>
      <c r="AJ342">
        <v>176.58</v>
      </c>
      <c r="AK342">
        <v>70.239999999999995</v>
      </c>
      <c r="AL342" t="s">
        <v>23</v>
      </c>
      <c r="AM342" t="s">
        <v>24</v>
      </c>
      <c r="AN342" t="str">
        <f t="shared" si="20"/>
        <v>Evening</v>
      </c>
      <c r="AO342" t="str">
        <f t="shared" si="21"/>
        <v>Off-Peak</v>
      </c>
      <c r="AP342" t="str">
        <f t="shared" si="22"/>
        <v>Medium</v>
      </c>
      <c r="AQ342" t="str">
        <f t="shared" si="23"/>
        <v>Low</v>
      </c>
    </row>
    <row r="343" spans="1:43" x14ac:dyDescent="0.3">
      <c r="A343">
        <v>342</v>
      </c>
      <c r="B343" t="s">
        <v>48</v>
      </c>
      <c r="C343" t="s">
        <v>30</v>
      </c>
      <c r="D343" s="1">
        <v>46047</v>
      </c>
      <c r="E343" t="s">
        <v>26</v>
      </c>
      <c r="F343">
        <v>1</v>
      </c>
      <c r="G343">
        <v>11</v>
      </c>
      <c r="H343" t="s">
        <v>43</v>
      </c>
      <c r="I343" t="s">
        <v>42</v>
      </c>
      <c r="J343">
        <v>1.08</v>
      </c>
      <c r="K343" t="s">
        <v>21</v>
      </c>
      <c r="L343">
        <v>0</v>
      </c>
      <c r="M343">
        <v>3.01</v>
      </c>
      <c r="N343">
        <v>39</v>
      </c>
      <c r="O343" t="s">
        <v>35</v>
      </c>
      <c r="P343">
        <v>9</v>
      </c>
      <c r="Q343">
        <v>3.48</v>
      </c>
      <c r="R343">
        <v>42.7</v>
      </c>
      <c r="S343">
        <v>72.989999999999995</v>
      </c>
      <c r="T343">
        <v>54.7</v>
      </c>
      <c r="U343">
        <v>1</v>
      </c>
      <c r="V343">
        <v>0</v>
      </c>
      <c r="W343">
        <v>127.69</v>
      </c>
      <c r="X343">
        <v>40.299999999999997</v>
      </c>
      <c r="Y343">
        <v>108.05</v>
      </c>
      <c r="Z343">
        <v>9.32</v>
      </c>
      <c r="AA343">
        <v>2.21</v>
      </c>
      <c r="AB343">
        <v>116.16</v>
      </c>
      <c r="AC343">
        <v>163.22248243559719</v>
      </c>
      <c r="AD343">
        <v>33.379310344827587</v>
      </c>
      <c r="AE343">
        <v>81.95</v>
      </c>
      <c r="AF343">
        <v>15.89</v>
      </c>
      <c r="AG343">
        <v>1</v>
      </c>
      <c r="AH343">
        <v>-13.24</v>
      </c>
      <c r="AI343">
        <v>25.76</v>
      </c>
      <c r="AJ343">
        <v>165.71</v>
      </c>
      <c r="AK343">
        <v>75.010000000000005</v>
      </c>
      <c r="AL343" t="s">
        <v>14</v>
      </c>
      <c r="AM343" t="s">
        <v>15</v>
      </c>
      <c r="AN343" t="str">
        <f t="shared" si="20"/>
        <v>Afternoon</v>
      </c>
      <c r="AO343" t="str">
        <f t="shared" si="21"/>
        <v>Off-Peak</v>
      </c>
      <c r="AP343" t="str">
        <f t="shared" si="22"/>
        <v>Medium</v>
      </c>
      <c r="AQ343" t="str">
        <f t="shared" si="23"/>
        <v>Medium</v>
      </c>
    </row>
    <row r="344" spans="1:43" x14ac:dyDescent="0.3">
      <c r="A344">
        <v>343</v>
      </c>
      <c r="B344" t="s">
        <v>25</v>
      </c>
      <c r="C344" t="s">
        <v>17</v>
      </c>
      <c r="D344" s="1">
        <v>46155</v>
      </c>
      <c r="E344" t="s">
        <v>18</v>
      </c>
      <c r="F344">
        <v>0</v>
      </c>
      <c r="G344">
        <v>21</v>
      </c>
      <c r="H344" t="s">
        <v>19</v>
      </c>
      <c r="I344" t="s">
        <v>45</v>
      </c>
      <c r="J344">
        <v>1</v>
      </c>
      <c r="K344" t="s">
        <v>12</v>
      </c>
      <c r="L344">
        <v>0</v>
      </c>
      <c r="M344">
        <v>3.77</v>
      </c>
      <c r="N344">
        <v>68</v>
      </c>
      <c r="O344" t="s">
        <v>35</v>
      </c>
      <c r="P344">
        <v>17</v>
      </c>
      <c r="Q344">
        <v>6.01</v>
      </c>
      <c r="R344">
        <v>50</v>
      </c>
      <c r="S344">
        <v>127.18</v>
      </c>
      <c r="T344">
        <v>69.459999999999994</v>
      </c>
      <c r="U344">
        <v>1.24</v>
      </c>
      <c r="V344">
        <v>30.52</v>
      </c>
      <c r="W344">
        <v>227.16</v>
      </c>
      <c r="X344">
        <v>47</v>
      </c>
      <c r="Y344">
        <v>102.59</v>
      </c>
      <c r="Z344">
        <v>13.12</v>
      </c>
      <c r="AA344">
        <v>8.0299999999999994</v>
      </c>
      <c r="AB344">
        <v>206.01</v>
      </c>
      <c r="AC344">
        <v>247.21199999999999</v>
      </c>
      <c r="AD344">
        <v>34.277870216306155</v>
      </c>
      <c r="AE344">
        <v>81.63</v>
      </c>
      <c r="AF344">
        <v>14.59</v>
      </c>
      <c r="AG344">
        <v>1</v>
      </c>
      <c r="AH344">
        <v>-6.15</v>
      </c>
      <c r="AI344">
        <v>61.85</v>
      </c>
      <c r="AJ344">
        <v>259.45999999999998</v>
      </c>
      <c r="AK344">
        <v>75.52</v>
      </c>
      <c r="AL344" t="s">
        <v>14</v>
      </c>
      <c r="AM344" t="s">
        <v>15</v>
      </c>
      <c r="AN344" t="str">
        <f t="shared" si="20"/>
        <v>Night</v>
      </c>
      <c r="AO344" t="str">
        <f t="shared" si="21"/>
        <v>Off-Peak</v>
      </c>
      <c r="AP344" t="str">
        <f t="shared" si="22"/>
        <v>Medium</v>
      </c>
      <c r="AQ344" t="str">
        <f t="shared" si="23"/>
        <v>Medium</v>
      </c>
    </row>
    <row r="345" spans="1:43" x14ac:dyDescent="0.3">
      <c r="A345">
        <v>344</v>
      </c>
      <c r="B345" t="s">
        <v>29</v>
      </c>
      <c r="C345" t="s">
        <v>30</v>
      </c>
      <c r="D345" s="1">
        <v>46267</v>
      </c>
      <c r="E345" t="s">
        <v>18</v>
      </c>
      <c r="F345">
        <v>0</v>
      </c>
      <c r="G345">
        <v>22</v>
      </c>
      <c r="H345" t="s">
        <v>36</v>
      </c>
      <c r="I345" t="s">
        <v>39</v>
      </c>
      <c r="J345">
        <v>1.05</v>
      </c>
      <c r="K345" t="s">
        <v>21</v>
      </c>
      <c r="L345">
        <v>0</v>
      </c>
      <c r="M345">
        <v>3.32</v>
      </c>
      <c r="N345">
        <v>24</v>
      </c>
      <c r="O345" t="s">
        <v>22</v>
      </c>
      <c r="P345">
        <v>8</v>
      </c>
      <c r="Q345">
        <v>3.71</v>
      </c>
      <c r="R345">
        <v>49.4</v>
      </c>
      <c r="S345">
        <v>82.85</v>
      </c>
      <c r="T345">
        <v>34.83</v>
      </c>
      <c r="U345">
        <v>1</v>
      </c>
      <c r="V345">
        <v>0</v>
      </c>
      <c r="W345">
        <v>117.68</v>
      </c>
      <c r="X345">
        <v>49.4</v>
      </c>
      <c r="Y345">
        <v>109.34</v>
      </c>
      <c r="Z345">
        <v>8.2100000000000009</v>
      </c>
      <c r="AA345">
        <v>4.76</v>
      </c>
      <c r="AB345">
        <v>104.71</v>
      </c>
      <c r="AC345">
        <v>127.17813765182186</v>
      </c>
      <c r="AD345">
        <v>28.223719676549862</v>
      </c>
      <c r="AE345">
        <v>72.61</v>
      </c>
      <c r="AF345">
        <v>12.97</v>
      </c>
      <c r="AG345">
        <v>0</v>
      </c>
      <c r="AH345">
        <v>-29.75</v>
      </c>
      <c r="AI345">
        <v>5</v>
      </c>
      <c r="AJ345">
        <v>117</v>
      </c>
      <c r="AK345">
        <v>60</v>
      </c>
      <c r="AL345" t="s">
        <v>14</v>
      </c>
      <c r="AM345" t="s">
        <v>15</v>
      </c>
      <c r="AN345" t="str">
        <f t="shared" si="20"/>
        <v>Night</v>
      </c>
      <c r="AO345" t="str">
        <f t="shared" si="21"/>
        <v>Off-Peak</v>
      </c>
      <c r="AP345" t="str">
        <f t="shared" si="22"/>
        <v>Low</v>
      </c>
      <c r="AQ345" t="str">
        <f t="shared" si="23"/>
        <v>Low</v>
      </c>
    </row>
    <row r="346" spans="1:43" x14ac:dyDescent="0.3">
      <c r="A346">
        <v>345</v>
      </c>
      <c r="B346" t="s">
        <v>23</v>
      </c>
      <c r="C346" t="s">
        <v>17</v>
      </c>
      <c r="D346" s="1">
        <v>46074</v>
      </c>
      <c r="E346" t="s">
        <v>31</v>
      </c>
      <c r="F346">
        <v>1</v>
      </c>
      <c r="G346">
        <v>9</v>
      </c>
      <c r="H346" t="s">
        <v>27</v>
      </c>
      <c r="I346" t="s">
        <v>42</v>
      </c>
      <c r="J346">
        <v>1.08</v>
      </c>
      <c r="K346" t="s">
        <v>12</v>
      </c>
      <c r="L346">
        <v>0</v>
      </c>
      <c r="M346">
        <v>3.13</v>
      </c>
      <c r="N346">
        <v>76</v>
      </c>
      <c r="O346" t="s">
        <v>13</v>
      </c>
      <c r="P346">
        <v>13</v>
      </c>
      <c r="Q346">
        <v>11.18</v>
      </c>
      <c r="R346">
        <v>72</v>
      </c>
      <c r="S346">
        <v>188.87</v>
      </c>
      <c r="T346">
        <v>96.92</v>
      </c>
      <c r="U346">
        <v>1.36</v>
      </c>
      <c r="V346">
        <v>67.989999999999995</v>
      </c>
      <c r="W346">
        <v>353.78</v>
      </c>
      <c r="X346">
        <v>46.1</v>
      </c>
      <c r="Y346">
        <v>107.92</v>
      </c>
      <c r="Z346">
        <v>26.16</v>
      </c>
      <c r="AA346">
        <v>6.71</v>
      </c>
      <c r="AB346">
        <v>320.91000000000003</v>
      </c>
      <c r="AC346">
        <v>267.42500000000001</v>
      </c>
      <c r="AD346">
        <v>28.703935599284438</v>
      </c>
      <c r="AE346">
        <v>79.849999999999994</v>
      </c>
      <c r="AF346">
        <v>14.46</v>
      </c>
      <c r="AG346">
        <v>1</v>
      </c>
      <c r="AH346">
        <v>18.34</v>
      </c>
      <c r="AI346">
        <v>94.34</v>
      </c>
      <c r="AJ346">
        <v>285.82</v>
      </c>
      <c r="AK346">
        <v>69.41</v>
      </c>
      <c r="AL346" t="s">
        <v>23</v>
      </c>
      <c r="AM346" t="s">
        <v>24</v>
      </c>
      <c r="AN346" t="str">
        <f t="shared" si="20"/>
        <v>Morning</v>
      </c>
      <c r="AO346" t="str">
        <f t="shared" si="21"/>
        <v>Peak</v>
      </c>
      <c r="AP346" t="str">
        <f t="shared" si="22"/>
        <v>High</v>
      </c>
      <c r="AQ346" t="str">
        <f t="shared" si="23"/>
        <v>High</v>
      </c>
    </row>
    <row r="347" spans="1:43" x14ac:dyDescent="0.3">
      <c r="A347">
        <v>346</v>
      </c>
      <c r="B347" t="s">
        <v>14</v>
      </c>
      <c r="C347" t="s">
        <v>8</v>
      </c>
      <c r="D347" s="1">
        <v>46127</v>
      </c>
      <c r="E347" t="s">
        <v>18</v>
      </c>
      <c r="F347">
        <v>0</v>
      </c>
      <c r="G347">
        <v>18</v>
      </c>
      <c r="H347" t="s">
        <v>51</v>
      </c>
      <c r="I347" t="s">
        <v>39</v>
      </c>
      <c r="J347">
        <v>1.05</v>
      </c>
      <c r="K347" t="s">
        <v>21</v>
      </c>
      <c r="L347">
        <v>0</v>
      </c>
      <c r="M347">
        <v>4.67</v>
      </c>
      <c r="N347">
        <v>78</v>
      </c>
      <c r="O347" t="s">
        <v>13</v>
      </c>
      <c r="P347">
        <v>28</v>
      </c>
      <c r="Q347">
        <v>4.13</v>
      </c>
      <c r="R347">
        <v>38.700000000000003</v>
      </c>
      <c r="S347">
        <v>92.12</v>
      </c>
      <c r="T347">
        <v>78.459999999999994</v>
      </c>
      <c r="U347">
        <v>1</v>
      </c>
      <c r="V347">
        <v>0</v>
      </c>
      <c r="W347">
        <v>170.58</v>
      </c>
      <c r="X347">
        <v>45.7</v>
      </c>
      <c r="Y347">
        <v>100.77</v>
      </c>
      <c r="Z347">
        <v>9.11</v>
      </c>
      <c r="AA347">
        <v>6.42</v>
      </c>
      <c r="AB347">
        <v>155.05000000000001</v>
      </c>
      <c r="AC347">
        <v>240.3875968992248</v>
      </c>
      <c r="AD347">
        <v>37.542372881355938</v>
      </c>
      <c r="AE347">
        <v>92.26</v>
      </c>
      <c r="AF347">
        <v>19.03</v>
      </c>
      <c r="AG347">
        <v>1</v>
      </c>
      <c r="AH347">
        <v>8.26</v>
      </c>
      <c r="AI347">
        <v>86.26</v>
      </c>
      <c r="AJ347">
        <v>275.41000000000003</v>
      </c>
      <c r="AK347">
        <v>74.58</v>
      </c>
      <c r="AL347" t="s">
        <v>14</v>
      </c>
      <c r="AM347" t="s">
        <v>15</v>
      </c>
      <c r="AN347" t="str">
        <f t="shared" si="20"/>
        <v>Night</v>
      </c>
      <c r="AO347" t="str">
        <f t="shared" si="21"/>
        <v>Peak</v>
      </c>
      <c r="AP347" t="str">
        <f t="shared" si="22"/>
        <v>Medium</v>
      </c>
      <c r="AQ347" t="str">
        <f t="shared" si="23"/>
        <v>High</v>
      </c>
    </row>
    <row r="348" spans="1:43" x14ac:dyDescent="0.3">
      <c r="A348">
        <v>347</v>
      </c>
      <c r="B348" t="s">
        <v>23</v>
      </c>
      <c r="C348" t="s">
        <v>17</v>
      </c>
      <c r="D348" s="1">
        <v>46080</v>
      </c>
      <c r="E348" t="s">
        <v>9</v>
      </c>
      <c r="F348">
        <v>0</v>
      </c>
      <c r="G348">
        <v>7</v>
      </c>
      <c r="H348" t="s">
        <v>27</v>
      </c>
      <c r="I348" t="s">
        <v>37</v>
      </c>
      <c r="J348">
        <v>1.02</v>
      </c>
      <c r="K348" t="s">
        <v>12</v>
      </c>
      <c r="L348">
        <v>0</v>
      </c>
      <c r="M348">
        <v>3.15</v>
      </c>
      <c r="N348">
        <v>56</v>
      </c>
      <c r="O348" t="s">
        <v>35</v>
      </c>
      <c r="P348">
        <v>9</v>
      </c>
      <c r="Q348">
        <v>8.09</v>
      </c>
      <c r="R348">
        <v>54.2</v>
      </c>
      <c r="S348">
        <v>159.44</v>
      </c>
      <c r="T348">
        <v>66.69</v>
      </c>
      <c r="U348">
        <v>1.29</v>
      </c>
      <c r="V348">
        <v>46.24</v>
      </c>
      <c r="W348">
        <v>272.37</v>
      </c>
      <c r="X348">
        <v>41.5</v>
      </c>
      <c r="Y348">
        <v>104.07</v>
      </c>
      <c r="Z348">
        <v>20.3</v>
      </c>
      <c r="AA348">
        <v>9.49</v>
      </c>
      <c r="AB348">
        <v>242.58</v>
      </c>
      <c r="AC348">
        <v>268.53874538745384</v>
      </c>
      <c r="AD348">
        <v>29.985166872682324</v>
      </c>
      <c r="AE348">
        <v>80.91</v>
      </c>
      <c r="AF348">
        <v>15.94</v>
      </c>
      <c r="AG348">
        <v>1</v>
      </c>
      <c r="AH348">
        <v>7.65</v>
      </c>
      <c r="AI348">
        <v>63.65</v>
      </c>
      <c r="AJ348">
        <v>271.16000000000003</v>
      </c>
      <c r="AK348">
        <v>72.91</v>
      </c>
      <c r="AL348" t="s">
        <v>23</v>
      </c>
      <c r="AM348" t="s">
        <v>24</v>
      </c>
      <c r="AN348" t="str">
        <f t="shared" si="20"/>
        <v>Morning</v>
      </c>
      <c r="AO348" t="str">
        <f t="shared" si="21"/>
        <v>Peak</v>
      </c>
      <c r="AP348" t="str">
        <f t="shared" si="22"/>
        <v>High</v>
      </c>
      <c r="AQ348" t="str">
        <f t="shared" si="23"/>
        <v>Medium</v>
      </c>
    </row>
    <row r="349" spans="1:43" x14ac:dyDescent="0.3">
      <c r="A349">
        <v>348</v>
      </c>
      <c r="B349" t="s">
        <v>23</v>
      </c>
      <c r="C349" t="s">
        <v>17</v>
      </c>
      <c r="D349" s="1">
        <v>46231</v>
      </c>
      <c r="E349" t="s">
        <v>44</v>
      </c>
      <c r="F349">
        <v>0</v>
      </c>
      <c r="G349">
        <v>12</v>
      </c>
      <c r="H349" t="s">
        <v>19</v>
      </c>
      <c r="I349" t="s">
        <v>11</v>
      </c>
      <c r="J349">
        <v>1.18</v>
      </c>
      <c r="K349" t="s">
        <v>12</v>
      </c>
      <c r="L349">
        <v>0</v>
      </c>
      <c r="M349">
        <v>4.3099999999999996</v>
      </c>
      <c r="N349">
        <v>23</v>
      </c>
      <c r="O349" t="s">
        <v>22</v>
      </c>
      <c r="P349">
        <v>4</v>
      </c>
      <c r="Q349">
        <v>3.49</v>
      </c>
      <c r="R349">
        <v>39.1</v>
      </c>
      <c r="S349">
        <v>97.31</v>
      </c>
      <c r="T349">
        <v>20.21</v>
      </c>
      <c r="U349">
        <v>1.05</v>
      </c>
      <c r="V349">
        <v>4.87</v>
      </c>
      <c r="W349">
        <v>122.39</v>
      </c>
      <c r="X349">
        <v>47.6</v>
      </c>
      <c r="Y349">
        <v>100.68</v>
      </c>
      <c r="Z349">
        <v>7.38</v>
      </c>
      <c r="AA349">
        <v>6.97</v>
      </c>
      <c r="AB349">
        <v>108.04</v>
      </c>
      <c r="AC349">
        <v>165.79028132992326</v>
      </c>
      <c r="AD349">
        <v>30.95702005730659</v>
      </c>
      <c r="AE349">
        <v>79.52</v>
      </c>
      <c r="AF349">
        <v>15.53</v>
      </c>
      <c r="AG349">
        <v>0</v>
      </c>
      <c r="AH349">
        <v>7.55</v>
      </c>
      <c r="AI349">
        <v>30.55</v>
      </c>
      <c r="AJ349">
        <v>155.82</v>
      </c>
      <c r="AK349">
        <v>73.91</v>
      </c>
      <c r="AL349" t="s">
        <v>14</v>
      </c>
      <c r="AM349" t="s">
        <v>15</v>
      </c>
      <c r="AN349" t="str">
        <f t="shared" si="20"/>
        <v>Afternoon</v>
      </c>
      <c r="AO349" t="str">
        <f t="shared" si="21"/>
        <v>Off-Peak</v>
      </c>
      <c r="AP349" t="str">
        <f t="shared" si="22"/>
        <v>Medium</v>
      </c>
      <c r="AQ349" t="str">
        <f t="shared" si="23"/>
        <v>Low</v>
      </c>
    </row>
    <row r="350" spans="1:43" x14ac:dyDescent="0.3">
      <c r="A350">
        <v>349</v>
      </c>
      <c r="B350" t="s">
        <v>14</v>
      </c>
      <c r="C350" t="s">
        <v>8</v>
      </c>
      <c r="D350" s="1">
        <v>46130</v>
      </c>
      <c r="E350" t="s">
        <v>31</v>
      </c>
      <c r="F350">
        <v>1</v>
      </c>
      <c r="G350">
        <v>22</v>
      </c>
      <c r="H350" t="s">
        <v>51</v>
      </c>
      <c r="I350" t="s">
        <v>20</v>
      </c>
      <c r="J350">
        <v>1.25</v>
      </c>
      <c r="K350" t="s">
        <v>12</v>
      </c>
      <c r="L350">
        <v>0</v>
      </c>
      <c r="M350">
        <v>1.63</v>
      </c>
      <c r="N350">
        <v>44</v>
      </c>
      <c r="O350" t="s">
        <v>35</v>
      </c>
      <c r="P350">
        <v>22</v>
      </c>
      <c r="Q350">
        <v>9.69</v>
      </c>
      <c r="R350">
        <v>61.1</v>
      </c>
      <c r="S350">
        <v>132.84</v>
      </c>
      <c r="T350">
        <v>56.09</v>
      </c>
      <c r="U350">
        <v>1</v>
      </c>
      <c r="V350">
        <v>0</v>
      </c>
      <c r="W350">
        <v>188.93</v>
      </c>
      <c r="X350">
        <v>36.299999999999997</v>
      </c>
      <c r="Y350">
        <v>109.15</v>
      </c>
      <c r="Z350">
        <v>29.1</v>
      </c>
      <c r="AA350">
        <v>6.21</v>
      </c>
      <c r="AB350">
        <v>153.62</v>
      </c>
      <c r="AC350">
        <v>150.8543371522095</v>
      </c>
      <c r="AD350">
        <v>15.853457172342623</v>
      </c>
      <c r="AE350">
        <v>88.33</v>
      </c>
      <c r="AF350">
        <v>15.1</v>
      </c>
      <c r="AG350">
        <v>1</v>
      </c>
      <c r="AH350">
        <v>-27.9</v>
      </c>
      <c r="AI350">
        <v>16.100000000000001</v>
      </c>
      <c r="AJ350">
        <v>140.66999999999999</v>
      </c>
      <c r="AK350">
        <v>67.260000000000005</v>
      </c>
      <c r="AL350" t="s">
        <v>14</v>
      </c>
      <c r="AM350" t="s">
        <v>15</v>
      </c>
      <c r="AN350" t="str">
        <f t="shared" si="20"/>
        <v>Night</v>
      </c>
      <c r="AO350" t="str">
        <f t="shared" si="21"/>
        <v>Off-Peak</v>
      </c>
      <c r="AP350" t="str">
        <f t="shared" si="22"/>
        <v>Medium</v>
      </c>
      <c r="AQ350" t="str">
        <f t="shared" si="23"/>
        <v>Medium</v>
      </c>
    </row>
    <row r="351" spans="1:43" x14ac:dyDescent="0.3">
      <c r="A351">
        <v>350</v>
      </c>
      <c r="B351" t="s">
        <v>14</v>
      </c>
      <c r="C351" t="s">
        <v>8</v>
      </c>
      <c r="D351" s="1">
        <v>46274</v>
      </c>
      <c r="E351" t="s">
        <v>18</v>
      </c>
      <c r="F351">
        <v>0</v>
      </c>
      <c r="G351">
        <v>9</v>
      </c>
      <c r="H351" t="s">
        <v>49</v>
      </c>
      <c r="I351" t="s">
        <v>45</v>
      </c>
      <c r="J351">
        <v>1</v>
      </c>
      <c r="K351" t="s">
        <v>12</v>
      </c>
      <c r="L351">
        <v>0</v>
      </c>
      <c r="M351">
        <v>2.13</v>
      </c>
      <c r="N351">
        <v>26</v>
      </c>
      <c r="O351" t="s">
        <v>22</v>
      </c>
      <c r="P351">
        <v>7</v>
      </c>
      <c r="Q351">
        <v>2.16</v>
      </c>
      <c r="R351">
        <v>21.5</v>
      </c>
      <c r="S351">
        <v>57.12</v>
      </c>
      <c r="T351">
        <v>47.28</v>
      </c>
      <c r="U351">
        <v>1</v>
      </c>
      <c r="V351">
        <v>0</v>
      </c>
      <c r="W351">
        <v>104.4</v>
      </c>
      <c r="X351">
        <v>46.2</v>
      </c>
      <c r="Y351">
        <v>107.43</v>
      </c>
      <c r="Z351">
        <v>5.03</v>
      </c>
      <c r="AA351">
        <v>9.3000000000000007</v>
      </c>
      <c r="AB351">
        <v>90.07</v>
      </c>
      <c r="AC351">
        <v>251.35813953488369</v>
      </c>
      <c r="AD351">
        <v>41.699074074074069</v>
      </c>
      <c r="AE351">
        <v>71.760000000000005</v>
      </c>
      <c r="AF351">
        <v>13.66</v>
      </c>
      <c r="AG351">
        <v>0</v>
      </c>
      <c r="AH351">
        <v>-11.78</v>
      </c>
      <c r="AI351">
        <v>14.22</v>
      </c>
      <c r="AJ351">
        <v>252.62</v>
      </c>
      <c r="AK351">
        <v>71.069999999999993</v>
      </c>
      <c r="AL351" t="s">
        <v>14</v>
      </c>
      <c r="AM351" t="s">
        <v>15</v>
      </c>
      <c r="AN351" t="str">
        <f t="shared" si="20"/>
        <v>Morning</v>
      </c>
      <c r="AO351" t="str">
        <f t="shared" si="21"/>
        <v>Peak</v>
      </c>
      <c r="AP351" t="str">
        <f t="shared" si="22"/>
        <v>High</v>
      </c>
      <c r="AQ351" t="str">
        <f t="shared" si="23"/>
        <v>Low</v>
      </c>
    </row>
    <row r="352" spans="1:43" x14ac:dyDescent="0.3">
      <c r="A352">
        <v>351</v>
      </c>
      <c r="B352" t="s">
        <v>29</v>
      </c>
      <c r="C352" t="s">
        <v>30</v>
      </c>
      <c r="D352" s="1">
        <v>46086</v>
      </c>
      <c r="E352" t="s">
        <v>41</v>
      </c>
      <c r="F352">
        <v>0</v>
      </c>
      <c r="G352">
        <v>13</v>
      </c>
      <c r="H352" t="s">
        <v>43</v>
      </c>
      <c r="I352" t="s">
        <v>42</v>
      </c>
      <c r="J352">
        <v>1.08</v>
      </c>
      <c r="K352" t="s">
        <v>12</v>
      </c>
      <c r="L352">
        <v>0</v>
      </c>
      <c r="M352">
        <v>3.33</v>
      </c>
      <c r="N352">
        <v>5</v>
      </c>
      <c r="O352" t="s">
        <v>22</v>
      </c>
      <c r="P352">
        <v>1</v>
      </c>
      <c r="Q352">
        <v>5.58</v>
      </c>
      <c r="R352">
        <v>44.9</v>
      </c>
      <c r="S352">
        <v>99.61</v>
      </c>
      <c r="T352">
        <v>5.79</v>
      </c>
      <c r="U352">
        <v>1</v>
      </c>
      <c r="V352">
        <v>0</v>
      </c>
      <c r="W352">
        <v>105.4</v>
      </c>
      <c r="X352">
        <v>40.4</v>
      </c>
      <c r="Y352">
        <v>106.87</v>
      </c>
      <c r="Z352">
        <v>14.74</v>
      </c>
      <c r="AA352">
        <v>11.26</v>
      </c>
      <c r="AB352">
        <v>79.400000000000006</v>
      </c>
      <c r="AC352">
        <v>106.10244988864144</v>
      </c>
      <c r="AD352">
        <v>14.229390681003585</v>
      </c>
      <c r="AE352">
        <v>64.02</v>
      </c>
      <c r="AF352">
        <v>12.64</v>
      </c>
      <c r="AG352">
        <v>0</v>
      </c>
      <c r="AH352">
        <v>-3.78</v>
      </c>
      <c r="AI352">
        <v>5</v>
      </c>
      <c r="AJ352">
        <v>98.13</v>
      </c>
      <c r="AK352">
        <v>67.92</v>
      </c>
      <c r="AL352" t="s">
        <v>14</v>
      </c>
      <c r="AM352" t="s">
        <v>15</v>
      </c>
      <c r="AN352" t="str">
        <f t="shared" si="20"/>
        <v>Afternoon</v>
      </c>
      <c r="AO352" t="str">
        <f t="shared" si="21"/>
        <v>Off-Peak</v>
      </c>
      <c r="AP352" t="str">
        <f t="shared" si="22"/>
        <v>Low</v>
      </c>
      <c r="AQ352" t="str">
        <f t="shared" si="23"/>
        <v>Low</v>
      </c>
    </row>
    <row r="353" spans="1:43" x14ac:dyDescent="0.3">
      <c r="A353">
        <v>352</v>
      </c>
      <c r="B353" t="s">
        <v>7</v>
      </c>
      <c r="C353" t="s">
        <v>8</v>
      </c>
      <c r="D353" s="1">
        <v>46043</v>
      </c>
      <c r="E353" t="s">
        <v>18</v>
      </c>
      <c r="F353">
        <v>0</v>
      </c>
      <c r="G353">
        <v>10</v>
      </c>
      <c r="H353" t="s">
        <v>49</v>
      </c>
      <c r="I353" t="s">
        <v>11</v>
      </c>
      <c r="J353">
        <v>1.18</v>
      </c>
      <c r="K353" t="s">
        <v>21</v>
      </c>
      <c r="L353">
        <v>0</v>
      </c>
      <c r="M353">
        <v>4.33</v>
      </c>
      <c r="N353">
        <v>37</v>
      </c>
      <c r="O353" t="s">
        <v>35</v>
      </c>
      <c r="P353">
        <v>20</v>
      </c>
      <c r="Q353">
        <v>2.52</v>
      </c>
      <c r="R353">
        <v>35.9</v>
      </c>
      <c r="S353">
        <v>60.66</v>
      </c>
      <c r="T353">
        <v>43.64</v>
      </c>
      <c r="U353">
        <v>1</v>
      </c>
      <c r="V353">
        <v>0</v>
      </c>
      <c r="W353">
        <v>104.3</v>
      </c>
      <c r="X353">
        <v>43.5</v>
      </c>
      <c r="Y353">
        <v>106.83</v>
      </c>
      <c r="Z353">
        <v>6.2</v>
      </c>
      <c r="AA353">
        <v>9.94</v>
      </c>
      <c r="AB353">
        <v>88.16</v>
      </c>
      <c r="AC353">
        <v>147.34261838440113</v>
      </c>
      <c r="AD353">
        <v>34.984126984126981</v>
      </c>
      <c r="AE353">
        <v>89.11</v>
      </c>
      <c r="AF353">
        <v>19.239999999999998</v>
      </c>
      <c r="AG353">
        <v>0</v>
      </c>
      <c r="AH353">
        <v>-8.23</v>
      </c>
      <c r="AI353">
        <v>28.77</v>
      </c>
      <c r="AJ353">
        <v>121.48</v>
      </c>
      <c r="AK353">
        <v>65.64</v>
      </c>
      <c r="AL353" t="s">
        <v>14</v>
      </c>
      <c r="AM353" t="s">
        <v>15</v>
      </c>
      <c r="AN353" t="str">
        <f t="shared" si="20"/>
        <v>Morning</v>
      </c>
      <c r="AO353" t="str">
        <f t="shared" si="21"/>
        <v>Peak</v>
      </c>
      <c r="AP353" t="str">
        <f t="shared" si="22"/>
        <v>Low</v>
      </c>
      <c r="AQ353" t="str">
        <f t="shared" si="23"/>
        <v>Medium</v>
      </c>
    </row>
    <row r="354" spans="1:43" x14ac:dyDescent="0.3">
      <c r="A354">
        <v>353</v>
      </c>
      <c r="B354" t="s">
        <v>48</v>
      </c>
      <c r="C354" t="s">
        <v>30</v>
      </c>
      <c r="D354" s="1">
        <v>46173</v>
      </c>
      <c r="E354" t="s">
        <v>26</v>
      </c>
      <c r="F354">
        <v>1</v>
      </c>
      <c r="G354">
        <v>18</v>
      </c>
      <c r="H354" t="s">
        <v>32</v>
      </c>
      <c r="I354" t="s">
        <v>39</v>
      </c>
      <c r="J354">
        <v>1.05</v>
      </c>
      <c r="K354" t="s">
        <v>21</v>
      </c>
      <c r="L354">
        <v>0</v>
      </c>
      <c r="M354">
        <v>4.3499999999999996</v>
      </c>
      <c r="N354">
        <v>80</v>
      </c>
      <c r="O354" t="s">
        <v>13</v>
      </c>
      <c r="P354">
        <v>22</v>
      </c>
      <c r="Q354">
        <v>4.96</v>
      </c>
      <c r="R354">
        <v>45.5</v>
      </c>
      <c r="S354">
        <v>94.28</v>
      </c>
      <c r="T354">
        <v>97.24</v>
      </c>
      <c r="U354">
        <v>1</v>
      </c>
      <c r="V354">
        <v>0</v>
      </c>
      <c r="W354">
        <v>191.52</v>
      </c>
      <c r="X354">
        <v>48.4</v>
      </c>
      <c r="Y354">
        <v>102.85</v>
      </c>
      <c r="Z354">
        <v>10.55</v>
      </c>
      <c r="AA354">
        <v>9.3699999999999992</v>
      </c>
      <c r="AB354">
        <v>171.6</v>
      </c>
      <c r="AC354">
        <v>226.28571428571428</v>
      </c>
      <c r="AD354">
        <v>34.596774193548384</v>
      </c>
      <c r="AE354">
        <v>79.489999999999995</v>
      </c>
      <c r="AF354">
        <v>13.84</v>
      </c>
      <c r="AG354">
        <v>1</v>
      </c>
      <c r="AH354">
        <v>-1.07</v>
      </c>
      <c r="AI354">
        <v>78.930000000000007</v>
      </c>
      <c r="AJ354">
        <v>212.4</v>
      </c>
      <c r="AK354">
        <v>76.489999999999995</v>
      </c>
      <c r="AL354" t="s">
        <v>14</v>
      </c>
      <c r="AM354" t="s">
        <v>15</v>
      </c>
      <c r="AN354" t="str">
        <f t="shared" si="20"/>
        <v>Night</v>
      </c>
      <c r="AO354" t="str">
        <f t="shared" si="21"/>
        <v>Peak</v>
      </c>
      <c r="AP354" t="str">
        <f t="shared" si="22"/>
        <v>Medium</v>
      </c>
      <c r="AQ354" t="str">
        <f t="shared" si="23"/>
        <v>High</v>
      </c>
    </row>
    <row r="355" spans="1:43" x14ac:dyDescent="0.3">
      <c r="A355">
        <v>354</v>
      </c>
      <c r="B355" t="s">
        <v>29</v>
      </c>
      <c r="C355" t="s">
        <v>30</v>
      </c>
      <c r="D355" s="1">
        <v>46191</v>
      </c>
      <c r="E355" t="s">
        <v>41</v>
      </c>
      <c r="F355">
        <v>0</v>
      </c>
      <c r="G355">
        <v>14</v>
      </c>
      <c r="H355" t="s">
        <v>43</v>
      </c>
      <c r="I355" t="s">
        <v>37</v>
      </c>
      <c r="J355">
        <v>1.02</v>
      </c>
      <c r="K355" t="s">
        <v>12</v>
      </c>
      <c r="L355">
        <v>0</v>
      </c>
      <c r="M355">
        <v>3.45</v>
      </c>
      <c r="N355">
        <v>37</v>
      </c>
      <c r="O355" t="s">
        <v>35</v>
      </c>
      <c r="P355">
        <v>9</v>
      </c>
      <c r="Q355">
        <v>2.71</v>
      </c>
      <c r="R355">
        <v>38</v>
      </c>
      <c r="S355">
        <v>94.85</v>
      </c>
      <c r="T355">
        <v>38.54</v>
      </c>
      <c r="U355">
        <v>1</v>
      </c>
      <c r="V355">
        <v>0</v>
      </c>
      <c r="W355">
        <v>133.38999999999999</v>
      </c>
      <c r="X355">
        <v>44.1</v>
      </c>
      <c r="Y355">
        <v>109.34</v>
      </c>
      <c r="Z355">
        <v>6.71</v>
      </c>
      <c r="AA355">
        <v>6.88</v>
      </c>
      <c r="AB355">
        <v>119.8</v>
      </c>
      <c r="AC355">
        <v>189.15789473684211</v>
      </c>
      <c r="AD355">
        <v>44.206642066420663</v>
      </c>
      <c r="AE355">
        <v>82.11</v>
      </c>
      <c r="AF355">
        <v>19.440000000000001</v>
      </c>
      <c r="AG355">
        <v>0</v>
      </c>
      <c r="AH355">
        <v>6.69</v>
      </c>
      <c r="AI355">
        <v>43.69</v>
      </c>
      <c r="AJ355">
        <v>204.3</v>
      </c>
      <c r="AK355">
        <v>71.12</v>
      </c>
      <c r="AL355" t="s">
        <v>14</v>
      </c>
      <c r="AM355" t="s">
        <v>15</v>
      </c>
      <c r="AN355" t="str">
        <f t="shared" si="20"/>
        <v>Afternoon</v>
      </c>
      <c r="AO355" t="str">
        <f t="shared" si="21"/>
        <v>Off-Peak</v>
      </c>
      <c r="AP355" t="str">
        <f t="shared" si="22"/>
        <v>Medium</v>
      </c>
      <c r="AQ355" t="str">
        <f t="shared" si="23"/>
        <v>Medium</v>
      </c>
    </row>
    <row r="356" spans="1:43" x14ac:dyDescent="0.3">
      <c r="A356">
        <v>355</v>
      </c>
      <c r="B356" t="s">
        <v>23</v>
      </c>
      <c r="C356" t="s">
        <v>17</v>
      </c>
      <c r="D356" s="1">
        <v>46278</v>
      </c>
      <c r="E356" t="s">
        <v>26</v>
      </c>
      <c r="F356">
        <v>1</v>
      </c>
      <c r="G356">
        <v>16</v>
      </c>
      <c r="H356" t="s">
        <v>19</v>
      </c>
      <c r="I356" t="s">
        <v>20</v>
      </c>
      <c r="J356">
        <v>1.25</v>
      </c>
      <c r="K356" t="s">
        <v>34</v>
      </c>
      <c r="L356">
        <v>1</v>
      </c>
      <c r="M356">
        <v>3.51</v>
      </c>
      <c r="N356">
        <v>60</v>
      </c>
      <c r="O356" t="s">
        <v>35</v>
      </c>
      <c r="P356">
        <v>10</v>
      </c>
      <c r="Q356">
        <v>4.12</v>
      </c>
      <c r="R356">
        <v>43.8</v>
      </c>
      <c r="S356">
        <v>105.42</v>
      </c>
      <c r="T356">
        <v>65.349999999999994</v>
      </c>
      <c r="U356">
        <v>1.1299999999999999</v>
      </c>
      <c r="V356">
        <v>13.7</v>
      </c>
      <c r="W356">
        <v>184.47</v>
      </c>
      <c r="X356">
        <v>35.4</v>
      </c>
      <c r="Y356">
        <v>109.23</v>
      </c>
      <c r="Z356">
        <v>12.71</v>
      </c>
      <c r="AA356">
        <v>11</v>
      </c>
      <c r="AB356">
        <v>160.76</v>
      </c>
      <c r="AC356">
        <v>220.21917808219177</v>
      </c>
      <c r="AD356">
        <v>39.019417475728154</v>
      </c>
      <c r="AE356">
        <v>70.7</v>
      </c>
      <c r="AF356">
        <v>17.47</v>
      </c>
      <c r="AG356">
        <v>1</v>
      </c>
      <c r="AH356">
        <v>18.100000000000001</v>
      </c>
      <c r="AI356">
        <v>78.099999999999994</v>
      </c>
      <c r="AJ356">
        <v>244.48</v>
      </c>
      <c r="AK356">
        <v>64.959999999999994</v>
      </c>
      <c r="AL356" t="s">
        <v>23</v>
      </c>
      <c r="AM356" t="s">
        <v>24</v>
      </c>
      <c r="AN356" t="str">
        <f t="shared" si="20"/>
        <v>Evening</v>
      </c>
      <c r="AO356" t="str">
        <f t="shared" si="21"/>
        <v>Off-Peak</v>
      </c>
      <c r="AP356" t="str">
        <f t="shared" si="22"/>
        <v>Medium</v>
      </c>
      <c r="AQ356" t="str">
        <f t="shared" si="23"/>
        <v>Medium</v>
      </c>
    </row>
    <row r="357" spans="1:43" x14ac:dyDescent="0.3">
      <c r="A357">
        <v>356</v>
      </c>
      <c r="B357" t="s">
        <v>23</v>
      </c>
      <c r="C357" t="s">
        <v>17</v>
      </c>
      <c r="D357" s="1">
        <v>46247</v>
      </c>
      <c r="E357" t="s">
        <v>41</v>
      </c>
      <c r="F357">
        <v>0</v>
      </c>
      <c r="G357">
        <v>22</v>
      </c>
      <c r="H357" t="s">
        <v>19</v>
      </c>
      <c r="I357" t="s">
        <v>46</v>
      </c>
      <c r="J357">
        <v>1.1499999999999999</v>
      </c>
      <c r="K357" t="s">
        <v>21</v>
      </c>
      <c r="L357">
        <v>0</v>
      </c>
      <c r="M357">
        <v>2.1800000000000002</v>
      </c>
      <c r="N357">
        <v>25</v>
      </c>
      <c r="O357" t="s">
        <v>22</v>
      </c>
      <c r="P357">
        <v>3</v>
      </c>
      <c r="Q357">
        <v>3.02</v>
      </c>
      <c r="R357">
        <v>36.1</v>
      </c>
      <c r="S357">
        <v>85.17</v>
      </c>
      <c r="T357">
        <v>18.93</v>
      </c>
      <c r="U357">
        <v>1.1299999999999999</v>
      </c>
      <c r="V357">
        <v>11.07</v>
      </c>
      <c r="W357">
        <v>115.17</v>
      </c>
      <c r="X357">
        <v>45.8</v>
      </c>
      <c r="Y357">
        <v>107.39</v>
      </c>
      <c r="Z357">
        <v>7.08</v>
      </c>
      <c r="AA357">
        <v>6.86</v>
      </c>
      <c r="AB357">
        <v>101.23</v>
      </c>
      <c r="AC357">
        <v>168.24930747922437</v>
      </c>
      <c r="AD357">
        <v>33.519867549668874</v>
      </c>
      <c r="AE357">
        <v>77.11</v>
      </c>
      <c r="AF357">
        <v>13.94</v>
      </c>
      <c r="AG357">
        <v>0</v>
      </c>
      <c r="AH357">
        <v>-19.2</v>
      </c>
      <c r="AI357">
        <v>5.8</v>
      </c>
      <c r="AJ357">
        <v>192.07</v>
      </c>
      <c r="AK357">
        <v>65.290000000000006</v>
      </c>
      <c r="AL357" t="s">
        <v>23</v>
      </c>
      <c r="AM357" t="s">
        <v>24</v>
      </c>
      <c r="AN357" t="str">
        <f t="shared" si="20"/>
        <v>Night</v>
      </c>
      <c r="AO357" t="str">
        <f t="shared" si="21"/>
        <v>Off-Peak</v>
      </c>
      <c r="AP357" t="str">
        <f t="shared" si="22"/>
        <v>Medium</v>
      </c>
      <c r="AQ357" t="str">
        <f t="shared" si="23"/>
        <v>Low</v>
      </c>
    </row>
    <row r="358" spans="1:43" x14ac:dyDescent="0.3">
      <c r="A358">
        <v>357</v>
      </c>
      <c r="B358" t="s">
        <v>14</v>
      </c>
      <c r="C358" t="s">
        <v>8</v>
      </c>
      <c r="D358" s="1">
        <v>46251</v>
      </c>
      <c r="E358" t="s">
        <v>38</v>
      </c>
      <c r="F358">
        <v>0</v>
      </c>
      <c r="G358">
        <v>15</v>
      </c>
      <c r="H358" t="s">
        <v>32</v>
      </c>
      <c r="I358" t="s">
        <v>11</v>
      </c>
      <c r="J358">
        <v>1.18</v>
      </c>
      <c r="K358" t="s">
        <v>34</v>
      </c>
      <c r="L358">
        <v>1</v>
      </c>
      <c r="M358">
        <v>3.11</v>
      </c>
      <c r="N358">
        <v>67</v>
      </c>
      <c r="O358" t="s">
        <v>35</v>
      </c>
      <c r="P358">
        <v>21</v>
      </c>
      <c r="Q358">
        <v>6.51</v>
      </c>
      <c r="R358">
        <v>48.1</v>
      </c>
      <c r="S358">
        <v>104.93</v>
      </c>
      <c r="T358">
        <v>68.650000000000006</v>
      </c>
      <c r="U358">
        <v>1</v>
      </c>
      <c r="V358">
        <v>0</v>
      </c>
      <c r="W358">
        <v>173.58</v>
      </c>
      <c r="X358">
        <v>48.9</v>
      </c>
      <c r="Y358">
        <v>104.69</v>
      </c>
      <c r="Z358">
        <v>13.93</v>
      </c>
      <c r="AA358">
        <v>11.3</v>
      </c>
      <c r="AB358">
        <v>148.35</v>
      </c>
      <c r="AC358">
        <v>185.05197505197506</v>
      </c>
      <c r="AD358">
        <v>22.788018433179722</v>
      </c>
      <c r="AE358">
        <v>68.58</v>
      </c>
      <c r="AF358">
        <v>15.24</v>
      </c>
      <c r="AG358">
        <v>0</v>
      </c>
      <c r="AH358">
        <v>2.87</v>
      </c>
      <c r="AI358">
        <v>69.87</v>
      </c>
      <c r="AJ358">
        <v>193.55</v>
      </c>
      <c r="AK358">
        <v>80.12</v>
      </c>
      <c r="AL358" t="s">
        <v>14</v>
      </c>
      <c r="AM358" t="s">
        <v>15</v>
      </c>
      <c r="AN358" t="str">
        <f t="shared" si="20"/>
        <v>Evening</v>
      </c>
      <c r="AO358" t="str">
        <f t="shared" si="21"/>
        <v>Off-Peak</v>
      </c>
      <c r="AP358" t="str">
        <f t="shared" si="22"/>
        <v>Medium</v>
      </c>
      <c r="AQ358" t="str">
        <f t="shared" si="23"/>
        <v>Medium</v>
      </c>
    </row>
    <row r="359" spans="1:43" x14ac:dyDescent="0.3">
      <c r="A359">
        <v>358</v>
      </c>
      <c r="B359" t="s">
        <v>23</v>
      </c>
      <c r="C359" t="s">
        <v>17</v>
      </c>
      <c r="D359" s="1">
        <v>46186</v>
      </c>
      <c r="E359" t="s">
        <v>31</v>
      </c>
      <c r="F359">
        <v>1</v>
      </c>
      <c r="G359">
        <v>18</v>
      </c>
      <c r="H359" t="s">
        <v>40</v>
      </c>
      <c r="I359" t="s">
        <v>33</v>
      </c>
      <c r="J359">
        <v>1</v>
      </c>
      <c r="K359" t="s">
        <v>21</v>
      </c>
      <c r="L359">
        <v>0</v>
      </c>
      <c r="M359">
        <v>3.13</v>
      </c>
      <c r="N359">
        <v>84</v>
      </c>
      <c r="O359" t="s">
        <v>13</v>
      </c>
      <c r="P359">
        <v>11</v>
      </c>
      <c r="Q359">
        <v>5.74</v>
      </c>
      <c r="R359">
        <v>52.4</v>
      </c>
      <c r="S359">
        <v>117.49</v>
      </c>
      <c r="T359">
        <v>97.71</v>
      </c>
      <c r="U359">
        <v>1.17</v>
      </c>
      <c r="V359">
        <v>19.97</v>
      </c>
      <c r="W359">
        <v>235.17</v>
      </c>
      <c r="X359">
        <v>44.6</v>
      </c>
      <c r="Y359">
        <v>100.47</v>
      </c>
      <c r="Z359">
        <v>12.92</v>
      </c>
      <c r="AA359">
        <v>10.029999999999999</v>
      </c>
      <c r="AB359">
        <v>212.22</v>
      </c>
      <c r="AC359">
        <v>243</v>
      </c>
      <c r="AD359">
        <v>36.972125435540065</v>
      </c>
      <c r="AE359">
        <v>79.23</v>
      </c>
      <c r="AF359">
        <v>18.600000000000001</v>
      </c>
      <c r="AG359">
        <v>1</v>
      </c>
      <c r="AH359">
        <v>13.67</v>
      </c>
      <c r="AI359">
        <v>97.67</v>
      </c>
      <c r="AJ359">
        <v>236.36</v>
      </c>
      <c r="AK359">
        <v>77.31</v>
      </c>
      <c r="AL359" t="s">
        <v>23</v>
      </c>
      <c r="AM359" t="s">
        <v>24</v>
      </c>
      <c r="AN359" t="str">
        <f t="shared" si="20"/>
        <v>Night</v>
      </c>
      <c r="AO359" t="str">
        <f t="shared" si="21"/>
        <v>Peak</v>
      </c>
      <c r="AP359" t="str">
        <f t="shared" si="22"/>
        <v>Medium</v>
      </c>
      <c r="AQ359" t="str">
        <f t="shared" si="23"/>
        <v>High</v>
      </c>
    </row>
    <row r="360" spans="1:43" x14ac:dyDescent="0.3">
      <c r="A360">
        <v>359</v>
      </c>
      <c r="B360" t="s">
        <v>7</v>
      </c>
      <c r="C360" t="s">
        <v>8</v>
      </c>
      <c r="D360" s="1">
        <v>46115</v>
      </c>
      <c r="E360" t="s">
        <v>9</v>
      </c>
      <c r="F360">
        <v>0</v>
      </c>
      <c r="G360">
        <v>8</v>
      </c>
      <c r="H360" t="s">
        <v>49</v>
      </c>
      <c r="I360" t="s">
        <v>28</v>
      </c>
      <c r="J360">
        <v>1.03</v>
      </c>
      <c r="K360" t="s">
        <v>21</v>
      </c>
      <c r="L360">
        <v>0</v>
      </c>
      <c r="M360">
        <v>1.98</v>
      </c>
      <c r="N360">
        <v>38</v>
      </c>
      <c r="O360" t="s">
        <v>35</v>
      </c>
      <c r="P360">
        <v>11</v>
      </c>
      <c r="Q360">
        <v>2.4500000000000002</v>
      </c>
      <c r="R360">
        <v>20.100000000000001</v>
      </c>
      <c r="S360">
        <v>60.9</v>
      </c>
      <c r="T360">
        <v>30.15</v>
      </c>
      <c r="U360">
        <v>1</v>
      </c>
      <c r="V360">
        <v>0</v>
      </c>
      <c r="W360">
        <v>91.05</v>
      </c>
      <c r="X360">
        <v>47.9</v>
      </c>
      <c r="Y360">
        <v>100.28</v>
      </c>
      <c r="Z360">
        <v>5.13</v>
      </c>
      <c r="AA360">
        <v>3.5</v>
      </c>
      <c r="AB360">
        <v>82.42</v>
      </c>
      <c r="AC360">
        <v>246.02985074626864</v>
      </c>
      <c r="AD360">
        <v>33.640816326530611</v>
      </c>
      <c r="AE360">
        <v>69.86</v>
      </c>
      <c r="AF360">
        <v>15.64</v>
      </c>
      <c r="AG360">
        <v>0</v>
      </c>
      <c r="AH360">
        <v>-10.86</v>
      </c>
      <c r="AI360">
        <v>27.14</v>
      </c>
      <c r="AJ360">
        <v>239.12</v>
      </c>
      <c r="AK360">
        <v>71.38</v>
      </c>
      <c r="AL360" t="s">
        <v>14</v>
      </c>
      <c r="AM360" t="s">
        <v>15</v>
      </c>
      <c r="AN360" t="str">
        <f t="shared" si="20"/>
        <v>Morning</v>
      </c>
      <c r="AO360" t="str">
        <f t="shared" si="21"/>
        <v>Peak</v>
      </c>
      <c r="AP360" t="str">
        <f t="shared" si="22"/>
        <v>Medium</v>
      </c>
      <c r="AQ360" t="str">
        <f t="shared" si="23"/>
        <v>Medium</v>
      </c>
    </row>
    <row r="361" spans="1:43" x14ac:dyDescent="0.3">
      <c r="A361">
        <v>360</v>
      </c>
      <c r="B361" t="s">
        <v>16</v>
      </c>
      <c r="C361" t="s">
        <v>17</v>
      </c>
      <c r="D361" s="1">
        <v>46133</v>
      </c>
      <c r="E361" t="s">
        <v>44</v>
      </c>
      <c r="F361">
        <v>0</v>
      </c>
      <c r="G361">
        <v>10</v>
      </c>
      <c r="H361" t="s">
        <v>19</v>
      </c>
      <c r="I361" t="s">
        <v>11</v>
      </c>
      <c r="J361">
        <v>1.18</v>
      </c>
      <c r="K361" t="s">
        <v>12</v>
      </c>
      <c r="L361">
        <v>0</v>
      </c>
      <c r="M361">
        <v>3.32</v>
      </c>
      <c r="N361">
        <v>26</v>
      </c>
      <c r="O361" t="s">
        <v>22</v>
      </c>
      <c r="P361">
        <v>4</v>
      </c>
      <c r="Q361">
        <v>2.4</v>
      </c>
      <c r="R361">
        <v>25.1</v>
      </c>
      <c r="S361">
        <v>103.09</v>
      </c>
      <c r="T361">
        <v>38.54</v>
      </c>
      <c r="U361">
        <v>1.08</v>
      </c>
      <c r="V361">
        <v>8.25</v>
      </c>
      <c r="W361">
        <v>149.88</v>
      </c>
      <c r="X361">
        <v>47.4</v>
      </c>
      <c r="Y361">
        <v>101.38</v>
      </c>
      <c r="Z361">
        <v>5.13</v>
      </c>
      <c r="AA361">
        <v>2.4700000000000002</v>
      </c>
      <c r="AB361">
        <v>142.28</v>
      </c>
      <c r="AC361">
        <v>340.11155378486058</v>
      </c>
      <c r="AD361">
        <v>59.283333333333339</v>
      </c>
      <c r="AE361">
        <v>67.06</v>
      </c>
      <c r="AF361">
        <v>16.55</v>
      </c>
      <c r="AG361">
        <v>0</v>
      </c>
      <c r="AH361">
        <v>0.11</v>
      </c>
      <c r="AI361">
        <v>26.11</v>
      </c>
      <c r="AJ361">
        <v>317.31</v>
      </c>
      <c r="AK361">
        <v>64.39</v>
      </c>
      <c r="AL361" t="s">
        <v>23</v>
      </c>
      <c r="AM361" t="s">
        <v>24</v>
      </c>
      <c r="AN361" t="str">
        <f t="shared" si="20"/>
        <v>Morning</v>
      </c>
      <c r="AO361" t="str">
        <f t="shared" si="21"/>
        <v>Peak</v>
      </c>
      <c r="AP361" t="str">
        <f t="shared" si="22"/>
        <v>High</v>
      </c>
      <c r="AQ361" t="str">
        <f t="shared" si="23"/>
        <v>Low</v>
      </c>
    </row>
    <row r="362" spans="1:43" x14ac:dyDescent="0.3">
      <c r="A362">
        <v>361</v>
      </c>
      <c r="B362" t="s">
        <v>16</v>
      </c>
      <c r="C362" t="s">
        <v>17</v>
      </c>
      <c r="D362" s="1">
        <v>46057</v>
      </c>
      <c r="E362" t="s">
        <v>18</v>
      </c>
      <c r="F362">
        <v>0</v>
      </c>
      <c r="G362">
        <v>22</v>
      </c>
      <c r="H362" t="s">
        <v>19</v>
      </c>
      <c r="I362" t="s">
        <v>42</v>
      </c>
      <c r="J362">
        <v>1.08</v>
      </c>
      <c r="K362" t="s">
        <v>21</v>
      </c>
      <c r="L362">
        <v>0</v>
      </c>
      <c r="M362">
        <v>2.1</v>
      </c>
      <c r="N362">
        <v>29</v>
      </c>
      <c r="O362" t="s">
        <v>22</v>
      </c>
      <c r="P362">
        <v>5</v>
      </c>
      <c r="Q362">
        <v>2.0099999999999998</v>
      </c>
      <c r="R362">
        <v>19.399999999999999</v>
      </c>
      <c r="S362">
        <v>91.59</v>
      </c>
      <c r="T362">
        <v>32.090000000000003</v>
      </c>
      <c r="U362">
        <v>1.06</v>
      </c>
      <c r="V362">
        <v>5.5</v>
      </c>
      <c r="W362">
        <v>129.18</v>
      </c>
      <c r="X362">
        <v>47.9</v>
      </c>
      <c r="Y362">
        <v>105.96</v>
      </c>
      <c r="Z362">
        <v>4.45</v>
      </c>
      <c r="AA362">
        <v>9.41</v>
      </c>
      <c r="AB362">
        <v>115.32</v>
      </c>
      <c r="AC362">
        <v>356.65979381443299</v>
      </c>
      <c r="AD362">
        <v>57.373134328358212</v>
      </c>
      <c r="AE362">
        <v>71.900000000000006</v>
      </c>
      <c r="AF362">
        <v>19.920000000000002</v>
      </c>
      <c r="AG362">
        <v>0</v>
      </c>
      <c r="AH362">
        <v>10</v>
      </c>
      <c r="AI362">
        <v>39</v>
      </c>
      <c r="AJ362">
        <v>333.96</v>
      </c>
      <c r="AK362">
        <v>73.680000000000007</v>
      </c>
      <c r="AL362" t="s">
        <v>23</v>
      </c>
      <c r="AM362" t="s">
        <v>24</v>
      </c>
      <c r="AN362" t="str">
        <f t="shared" si="20"/>
        <v>Night</v>
      </c>
      <c r="AO362" t="str">
        <f t="shared" si="21"/>
        <v>Off-Peak</v>
      </c>
      <c r="AP362" t="str">
        <f t="shared" si="22"/>
        <v>High</v>
      </c>
      <c r="AQ362" t="str">
        <f t="shared" si="23"/>
        <v>Low</v>
      </c>
    </row>
    <row r="363" spans="1:43" x14ac:dyDescent="0.3">
      <c r="A363">
        <v>362</v>
      </c>
      <c r="B363" t="s">
        <v>23</v>
      </c>
      <c r="C363" t="s">
        <v>17</v>
      </c>
      <c r="D363" s="1">
        <v>46134</v>
      </c>
      <c r="E363" t="s">
        <v>18</v>
      </c>
      <c r="F363">
        <v>0</v>
      </c>
      <c r="G363">
        <v>20</v>
      </c>
      <c r="H363" t="s">
        <v>40</v>
      </c>
      <c r="I363" t="s">
        <v>42</v>
      </c>
      <c r="J363">
        <v>1.08</v>
      </c>
      <c r="K363" t="s">
        <v>34</v>
      </c>
      <c r="L363">
        <v>1</v>
      </c>
      <c r="M363">
        <v>4.8600000000000003</v>
      </c>
      <c r="N363">
        <v>88</v>
      </c>
      <c r="O363" t="s">
        <v>13</v>
      </c>
      <c r="P363">
        <v>11</v>
      </c>
      <c r="Q363">
        <v>1.69</v>
      </c>
      <c r="R363">
        <v>35.1</v>
      </c>
      <c r="S363">
        <v>79.03</v>
      </c>
      <c r="T363">
        <v>93.92</v>
      </c>
      <c r="U363">
        <v>1.31</v>
      </c>
      <c r="V363">
        <v>24.5</v>
      </c>
      <c r="W363">
        <v>197.45</v>
      </c>
      <c r="X363">
        <v>40.200000000000003</v>
      </c>
      <c r="Y363">
        <v>107.98</v>
      </c>
      <c r="Z363">
        <v>4.55</v>
      </c>
      <c r="AA363">
        <v>8.86</v>
      </c>
      <c r="AB363">
        <v>184.04</v>
      </c>
      <c r="AC363">
        <v>314.59829059829053</v>
      </c>
      <c r="AD363">
        <v>108.89940828402366</v>
      </c>
      <c r="AE363">
        <v>60.69</v>
      </c>
      <c r="AF363">
        <v>16.440000000000001</v>
      </c>
      <c r="AG363">
        <v>1</v>
      </c>
      <c r="AH363">
        <v>3.17</v>
      </c>
      <c r="AI363">
        <v>91.17</v>
      </c>
      <c r="AJ363">
        <v>331.59</v>
      </c>
      <c r="AK363">
        <v>73.66</v>
      </c>
      <c r="AL363" t="s">
        <v>23</v>
      </c>
      <c r="AM363" t="s">
        <v>24</v>
      </c>
      <c r="AN363" t="str">
        <f t="shared" si="20"/>
        <v>Night</v>
      </c>
      <c r="AO363" t="str">
        <f t="shared" si="21"/>
        <v>Peak</v>
      </c>
      <c r="AP363" t="str">
        <f t="shared" si="22"/>
        <v>High</v>
      </c>
      <c r="AQ363" t="str">
        <f t="shared" si="23"/>
        <v>High</v>
      </c>
    </row>
    <row r="364" spans="1:43" x14ac:dyDescent="0.3">
      <c r="A364">
        <v>363</v>
      </c>
      <c r="B364" t="s">
        <v>14</v>
      </c>
      <c r="C364" t="s">
        <v>8</v>
      </c>
      <c r="D364" s="1">
        <v>46117</v>
      </c>
      <c r="E364" t="s">
        <v>26</v>
      </c>
      <c r="F364">
        <v>1</v>
      </c>
      <c r="G364">
        <v>17</v>
      </c>
      <c r="H364" t="s">
        <v>32</v>
      </c>
      <c r="I364" t="s">
        <v>42</v>
      </c>
      <c r="J364">
        <v>1.08</v>
      </c>
      <c r="K364" t="s">
        <v>12</v>
      </c>
      <c r="L364">
        <v>0</v>
      </c>
      <c r="M364">
        <v>1.96</v>
      </c>
      <c r="N364">
        <v>54</v>
      </c>
      <c r="O364" t="s">
        <v>35</v>
      </c>
      <c r="P364">
        <v>29</v>
      </c>
      <c r="Q364">
        <v>6.81</v>
      </c>
      <c r="R364">
        <v>52.5</v>
      </c>
      <c r="S364">
        <v>101.73</v>
      </c>
      <c r="T364">
        <v>75</v>
      </c>
      <c r="U364">
        <v>1</v>
      </c>
      <c r="V364">
        <v>0</v>
      </c>
      <c r="W364">
        <v>176.73</v>
      </c>
      <c r="X364">
        <v>42.1</v>
      </c>
      <c r="Y364">
        <v>109.48</v>
      </c>
      <c r="Z364">
        <v>17.7</v>
      </c>
      <c r="AA364">
        <v>8.02</v>
      </c>
      <c r="AB364">
        <v>151.01</v>
      </c>
      <c r="AC364">
        <v>172.58285714285714</v>
      </c>
      <c r="AD364">
        <v>22.174743024963288</v>
      </c>
      <c r="AE364">
        <v>67.040000000000006</v>
      </c>
      <c r="AF364">
        <v>14.21</v>
      </c>
      <c r="AG364">
        <v>1</v>
      </c>
      <c r="AH364">
        <v>13.11</v>
      </c>
      <c r="AI364">
        <v>67.11</v>
      </c>
      <c r="AJ364">
        <v>180.72</v>
      </c>
      <c r="AK364">
        <v>70.25</v>
      </c>
      <c r="AL364" t="s">
        <v>14</v>
      </c>
      <c r="AM364" t="s">
        <v>15</v>
      </c>
      <c r="AN364" t="str">
        <f t="shared" si="20"/>
        <v>Evening</v>
      </c>
      <c r="AO364" t="str">
        <f t="shared" si="21"/>
        <v>Peak</v>
      </c>
      <c r="AP364" t="str">
        <f t="shared" si="22"/>
        <v>Medium</v>
      </c>
      <c r="AQ364" t="str">
        <f t="shared" si="23"/>
        <v>Medium</v>
      </c>
    </row>
    <row r="365" spans="1:43" x14ac:dyDescent="0.3">
      <c r="A365">
        <v>364</v>
      </c>
      <c r="B365" t="s">
        <v>23</v>
      </c>
      <c r="C365" t="s">
        <v>17</v>
      </c>
      <c r="D365" s="1">
        <v>46032</v>
      </c>
      <c r="E365" t="s">
        <v>31</v>
      </c>
      <c r="F365">
        <v>1</v>
      </c>
      <c r="G365">
        <v>13</v>
      </c>
      <c r="H365" t="s">
        <v>19</v>
      </c>
      <c r="I365" t="s">
        <v>28</v>
      </c>
      <c r="J365">
        <v>1.03</v>
      </c>
      <c r="K365" t="s">
        <v>12</v>
      </c>
      <c r="L365">
        <v>0</v>
      </c>
      <c r="M365">
        <v>3.24</v>
      </c>
      <c r="N365">
        <v>34</v>
      </c>
      <c r="O365" t="s">
        <v>22</v>
      </c>
      <c r="P365">
        <v>5</v>
      </c>
      <c r="Q365">
        <v>1.92</v>
      </c>
      <c r="R365">
        <v>26.6</v>
      </c>
      <c r="S365">
        <v>76.91</v>
      </c>
      <c r="T365">
        <v>25.24</v>
      </c>
      <c r="U365">
        <v>1.07</v>
      </c>
      <c r="V365">
        <v>5.38</v>
      </c>
      <c r="W365">
        <v>107.53</v>
      </c>
      <c r="X365">
        <v>47.7</v>
      </c>
      <c r="Y365">
        <v>101.75</v>
      </c>
      <c r="Z365">
        <v>4.09</v>
      </c>
      <c r="AA365">
        <v>11.76</v>
      </c>
      <c r="AB365">
        <v>91.68</v>
      </c>
      <c r="AC365">
        <v>206.79699248120301</v>
      </c>
      <c r="AD365">
        <v>47.750000000000007</v>
      </c>
      <c r="AE365">
        <v>80.98</v>
      </c>
      <c r="AF365">
        <v>13.79</v>
      </c>
      <c r="AG365">
        <v>1</v>
      </c>
      <c r="AH365">
        <v>4.42</v>
      </c>
      <c r="AI365">
        <v>38.42</v>
      </c>
      <c r="AJ365">
        <v>236.46</v>
      </c>
      <c r="AK365">
        <v>73.81</v>
      </c>
      <c r="AL365" t="s">
        <v>14</v>
      </c>
      <c r="AM365" t="s">
        <v>15</v>
      </c>
      <c r="AN365" t="str">
        <f t="shared" si="20"/>
        <v>Afternoon</v>
      </c>
      <c r="AO365" t="str">
        <f t="shared" si="21"/>
        <v>Off-Peak</v>
      </c>
      <c r="AP365" t="str">
        <f t="shared" si="22"/>
        <v>Medium</v>
      </c>
      <c r="AQ365" t="str">
        <f t="shared" si="23"/>
        <v>Low</v>
      </c>
    </row>
    <row r="366" spans="1:43" x14ac:dyDescent="0.3">
      <c r="A366">
        <v>365</v>
      </c>
      <c r="B366" t="s">
        <v>7</v>
      </c>
      <c r="C366" t="s">
        <v>8</v>
      </c>
      <c r="D366" s="1">
        <v>46075</v>
      </c>
      <c r="E366" t="s">
        <v>26</v>
      </c>
      <c r="F366">
        <v>1</v>
      </c>
      <c r="G366">
        <v>10</v>
      </c>
      <c r="H366" t="s">
        <v>49</v>
      </c>
      <c r="I366" t="s">
        <v>39</v>
      </c>
      <c r="J366">
        <v>1.05</v>
      </c>
      <c r="K366" t="s">
        <v>12</v>
      </c>
      <c r="L366">
        <v>0</v>
      </c>
      <c r="M366">
        <v>2.61</v>
      </c>
      <c r="N366">
        <v>31</v>
      </c>
      <c r="O366" t="s">
        <v>22</v>
      </c>
      <c r="P366">
        <v>11</v>
      </c>
      <c r="Q366">
        <v>5.26</v>
      </c>
      <c r="R366">
        <v>39.700000000000003</v>
      </c>
      <c r="S366">
        <v>100.87</v>
      </c>
      <c r="T366">
        <v>53.63</v>
      </c>
      <c r="U366">
        <v>1</v>
      </c>
      <c r="V366">
        <v>0</v>
      </c>
      <c r="W366">
        <v>154.5</v>
      </c>
      <c r="X366">
        <v>48.7</v>
      </c>
      <c r="Y366">
        <v>102.76</v>
      </c>
      <c r="Z366">
        <v>11.11</v>
      </c>
      <c r="AA366">
        <v>7.45</v>
      </c>
      <c r="AB366">
        <v>135.94</v>
      </c>
      <c r="AC366">
        <v>205.45088161209065</v>
      </c>
      <c r="AD366">
        <v>25.844106463878326</v>
      </c>
      <c r="AE366">
        <v>77.260000000000005</v>
      </c>
      <c r="AF366">
        <v>11.48</v>
      </c>
      <c r="AG366">
        <v>1</v>
      </c>
      <c r="AH366">
        <v>-1.68</v>
      </c>
      <c r="AI366">
        <v>29.32</v>
      </c>
      <c r="AJ366">
        <v>204.09</v>
      </c>
      <c r="AK366">
        <v>73.41</v>
      </c>
      <c r="AL366" t="s">
        <v>14</v>
      </c>
      <c r="AM366" t="s">
        <v>15</v>
      </c>
      <c r="AN366" t="str">
        <f t="shared" si="20"/>
        <v>Morning</v>
      </c>
      <c r="AO366" t="str">
        <f t="shared" si="21"/>
        <v>Peak</v>
      </c>
      <c r="AP366" t="str">
        <f t="shared" si="22"/>
        <v>Medium</v>
      </c>
      <c r="AQ366" t="str">
        <f t="shared" si="23"/>
        <v>Low</v>
      </c>
    </row>
    <row r="367" spans="1:43" x14ac:dyDescent="0.3">
      <c r="A367">
        <v>366</v>
      </c>
      <c r="B367" t="s">
        <v>29</v>
      </c>
      <c r="C367" t="s">
        <v>30</v>
      </c>
      <c r="D367" s="1">
        <v>46160</v>
      </c>
      <c r="E367" t="s">
        <v>38</v>
      </c>
      <c r="F367">
        <v>0</v>
      </c>
      <c r="G367">
        <v>20</v>
      </c>
      <c r="H367" t="s">
        <v>32</v>
      </c>
      <c r="I367" t="s">
        <v>20</v>
      </c>
      <c r="J367">
        <v>1.25</v>
      </c>
      <c r="K367" t="s">
        <v>34</v>
      </c>
      <c r="L367">
        <v>1</v>
      </c>
      <c r="M367">
        <v>5</v>
      </c>
      <c r="N367">
        <v>83</v>
      </c>
      <c r="O367" t="s">
        <v>13</v>
      </c>
      <c r="P367">
        <v>28</v>
      </c>
      <c r="Q367">
        <v>2.82</v>
      </c>
      <c r="R367">
        <v>39.6</v>
      </c>
      <c r="S367">
        <v>76.73</v>
      </c>
      <c r="T367">
        <v>82.9</v>
      </c>
      <c r="U367">
        <v>1</v>
      </c>
      <c r="V367">
        <v>0</v>
      </c>
      <c r="W367">
        <v>159.63</v>
      </c>
      <c r="X367">
        <v>37.200000000000003</v>
      </c>
      <c r="Y367">
        <v>100.54</v>
      </c>
      <c r="Z367">
        <v>7.63</v>
      </c>
      <c r="AA367">
        <v>5.48</v>
      </c>
      <c r="AB367">
        <v>146.52000000000001</v>
      </c>
      <c r="AC367">
        <v>222</v>
      </c>
      <c r="AD367">
        <v>51.957446808510646</v>
      </c>
      <c r="AE367">
        <v>70.05</v>
      </c>
      <c r="AF367">
        <v>16.02</v>
      </c>
      <c r="AG367">
        <v>1</v>
      </c>
      <c r="AH367">
        <v>-14.59</v>
      </c>
      <c r="AI367">
        <v>68.41</v>
      </c>
      <c r="AJ367">
        <v>214.5</v>
      </c>
      <c r="AK367">
        <v>69.5</v>
      </c>
      <c r="AL367" t="s">
        <v>23</v>
      </c>
      <c r="AM367" t="s">
        <v>24</v>
      </c>
      <c r="AN367" t="str">
        <f t="shared" si="20"/>
        <v>Night</v>
      </c>
      <c r="AO367" t="str">
        <f t="shared" si="21"/>
        <v>Peak</v>
      </c>
      <c r="AP367" t="str">
        <f t="shared" si="22"/>
        <v>Medium</v>
      </c>
      <c r="AQ367" t="str">
        <f t="shared" si="23"/>
        <v>High</v>
      </c>
    </row>
    <row r="368" spans="1:43" x14ac:dyDescent="0.3">
      <c r="A368">
        <v>367</v>
      </c>
      <c r="B368" t="s">
        <v>29</v>
      </c>
      <c r="C368" t="s">
        <v>30</v>
      </c>
      <c r="D368" s="1">
        <v>46118</v>
      </c>
      <c r="E368" t="s">
        <v>38</v>
      </c>
      <c r="F368">
        <v>0</v>
      </c>
      <c r="G368">
        <v>19</v>
      </c>
      <c r="H368" t="s">
        <v>32</v>
      </c>
      <c r="I368" t="s">
        <v>28</v>
      </c>
      <c r="J368">
        <v>1.03</v>
      </c>
      <c r="K368" t="s">
        <v>12</v>
      </c>
      <c r="L368">
        <v>0</v>
      </c>
      <c r="M368">
        <v>4.3600000000000003</v>
      </c>
      <c r="N368">
        <v>69</v>
      </c>
      <c r="O368" t="s">
        <v>35</v>
      </c>
      <c r="P368">
        <v>13</v>
      </c>
      <c r="Q368">
        <v>7.94</v>
      </c>
      <c r="R368">
        <v>64</v>
      </c>
      <c r="S368">
        <v>93.92</v>
      </c>
      <c r="T368">
        <v>81.22</v>
      </c>
      <c r="U368">
        <v>1</v>
      </c>
      <c r="V368">
        <v>0</v>
      </c>
      <c r="W368">
        <v>175.14</v>
      </c>
      <c r="X368">
        <v>37.700000000000003</v>
      </c>
      <c r="Y368">
        <v>109.89</v>
      </c>
      <c r="Z368">
        <v>23.12</v>
      </c>
      <c r="AA368">
        <v>7.65</v>
      </c>
      <c r="AB368">
        <v>144.37</v>
      </c>
      <c r="AC368">
        <v>135.34687500000001</v>
      </c>
      <c r="AD368">
        <v>18.182619647355164</v>
      </c>
      <c r="AE368">
        <v>81.900000000000006</v>
      </c>
      <c r="AF368">
        <v>16.2</v>
      </c>
      <c r="AG368">
        <v>1</v>
      </c>
      <c r="AH368">
        <v>6.71</v>
      </c>
      <c r="AI368">
        <v>75.709999999999994</v>
      </c>
      <c r="AJ368">
        <v>141.47</v>
      </c>
      <c r="AK368">
        <v>71.27</v>
      </c>
      <c r="AL368" t="s">
        <v>14</v>
      </c>
      <c r="AM368" t="s">
        <v>15</v>
      </c>
      <c r="AN368" t="str">
        <f t="shared" si="20"/>
        <v>Night</v>
      </c>
      <c r="AO368" t="str">
        <f t="shared" si="21"/>
        <v>Peak</v>
      </c>
      <c r="AP368" t="str">
        <f t="shared" si="22"/>
        <v>Low</v>
      </c>
      <c r="AQ368" t="str">
        <f t="shared" si="23"/>
        <v>Medium</v>
      </c>
    </row>
    <row r="369" spans="1:43" x14ac:dyDescent="0.3">
      <c r="A369">
        <v>368</v>
      </c>
      <c r="B369" t="s">
        <v>48</v>
      </c>
      <c r="C369" t="s">
        <v>30</v>
      </c>
      <c r="D369" s="1">
        <v>46279</v>
      </c>
      <c r="E369" t="s">
        <v>38</v>
      </c>
      <c r="F369">
        <v>0</v>
      </c>
      <c r="G369">
        <v>10</v>
      </c>
      <c r="H369" t="s">
        <v>47</v>
      </c>
      <c r="I369" t="s">
        <v>37</v>
      </c>
      <c r="J369">
        <v>1.02</v>
      </c>
      <c r="K369" t="s">
        <v>21</v>
      </c>
      <c r="L369">
        <v>0</v>
      </c>
      <c r="M369">
        <v>3.99</v>
      </c>
      <c r="N369">
        <v>20</v>
      </c>
      <c r="O369" t="s">
        <v>22</v>
      </c>
      <c r="P369">
        <v>5</v>
      </c>
      <c r="Q369">
        <v>12.94</v>
      </c>
      <c r="R369">
        <v>79.8</v>
      </c>
      <c r="S369">
        <v>175.48</v>
      </c>
      <c r="T369">
        <v>17.12</v>
      </c>
      <c r="U369">
        <v>1</v>
      </c>
      <c r="V369">
        <v>0</v>
      </c>
      <c r="W369">
        <v>192.6</v>
      </c>
      <c r="X369">
        <v>40.200000000000003</v>
      </c>
      <c r="Y369">
        <v>107.81</v>
      </c>
      <c r="Z369">
        <v>34.700000000000003</v>
      </c>
      <c r="AA369">
        <v>2.2799999999999998</v>
      </c>
      <c r="AB369">
        <v>155.62</v>
      </c>
      <c r="AC369">
        <v>117.0075187969925</v>
      </c>
      <c r="AD369">
        <v>12.026275115919629</v>
      </c>
      <c r="AE369">
        <v>66.569999999999993</v>
      </c>
      <c r="AF369">
        <v>17.940000000000001</v>
      </c>
      <c r="AG369">
        <v>0</v>
      </c>
      <c r="AH369">
        <v>4.5</v>
      </c>
      <c r="AI369">
        <v>24.5</v>
      </c>
      <c r="AJ369">
        <v>112.76</v>
      </c>
      <c r="AK369">
        <v>70.349999999999994</v>
      </c>
      <c r="AL369" t="s">
        <v>14</v>
      </c>
      <c r="AM369" t="s">
        <v>15</v>
      </c>
      <c r="AN369" t="str">
        <f t="shared" si="20"/>
        <v>Morning</v>
      </c>
      <c r="AO369" t="str">
        <f t="shared" si="21"/>
        <v>Peak</v>
      </c>
      <c r="AP369" t="str">
        <f t="shared" si="22"/>
        <v>Low</v>
      </c>
      <c r="AQ369" t="str">
        <f t="shared" si="23"/>
        <v>Low</v>
      </c>
    </row>
    <row r="370" spans="1:43" x14ac:dyDescent="0.3">
      <c r="A370">
        <v>369</v>
      </c>
      <c r="B370" t="s">
        <v>7</v>
      </c>
      <c r="C370" t="s">
        <v>8</v>
      </c>
      <c r="D370" s="1">
        <v>46146</v>
      </c>
      <c r="E370" t="s">
        <v>38</v>
      </c>
      <c r="F370">
        <v>0</v>
      </c>
      <c r="G370">
        <v>16</v>
      </c>
      <c r="H370" t="s">
        <v>32</v>
      </c>
      <c r="I370" t="s">
        <v>28</v>
      </c>
      <c r="J370">
        <v>1.03</v>
      </c>
      <c r="K370" t="s">
        <v>21</v>
      </c>
      <c r="L370">
        <v>0</v>
      </c>
      <c r="M370">
        <v>2.4</v>
      </c>
      <c r="N370">
        <v>31</v>
      </c>
      <c r="O370" t="s">
        <v>22</v>
      </c>
      <c r="P370">
        <v>16</v>
      </c>
      <c r="Q370">
        <v>1</v>
      </c>
      <c r="R370">
        <v>19.399999999999999</v>
      </c>
      <c r="S370">
        <v>57.28</v>
      </c>
      <c r="T370">
        <v>23.67</v>
      </c>
      <c r="U370">
        <v>1</v>
      </c>
      <c r="V370">
        <v>0</v>
      </c>
      <c r="W370">
        <v>80.95</v>
      </c>
      <c r="X370">
        <v>46.6</v>
      </c>
      <c r="Y370">
        <v>104.81</v>
      </c>
      <c r="Z370">
        <v>2.25</v>
      </c>
      <c r="AA370">
        <v>7.79</v>
      </c>
      <c r="AB370">
        <v>70.91</v>
      </c>
      <c r="AC370">
        <v>219.30927835051548</v>
      </c>
      <c r="AD370">
        <v>70.91</v>
      </c>
      <c r="AE370">
        <v>80.260000000000005</v>
      </c>
      <c r="AF370">
        <v>11.67</v>
      </c>
      <c r="AG370">
        <v>0</v>
      </c>
      <c r="AH370">
        <v>-11.89</v>
      </c>
      <c r="AI370">
        <v>19.11</v>
      </c>
      <c r="AJ370">
        <v>211.77</v>
      </c>
      <c r="AK370">
        <v>69.94</v>
      </c>
      <c r="AL370" t="s">
        <v>14</v>
      </c>
      <c r="AM370" t="s">
        <v>15</v>
      </c>
      <c r="AN370" t="str">
        <f t="shared" si="20"/>
        <v>Evening</v>
      </c>
      <c r="AO370" t="str">
        <f t="shared" si="21"/>
        <v>Off-Peak</v>
      </c>
      <c r="AP370" t="str">
        <f t="shared" si="22"/>
        <v>Medium</v>
      </c>
      <c r="AQ370" t="str">
        <f t="shared" si="23"/>
        <v>Low</v>
      </c>
    </row>
    <row r="371" spans="1:43" x14ac:dyDescent="0.3">
      <c r="A371">
        <v>370</v>
      </c>
      <c r="B371" t="s">
        <v>16</v>
      </c>
      <c r="C371" t="s">
        <v>17</v>
      </c>
      <c r="D371" s="1">
        <v>46270</v>
      </c>
      <c r="E371" t="s">
        <v>31</v>
      </c>
      <c r="F371">
        <v>1</v>
      </c>
      <c r="G371">
        <v>16</v>
      </c>
      <c r="H371" t="s">
        <v>19</v>
      </c>
      <c r="I371" t="s">
        <v>28</v>
      </c>
      <c r="J371">
        <v>1.03</v>
      </c>
      <c r="K371" t="s">
        <v>34</v>
      </c>
      <c r="L371">
        <v>1</v>
      </c>
      <c r="M371">
        <v>3.54</v>
      </c>
      <c r="N371">
        <v>76</v>
      </c>
      <c r="O371" t="s">
        <v>13</v>
      </c>
      <c r="P371">
        <v>15</v>
      </c>
      <c r="Q371">
        <v>2.14</v>
      </c>
      <c r="R371">
        <v>25.1</v>
      </c>
      <c r="S371">
        <v>87.95</v>
      </c>
      <c r="T371">
        <v>94.54</v>
      </c>
      <c r="U371">
        <v>1.18</v>
      </c>
      <c r="V371">
        <v>15.83</v>
      </c>
      <c r="W371">
        <v>198.32</v>
      </c>
      <c r="X371">
        <v>48.1</v>
      </c>
      <c r="Y371">
        <v>105.76</v>
      </c>
      <c r="Z371">
        <v>4.7</v>
      </c>
      <c r="AA371">
        <v>11.02</v>
      </c>
      <c r="AB371">
        <v>182.6</v>
      </c>
      <c r="AC371">
        <v>436.49402390438246</v>
      </c>
      <c r="AD371">
        <v>85.327102803738313</v>
      </c>
      <c r="AE371">
        <v>77.150000000000006</v>
      </c>
      <c r="AF371">
        <v>15.98</v>
      </c>
      <c r="AG371">
        <v>1</v>
      </c>
      <c r="AH371">
        <v>11.73</v>
      </c>
      <c r="AI371">
        <v>87.73</v>
      </c>
      <c r="AJ371">
        <v>400</v>
      </c>
      <c r="AK371">
        <v>70.28</v>
      </c>
      <c r="AL371" t="s">
        <v>23</v>
      </c>
      <c r="AM371" t="s">
        <v>24</v>
      </c>
      <c r="AN371" t="str">
        <f t="shared" si="20"/>
        <v>Evening</v>
      </c>
      <c r="AO371" t="str">
        <f t="shared" si="21"/>
        <v>Off-Peak</v>
      </c>
      <c r="AP371" t="str">
        <f t="shared" si="22"/>
        <v>High</v>
      </c>
      <c r="AQ371" t="str">
        <f t="shared" si="23"/>
        <v>High</v>
      </c>
    </row>
    <row r="372" spans="1:43" x14ac:dyDescent="0.3">
      <c r="A372">
        <v>371</v>
      </c>
      <c r="B372" t="s">
        <v>48</v>
      </c>
      <c r="C372" t="s">
        <v>30</v>
      </c>
      <c r="D372" s="1">
        <v>46193</v>
      </c>
      <c r="E372" t="s">
        <v>31</v>
      </c>
      <c r="F372">
        <v>1</v>
      </c>
      <c r="G372">
        <v>14</v>
      </c>
      <c r="H372" t="s">
        <v>43</v>
      </c>
      <c r="I372" t="s">
        <v>45</v>
      </c>
      <c r="J372">
        <v>1</v>
      </c>
      <c r="K372" t="s">
        <v>12</v>
      </c>
      <c r="L372">
        <v>0</v>
      </c>
      <c r="M372">
        <v>2.2200000000000002</v>
      </c>
      <c r="N372">
        <v>30</v>
      </c>
      <c r="O372" t="s">
        <v>22</v>
      </c>
      <c r="P372">
        <v>6</v>
      </c>
      <c r="Q372">
        <v>2.79</v>
      </c>
      <c r="R372">
        <v>26.5</v>
      </c>
      <c r="S372">
        <v>84.9</v>
      </c>
      <c r="T372">
        <v>58.56</v>
      </c>
      <c r="U372">
        <v>1</v>
      </c>
      <c r="V372">
        <v>0</v>
      </c>
      <c r="W372">
        <v>143.46</v>
      </c>
      <c r="X372">
        <v>43.7</v>
      </c>
      <c r="Y372">
        <v>105.62</v>
      </c>
      <c r="Z372">
        <v>6.74</v>
      </c>
      <c r="AA372">
        <v>2.04</v>
      </c>
      <c r="AB372">
        <v>134.68</v>
      </c>
      <c r="AC372">
        <v>304.93584905660379</v>
      </c>
      <c r="AD372">
        <v>48.272401433691755</v>
      </c>
      <c r="AE372">
        <v>71.8</v>
      </c>
      <c r="AF372">
        <v>12.61</v>
      </c>
      <c r="AG372">
        <v>1</v>
      </c>
      <c r="AH372">
        <v>22.02</v>
      </c>
      <c r="AI372">
        <v>52.02</v>
      </c>
      <c r="AJ372">
        <v>286.20999999999998</v>
      </c>
      <c r="AK372">
        <v>65.260000000000005</v>
      </c>
      <c r="AL372" t="s">
        <v>14</v>
      </c>
      <c r="AM372" t="s">
        <v>15</v>
      </c>
      <c r="AN372" t="str">
        <f t="shared" si="20"/>
        <v>Afternoon</v>
      </c>
      <c r="AO372" t="str">
        <f t="shared" si="21"/>
        <v>Off-Peak</v>
      </c>
      <c r="AP372" t="str">
        <f t="shared" si="22"/>
        <v>High</v>
      </c>
      <c r="AQ372" t="str">
        <f t="shared" si="23"/>
        <v>Low</v>
      </c>
    </row>
    <row r="373" spans="1:43" x14ac:dyDescent="0.3">
      <c r="A373">
        <v>372</v>
      </c>
      <c r="B373" t="s">
        <v>25</v>
      </c>
      <c r="C373" t="s">
        <v>17</v>
      </c>
      <c r="D373" s="1">
        <v>46033</v>
      </c>
      <c r="E373" t="s">
        <v>26</v>
      </c>
      <c r="F373">
        <v>1</v>
      </c>
      <c r="G373">
        <v>21</v>
      </c>
      <c r="H373" t="s">
        <v>19</v>
      </c>
      <c r="I373" t="s">
        <v>50</v>
      </c>
      <c r="J373">
        <v>1.2</v>
      </c>
      <c r="K373" t="s">
        <v>21</v>
      </c>
      <c r="L373">
        <v>0</v>
      </c>
      <c r="M373">
        <v>3.77</v>
      </c>
      <c r="N373">
        <v>83</v>
      </c>
      <c r="O373" t="s">
        <v>13</v>
      </c>
      <c r="P373">
        <v>19</v>
      </c>
      <c r="Q373">
        <v>3.57</v>
      </c>
      <c r="R373">
        <v>45</v>
      </c>
      <c r="S373">
        <v>107.49</v>
      </c>
      <c r="T373">
        <v>97.49</v>
      </c>
      <c r="U373">
        <v>1.25</v>
      </c>
      <c r="V373">
        <v>26.87</v>
      </c>
      <c r="W373">
        <v>231.85</v>
      </c>
      <c r="X373">
        <v>36.700000000000003</v>
      </c>
      <c r="Y373">
        <v>102.54</v>
      </c>
      <c r="Z373">
        <v>9.9700000000000006</v>
      </c>
      <c r="AA373">
        <v>10.45</v>
      </c>
      <c r="AB373">
        <v>211.43</v>
      </c>
      <c r="AC373">
        <v>281.90666666666669</v>
      </c>
      <c r="AD373">
        <v>59.224089635854348</v>
      </c>
      <c r="AE373">
        <v>77.91</v>
      </c>
      <c r="AF373">
        <v>15.97</v>
      </c>
      <c r="AG373">
        <v>1</v>
      </c>
      <c r="AH373">
        <v>-6.9</v>
      </c>
      <c r="AI373">
        <v>76.099999999999994</v>
      </c>
      <c r="AJ373">
        <v>291.77999999999997</v>
      </c>
      <c r="AK373">
        <v>71.63</v>
      </c>
      <c r="AL373" t="s">
        <v>14</v>
      </c>
      <c r="AM373" t="s">
        <v>15</v>
      </c>
      <c r="AN373" t="str">
        <f t="shared" si="20"/>
        <v>Night</v>
      </c>
      <c r="AO373" t="str">
        <f t="shared" si="21"/>
        <v>Off-Peak</v>
      </c>
      <c r="AP373" t="str">
        <f t="shared" si="22"/>
        <v>High</v>
      </c>
      <c r="AQ373" t="str">
        <f t="shared" si="23"/>
        <v>High</v>
      </c>
    </row>
    <row r="374" spans="1:43" x14ac:dyDescent="0.3">
      <c r="A374">
        <v>373</v>
      </c>
      <c r="B374" t="s">
        <v>48</v>
      </c>
      <c r="C374" t="s">
        <v>30</v>
      </c>
      <c r="D374" s="1">
        <v>46075</v>
      </c>
      <c r="E374" t="s">
        <v>26</v>
      </c>
      <c r="F374">
        <v>1</v>
      </c>
      <c r="G374">
        <v>8</v>
      </c>
      <c r="H374" t="s">
        <v>47</v>
      </c>
      <c r="I374" t="s">
        <v>33</v>
      </c>
      <c r="J374">
        <v>1</v>
      </c>
      <c r="K374" t="s">
        <v>34</v>
      </c>
      <c r="L374">
        <v>1</v>
      </c>
      <c r="M374">
        <v>3.29</v>
      </c>
      <c r="N374">
        <v>43</v>
      </c>
      <c r="O374" t="s">
        <v>35</v>
      </c>
      <c r="P374">
        <v>13</v>
      </c>
      <c r="Q374">
        <v>3.4</v>
      </c>
      <c r="R374">
        <v>36.9</v>
      </c>
      <c r="S374">
        <v>87.47</v>
      </c>
      <c r="T374">
        <v>55.05</v>
      </c>
      <c r="U374">
        <v>1</v>
      </c>
      <c r="V374">
        <v>0</v>
      </c>
      <c r="W374">
        <v>142.52000000000001</v>
      </c>
      <c r="X374">
        <v>39.6</v>
      </c>
      <c r="Y374">
        <v>101.85</v>
      </c>
      <c r="Z374">
        <v>8.77</v>
      </c>
      <c r="AA374">
        <v>10.02</v>
      </c>
      <c r="AB374">
        <v>123.73</v>
      </c>
      <c r="AC374">
        <v>201.1869918699187</v>
      </c>
      <c r="AD374">
        <v>36.391176470588235</v>
      </c>
      <c r="AE374">
        <v>95.92</v>
      </c>
      <c r="AF374">
        <v>17.3</v>
      </c>
      <c r="AG374">
        <v>1</v>
      </c>
      <c r="AH374">
        <v>-7.91</v>
      </c>
      <c r="AI374">
        <v>35.090000000000003</v>
      </c>
      <c r="AJ374">
        <v>215.76</v>
      </c>
      <c r="AK374">
        <v>73.78</v>
      </c>
      <c r="AL374" t="s">
        <v>23</v>
      </c>
      <c r="AM374" t="s">
        <v>24</v>
      </c>
      <c r="AN374" t="str">
        <f t="shared" si="20"/>
        <v>Morning</v>
      </c>
      <c r="AO374" t="str">
        <f t="shared" si="21"/>
        <v>Peak</v>
      </c>
      <c r="AP374" t="str">
        <f t="shared" si="22"/>
        <v>Medium</v>
      </c>
      <c r="AQ374" t="str">
        <f t="shared" si="23"/>
        <v>Medium</v>
      </c>
    </row>
    <row r="375" spans="1:43" x14ac:dyDescent="0.3">
      <c r="A375">
        <v>374</v>
      </c>
      <c r="B375" t="s">
        <v>48</v>
      </c>
      <c r="C375" t="s">
        <v>30</v>
      </c>
      <c r="D375" s="1">
        <v>46205</v>
      </c>
      <c r="E375" t="s">
        <v>41</v>
      </c>
      <c r="F375">
        <v>0</v>
      </c>
      <c r="G375">
        <v>11</v>
      </c>
      <c r="H375" t="s">
        <v>43</v>
      </c>
      <c r="I375" t="s">
        <v>11</v>
      </c>
      <c r="J375">
        <v>1.18</v>
      </c>
      <c r="K375" t="s">
        <v>12</v>
      </c>
      <c r="L375">
        <v>0</v>
      </c>
      <c r="M375">
        <v>2.42</v>
      </c>
      <c r="N375">
        <v>50</v>
      </c>
      <c r="O375" t="s">
        <v>35</v>
      </c>
      <c r="P375">
        <v>12</v>
      </c>
      <c r="Q375">
        <v>1.35</v>
      </c>
      <c r="R375">
        <v>20.100000000000001</v>
      </c>
      <c r="S375">
        <v>62.84</v>
      </c>
      <c r="T375">
        <v>50.57</v>
      </c>
      <c r="U375">
        <v>1</v>
      </c>
      <c r="V375">
        <v>0</v>
      </c>
      <c r="W375">
        <v>113.41</v>
      </c>
      <c r="X375">
        <v>47.9</v>
      </c>
      <c r="Y375">
        <v>102.97</v>
      </c>
      <c r="Z375">
        <v>2.91</v>
      </c>
      <c r="AA375">
        <v>3.06</v>
      </c>
      <c r="AB375">
        <v>107.44</v>
      </c>
      <c r="AC375">
        <v>320.71641791044772</v>
      </c>
      <c r="AD375">
        <v>79.585185185185182</v>
      </c>
      <c r="AE375">
        <v>69.930000000000007</v>
      </c>
      <c r="AF375">
        <v>13.09</v>
      </c>
      <c r="AG375">
        <v>0</v>
      </c>
      <c r="AH375">
        <v>-8.4600000000000009</v>
      </c>
      <c r="AI375">
        <v>41.54</v>
      </c>
      <c r="AJ375">
        <v>342.69</v>
      </c>
      <c r="AK375">
        <v>68.58</v>
      </c>
      <c r="AL375" t="s">
        <v>14</v>
      </c>
      <c r="AM375" t="s">
        <v>15</v>
      </c>
      <c r="AN375" t="str">
        <f t="shared" si="20"/>
        <v>Afternoon</v>
      </c>
      <c r="AO375" t="str">
        <f t="shared" si="21"/>
        <v>Off-Peak</v>
      </c>
      <c r="AP375" t="str">
        <f t="shared" si="22"/>
        <v>High</v>
      </c>
      <c r="AQ375" t="str">
        <f t="shared" si="23"/>
        <v>Medium</v>
      </c>
    </row>
    <row r="376" spans="1:43" x14ac:dyDescent="0.3">
      <c r="A376">
        <v>375</v>
      </c>
      <c r="B376" t="s">
        <v>23</v>
      </c>
      <c r="C376" t="s">
        <v>17</v>
      </c>
      <c r="D376" s="1">
        <v>46163</v>
      </c>
      <c r="E376" t="s">
        <v>41</v>
      </c>
      <c r="F376">
        <v>0</v>
      </c>
      <c r="G376">
        <v>8</v>
      </c>
      <c r="H376" t="s">
        <v>27</v>
      </c>
      <c r="I376" t="s">
        <v>46</v>
      </c>
      <c r="J376">
        <v>1.1499999999999999</v>
      </c>
      <c r="K376" t="s">
        <v>21</v>
      </c>
      <c r="L376">
        <v>0</v>
      </c>
      <c r="M376">
        <v>3.13</v>
      </c>
      <c r="N376">
        <v>74</v>
      </c>
      <c r="O376" t="s">
        <v>13</v>
      </c>
      <c r="P376">
        <v>9</v>
      </c>
      <c r="Q376">
        <v>13.11</v>
      </c>
      <c r="R376">
        <v>85.7</v>
      </c>
      <c r="S376">
        <v>193.61</v>
      </c>
      <c r="T376">
        <v>100</v>
      </c>
      <c r="U376">
        <v>1.23</v>
      </c>
      <c r="V376">
        <v>44.53</v>
      </c>
      <c r="W376">
        <v>338.14</v>
      </c>
      <c r="X376">
        <v>40.200000000000003</v>
      </c>
      <c r="Y376">
        <v>102.47</v>
      </c>
      <c r="Z376">
        <v>33.409999999999997</v>
      </c>
      <c r="AA376">
        <v>10.47</v>
      </c>
      <c r="AB376">
        <v>294.26</v>
      </c>
      <c r="AC376">
        <v>206.01633605600932</v>
      </c>
      <c r="AD376">
        <v>22.445461479786424</v>
      </c>
      <c r="AE376">
        <v>79.73</v>
      </c>
      <c r="AF376">
        <v>12.17</v>
      </c>
      <c r="AG376">
        <v>1</v>
      </c>
      <c r="AH376">
        <v>-22.18</v>
      </c>
      <c r="AI376">
        <v>51.82</v>
      </c>
      <c r="AJ376">
        <v>218.7</v>
      </c>
      <c r="AK376">
        <v>70.55</v>
      </c>
      <c r="AL376" t="s">
        <v>23</v>
      </c>
      <c r="AM376" t="s">
        <v>24</v>
      </c>
      <c r="AN376" t="str">
        <f t="shared" si="20"/>
        <v>Morning</v>
      </c>
      <c r="AO376" t="str">
        <f t="shared" si="21"/>
        <v>Peak</v>
      </c>
      <c r="AP376" t="str">
        <f t="shared" si="22"/>
        <v>Medium</v>
      </c>
      <c r="AQ376" t="str">
        <f t="shared" si="23"/>
        <v>High</v>
      </c>
    </row>
    <row r="377" spans="1:43" x14ac:dyDescent="0.3">
      <c r="A377">
        <v>376</v>
      </c>
      <c r="B377" t="s">
        <v>7</v>
      </c>
      <c r="C377" t="s">
        <v>8</v>
      </c>
      <c r="D377" s="1">
        <v>46100</v>
      </c>
      <c r="E377" t="s">
        <v>41</v>
      </c>
      <c r="F377">
        <v>0</v>
      </c>
      <c r="G377">
        <v>18</v>
      </c>
      <c r="H377" t="s">
        <v>51</v>
      </c>
      <c r="I377" t="s">
        <v>50</v>
      </c>
      <c r="J377">
        <v>1.2</v>
      </c>
      <c r="K377" t="s">
        <v>12</v>
      </c>
      <c r="L377">
        <v>0</v>
      </c>
      <c r="M377">
        <v>2.97</v>
      </c>
      <c r="N377">
        <v>77</v>
      </c>
      <c r="O377" t="s">
        <v>13</v>
      </c>
      <c r="P377">
        <v>20</v>
      </c>
      <c r="Q377">
        <v>3.5</v>
      </c>
      <c r="R377">
        <v>32.700000000000003</v>
      </c>
      <c r="S377">
        <v>77.95</v>
      </c>
      <c r="T377">
        <v>65.17</v>
      </c>
      <c r="U377">
        <v>1</v>
      </c>
      <c r="V377">
        <v>0</v>
      </c>
      <c r="W377">
        <v>143.12</v>
      </c>
      <c r="X377">
        <v>36.5</v>
      </c>
      <c r="Y377">
        <v>105.58</v>
      </c>
      <c r="Z377">
        <v>10.11</v>
      </c>
      <c r="AA377">
        <v>9.64</v>
      </c>
      <c r="AB377">
        <v>123.37</v>
      </c>
      <c r="AC377">
        <v>226.36697247706422</v>
      </c>
      <c r="AD377">
        <v>35.248571428571431</v>
      </c>
      <c r="AE377">
        <v>84.41</v>
      </c>
      <c r="AF377">
        <v>16.850000000000001</v>
      </c>
      <c r="AG377">
        <v>1</v>
      </c>
      <c r="AH377">
        <v>33.07</v>
      </c>
      <c r="AI377">
        <v>110.07</v>
      </c>
      <c r="AJ377">
        <v>250.05</v>
      </c>
      <c r="AK377">
        <v>65.97</v>
      </c>
      <c r="AL377" t="s">
        <v>14</v>
      </c>
      <c r="AM377" t="s">
        <v>15</v>
      </c>
      <c r="AN377" t="str">
        <f t="shared" si="20"/>
        <v>Night</v>
      </c>
      <c r="AO377" t="str">
        <f t="shared" si="21"/>
        <v>Peak</v>
      </c>
      <c r="AP377" t="str">
        <f t="shared" si="22"/>
        <v>Medium</v>
      </c>
      <c r="AQ377" t="str">
        <f t="shared" si="23"/>
        <v>High</v>
      </c>
    </row>
    <row r="378" spans="1:43" x14ac:dyDescent="0.3">
      <c r="A378">
        <v>377</v>
      </c>
      <c r="B378" t="s">
        <v>16</v>
      </c>
      <c r="C378" t="s">
        <v>17</v>
      </c>
      <c r="D378" s="1">
        <v>46157</v>
      </c>
      <c r="E378" t="s">
        <v>9</v>
      </c>
      <c r="F378">
        <v>0</v>
      </c>
      <c r="G378">
        <v>17</v>
      </c>
      <c r="H378" t="s">
        <v>40</v>
      </c>
      <c r="I378" t="s">
        <v>39</v>
      </c>
      <c r="J378">
        <v>1.05</v>
      </c>
      <c r="K378" t="s">
        <v>21</v>
      </c>
      <c r="L378">
        <v>0</v>
      </c>
      <c r="M378">
        <v>2.23</v>
      </c>
      <c r="N378">
        <v>52</v>
      </c>
      <c r="O378" t="s">
        <v>35</v>
      </c>
      <c r="P378">
        <v>12</v>
      </c>
      <c r="Q378">
        <v>5.72</v>
      </c>
      <c r="R378">
        <v>49.8</v>
      </c>
      <c r="S378">
        <v>134.94</v>
      </c>
      <c r="T378">
        <v>67.569999999999993</v>
      </c>
      <c r="U378">
        <v>1.19</v>
      </c>
      <c r="V378">
        <v>25.64</v>
      </c>
      <c r="W378">
        <v>228.15</v>
      </c>
      <c r="X378">
        <v>39.5</v>
      </c>
      <c r="Y378">
        <v>103.08</v>
      </c>
      <c r="Z378">
        <v>14.91</v>
      </c>
      <c r="AA378">
        <v>6.91</v>
      </c>
      <c r="AB378">
        <v>206.33</v>
      </c>
      <c r="AC378">
        <v>248.59036144578317</v>
      </c>
      <c r="AD378">
        <v>36.071678321678327</v>
      </c>
      <c r="AE378">
        <v>68.459999999999994</v>
      </c>
      <c r="AF378">
        <v>15.27</v>
      </c>
      <c r="AG378">
        <v>1</v>
      </c>
      <c r="AH378">
        <v>-3.73</v>
      </c>
      <c r="AI378">
        <v>48.27</v>
      </c>
      <c r="AJ378">
        <v>250.17</v>
      </c>
      <c r="AK378">
        <v>78.95</v>
      </c>
      <c r="AL378" t="s">
        <v>23</v>
      </c>
      <c r="AM378" t="s">
        <v>24</v>
      </c>
      <c r="AN378" t="str">
        <f t="shared" si="20"/>
        <v>Evening</v>
      </c>
      <c r="AO378" t="str">
        <f t="shared" si="21"/>
        <v>Peak</v>
      </c>
      <c r="AP378" t="str">
        <f t="shared" si="22"/>
        <v>Medium</v>
      </c>
      <c r="AQ378" t="str">
        <f t="shared" si="23"/>
        <v>Medium</v>
      </c>
    </row>
    <row r="379" spans="1:43" x14ac:dyDescent="0.3">
      <c r="A379">
        <v>378</v>
      </c>
      <c r="B379" t="s">
        <v>16</v>
      </c>
      <c r="C379" t="s">
        <v>17</v>
      </c>
      <c r="D379" s="1">
        <v>46255</v>
      </c>
      <c r="E379" t="s">
        <v>9</v>
      </c>
      <c r="F379">
        <v>0</v>
      </c>
      <c r="G379">
        <v>22</v>
      </c>
      <c r="H379" t="s">
        <v>19</v>
      </c>
      <c r="I379" t="s">
        <v>33</v>
      </c>
      <c r="J379">
        <v>1</v>
      </c>
      <c r="K379" t="s">
        <v>12</v>
      </c>
      <c r="L379">
        <v>0</v>
      </c>
      <c r="M379">
        <v>2.15</v>
      </c>
      <c r="N379">
        <v>22</v>
      </c>
      <c r="O379" t="s">
        <v>22</v>
      </c>
      <c r="P379">
        <v>4</v>
      </c>
      <c r="Q379">
        <v>5.84</v>
      </c>
      <c r="R379">
        <v>49.9</v>
      </c>
      <c r="S379">
        <v>121.72</v>
      </c>
      <c r="T379">
        <v>17.53</v>
      </c>
      <c r="U379">
        <v>1.06</v>
      </c>
      <c r="V379">
        <v>7.3</v>
      </c>
      <c r="W379">
        <v>146.55000000000001</v>
      </c>
      <c r="X379">
        <v>47.1</v>
      </c>
      <c r="Y379">
        <v>107.29</v>
      </c>
      <c r="Z379">
        <v>13.31</v>
      </c>
      <c r="AA379">
        <v>4.45</v>
      </c>
      <c r="AB379">
        <v>128.79</v>
      </c>
      <c r="AC379">
        <v>154.8577154308617</v>
      </c>
      <c r="AD379">
        <v>22.05308219178082</v>
      </c>
      <c r="AE379">
        <v>61.01</v>
      </c>
      <c r="AF379">
        <v>14.77</v>
      </c>
      <c r="AG379">
        <v>0</v>
      </c>
      <c r="AH379">
        <v>-9.8800000000000008</v>
      </c>
      <c r="AI379">
        <v>12.12</v>
      </c>
      <c r="AJ379">
        <v>150.22999999999999</v>
      </c>
      <c r="AK379">
        <v>68.319999999999993</v>
      </c>
      <c r="AL379" t="s">
        <v>23</v>
      </c>
      <c r="AM379" t="s">
        <v>24</v>
      </c>
      <c r="AN379" t="str">
        <f t="shared" si="20"/>
        <v>Night</v>
      </c>
      <c r="AO379" t="str">
        <f t="shared" si="21"/>
        <v>Off-Peak</v>
      </c>
      <c r="AP379" t="str">
        <f t="shared" si="22"/>
        <v>Medium</v>
      </c>
      <c r="AQ379" t="str">
        <f t="shared" si="23"/>
        <v>Low</v>
      </c>
    </row>
    <row r="380" spans="1:43" x14ac:dyDescent="0.3">
      <c r="A380">
        <v>379</v>
      </c>
      <c r="B380" t="s">
        <v>48</v>
      </c>
      <c r="C380" t="s">
        <v>30</v>
      </c>
      <c r="D380" s="1">
        <v>46123</v>
      </c>
      <c r="E380" t="s">
        <v>31</v>
      </c>
      <c r="F380">
        <v>1</v>
      </c>
      <c r="G380">
        <v>15</v>
      </c>
      <c r="H380" t="s">
        <v>43</v>
      </c>
      <c r="I380" t="s">
        <v>46</v>
      </c>
      <c r="J380">
        <v>1.1499999999999999</v>
      </c>
      <c r="K380" t="s">
        <v>12</v>
      </c>
      <c r="L380">
        <v>0</v>
      </c>
      <c r="M380">
        <v>3.5</v>
      </c>
      <c r="N380">
        <v>51</v>
      </c>
      <c r="O380" t="s">
        <v>35</v>
      </c>
      <c r="P380">
        <v>10</v>
      </c>
      <c r="Q380">
        <v>1.08</v>
      </c>
      <c r="R380">
        <v>27.2</v>
      </c>
      <c r="S380">
        <v>58.56</v>
      </c>
      <c r="T380">
        <v>35.340000000000003</v>
      </c>
      <c r="U380">
        <v>1</v>
      </c>
      <c r="V380">
        <v>0</v>
      </c>
      <c r="W380">
        <v>93.9</v>
      </c>
      <c r="X380">
        <v>42.4</v>
      </c>
      <c r="Y380">
        <v>105.68</v>
      </c>
      <c r="Z380">
        <v>2.7</v>
      </c>
      <c r="AA380">
        <v>4.88</v>
      </c>
      <c r="AB380">
        <v>86.32</v>
      </c>
      <c r="AC380">
        <v>190.41176470588235</v>
      </c>
      <c r="AD380">
        <v>79.92592592592591</v>
      </c>
      <c r="AE380">
        <v>71.27</v>
      </c>
      <c r="AF380">
        <v>18.399999999999999</v>
      </c>
      <c r="AG380">
        <v>1</v>
      </c>
      <c r="AH380">
        <v>-13.9</v>
      </c>
      <c r="AI380">
        <v>37.1</v>
      </c>
      <c r="AJ380">
        <v>210.94</v>
      </c>
      <c r="AK380">
        <v>67.69</v>
      </c>
      <c r="AL380" t="s">
        <v>14</v>
      </c>
      <c r="AM380" t="s">
        <v>15</v>
      </c>
      <c r="AN380" t="str">
        <f t="shared" si="20"/>
        <v>Evening</v>
      </c>
      <c r="AO380" t="str">
        <f t="shared" si="21"/>
        <v>Off-Peak</v>
      </c>
      <c r="AP380" t="str">
        <f t="shared" si="22"/>
        <v>Medium</v>
      </c>
      <c r="AQ380" t="str">
        <f t="shared" si="23"/>
        <v>Medium</v>
      </c>
    </row>
    <row r="381" spans="1:43" x14ac:dyDescent="0.3">
      <c r="A381">
        <v>380</v>
      </c>
      <c r="B381" t="s">
        <v>14</v>
      </c>
      <c r="C381" t="s">
        <v>8</v>
      </c>
      <c r="D381" s="1">
        <v>46034</v>
      </c>
      <c r="E381" t="s">
        <v>38</v>
      </c>
      <c r="F381">
        <v>0</v>
      </c>
      <c r="G381">
        <v>9</v>
      </c>
      <c r="H381" t="s">
        <v>49</v>
      </c>
      <c r="I381" t="s">
        <v>37</v>
      </c>
      <c r="J381">
        <v>1.02</v>
      </c>
      <c r="K381" t="s">
        <v>12</v>
      </c>
      <c r="L381">
        <v>0</v>
      </c>
      <c r="M381">
        <v>1.72</v>
      </c>
      <c r="N381">
        <v>19</v>
      </c>
      <c r="O381" t="s">
        <v>22</v>
      </c>
      <c r="P381">
        <v>8</v>
      </c>
      <c r="Q381">
        <v>3.15</v>
      </c>
      <c r="R381">
        <v>21.6</v>
      </c>
      <c r="S381">
        <v>83.78</v>
      </c>
      <c r="T381">
        <v>18.489999999999998</v>
      </c>
      <c r="U381">
        <v>1</v>
      </c>
      <c r="V381">
        <v>0</v>
      </c>
      <c r="W381">
        <v>102.27</v>
      </c>
      <c r="X381">
        <v>37.6</v>
      </c>
      <c r="Y381">
        <v>105.32</v>
      </c>
      <c r="Z381">
        <v>8.84</v>
      </c>
      <c r="AA381">
        <v>8.1199999999999992</v>
      </c>
      <c r="AB381">
        <v>85.31</v>
      </c>
      <c r="AC381">
        <v>236.9722222222222</v>
      </c>
      <c r="AD381">
        <v>27.082539682539686</v>
      </c>
      <c r="AE381">
        <v>79.599999999999994</v>
      </c>
      <c r="AF381">
        <v>14.08</v>
      </c>
      <c r="AG381">
        <v>0</v>
      </c>
      <c r="AH381">
        <v>-2.82</v>
      </c>
      <c r="AI381">
        <v>16.18</v>
      </c>
      <c r="AJ381">
        <v>216.57</v>
      </c>
      <c r="AK381">
        <v>71.16</v>
      </c>
      <c r="AL381" t="s">
        <v>14</v>
      </c>
      <c r="AM381" t="s">
        <v>15</v>
      </c>
      <c r="AN381" t="str">
        <f t="shared" si="20"/>
        <v>Morning</v>
      </c>
      <c r="AO381" t="str">
        <f t="shared" si="21"/>
        <v>Peak</v>
      </c>
      <c r="AP381" t="str">
        <f t="shared" si="22"/>
        <v>Medium</v>
      </c>
      <c r="AQ381" t="str">
        <f t="shared" si="23"/>
        <v>Low</v>
      </c>
    </row>
    <row r="382" spans="1:43" x14ac:dyDescent="0.3">
      <c r="A382">
        <v>381</v>
      </c>
      <c r="B382" t="s">
        <v>7</v>
      </c>
      <c r="C382" t="s">
        <v>8</v>
      </c>
      <c r="D382" s="1">
        <v>46103</v>
      </c>
      <c r="E382" t="s">
        <v>26</v>
      </c>
      <c r="F382">
        <v>1</v>
      </c>
      <c r="G382">
        <v>14</v>
      </c>
      <c r="H382" t="s">
        <v>10</v>
      </c>
      <c r="I382" t="s">
        <v>42</v>
      </c>
      <c r="J382">
        <v>1.08</v>
      </c>
      <c r="K382" t="s">
        <v>12</v>
      </c>
      <c r="L382">
        <v>0</v>
      </c>
      <c r="M382">
        <v>3.01</v>
      </c>
      <c r="N382">
        <v>102</v>
      </c>
      <c r="O382" t="s">
        <v>13</v>
      </c>
      <c r="P382">
        <v>53</v>
      </c>
      <c r="Q382">
        <v>6.81</v>
      </c>
      <c r="R382">
        <v>62.1</v>
      </c>
      <c r="S382">
        <v>99.27</v>
      </c>
      <c r="T382">
        <v>100</v>
      </c>
      <c r="U382">
        <v>1</v>
      </c>
      <c r="V382">
        <v>0</v>
      </c>
      <c r="W382">
        <v>199.27</v>
      </c>
      <c r="X382">
        <v>39.700000000000003</v>
      </c>
      <c r="Y382">
        <v>109.51</v>
      </c>
      <c r="Z382">
        <v>18.79</v>
      </c>
      <c r="AA382">
        <v>4.46</v>
      </c>
      <c r="AB382">
        <v>176.02</v>
      </c>
      <c r="AC382">
        <v>170.06763285024158</v>
      </c>
      <c r="AD382">
        <v>25.847283406754777</v>
      </c>
      <c r="AE382">
        <v>77.42</v>
      </c>
      <c r="AF382">
        <v>11.7</v>
      </c>
      <c r="AG382">
        <v>1</v>
      </c>
      <c r="AH382">
        <v>-7.43</v>
      </c>
      <c r="AI382">
        <v>94.57</v>
      </c>
      <c r="AJ382">
        <v>172</v>
      </c>
      <c r="AK382">
        <v>88.9</v>
      </c>
      <c r="AL382" t="s">
        <v>14</v>
      </c>
      <c r="AM382" t="s">
        <v>15</v>
      </c>
      <c r="AN382" t="str">
        <f t="shared" si="20"/>
        <v>Afternoon</v>
      </c>
      <c r="AO382" t="str">
        <f t="shared" si="21"/>
        <v>Off-Peak</v>
      </c>
      <c r="AP382" t="str">
        <f t="shared" si="22"/>
        <v>Medium</v>
      </c>
      <c r="AQ382" t="str">
        <f t="shared" si="23"/>
        <v>High</v>
      </c>
    </row>
    <row r="383" spans="1:43" x14ac:dyDescent="0.3">
      <c r="A383">
        <v>382</v>
      </c>
      <c r="B383" t="s">
        <v>23</v>
      </c>
      <c r="C383" t="s">
        <v>17</v>
      </c>
      <c r="D383" s="1">
        <v>46264</v>
      </c>
      <c r="E383" t="s">
        <v>26</v>
      </c>
      <c r="F383">
        <v>1</v>
      </c>
      <c r="G383">
        <v>8</v>
      </c>
      <c r="H383" t="s">
        <v>27</v>
      </c>
      <c r="I383" t="s">
        <v>42</v>
      </c>
      <c r="J383">
        <v>1.08</v>
      </c>
      <c r="K383" t="s">
        <v>12</v>
      </c>
      <c r="L383">
        <v>0</v>
      </c>
      <c r="M383">
        <v>5</v>
      </c>
      <c r="N383">
        <v>117</v>
      </c>
      <c r="O383" t="s">
        <v>13</v>
      </c>
      <c r="P383">
        <v>14</v>
      </c>
      <c r="Q383">
        <v>10.09</v>
      </c>
      <c r="R383">
        <v>75.400000000000006</v>
      </c>
      <c r="S383">
        <v>166.15</v>
      </c>
      <c r="T383">
        <v>100</v>
      </c>
      <c r="U383">
        <v>1.23</v>
      </c>
      <c r="V383">
        <v>38.21</v>
      </c>
      <c r="W383">
        <v>304.36</v>
      </c>
      <c r="X383">
        <v>49.3</v>
      </c>
      <c r="Y383">
        <v>103.22</v>
      </c>
      <c r="Z383">
        <v>21.13</v>
      </c>
      <c r="AA383">
        <v>5.25</v>
      </c>
      <c r="AB383">
        <v>277.98</v>
      </c>
      <c r="AC383">
        <v>221.20424403183023</v>
      </c>
      <c r="AD383">
        <v>27.550049554013878</v>
      </c>
      <c r="AE383">
        <v>79.510000000000005</v>
      </c>
      <c r="AF383">
        <v>13.4</v>
      </c>
      <c r="AG383">
        <v>1</v>
      </c>
      <c r="AH383">
        <v>24.57</v>
      </c>
      <c r="AI383">
        <v>141.57</v>
      </c>
      <c r="AJ383">
        <v>246.27</v>
      </c>
      <c r="AK383">
        <v>78.680000000000007</v>
      </c>
      <c r="AL383" t="s">
        <v>23</v>
      </c>
      <c r="AM383" t="s">
        <v>24</v>
      </c>
      <c r="AN383" t="str">
        <f t="shared" si="20"/>
        <v>Morning</v>
      </c>
      <c r="AO383" t="str">
        <f t="shared" si="21"/>
        <v>Peak</v>
      </c>
      <c r="AP383" t="str">
        <f t="shared" si="22"/>
        <v>Medium</v>
      </c>
      <c r="AQ383" t="str">
        <f t="shared" si="23"/>
        <v>High</v>
      </c>
    </row>
    <row r="384" spans="1:43" x14ac:dyDescent="0.3">
      <c r="A384">
        <v>383</v>
      </c>
      <c r="B384" t="s">
        <v>23</v>
      </c>
      <c r="C384" t="s">
        <v>17</v>
      </c>
      <c r="D384" s="1">
        <v>46219</v>
      </c>
      <c r="E384" t="s">
        <v>41</v>
      </c>
      <c r="F384">
        <v>0</v>
      </c>
      <c r="G384">
        <v>17</v>
      </c>
      <c r="H384" t="s">
        <v>40</v>
      </c>
      <c r="I384" t="s">
        <v>39</v>
      </c>
      <c r="J384">
        <v>1.05</v>
      </c>
      <c r="K384" t="s">
        <v>21</v>
      </c>
      <c r="L384">
        <v>0</v>
      </c>
      <c r="M384">
        <v>3.59</v>
      </c>
      <c r="N384">
        <v>57</v>
      </c>
      <c r="O384" t="s">
        <v>35</v>
      </c>
      <c r="P384">
        <v>7</v>
      </c>
      <c r="Q384">
        <v>3.2</v>
      </c>
      <c r="R384">
        <v>35.200000000000003</v>
      </c>
      <c r="S384">
        <v>90.64</v>
      </c>
      <c r="T384">
        <v>76.209999999999994</v>
      </c>
      <c r="U384">
        <v>1.29</v>
      </c>
      <c r="V384">
        <v>26.29</v>
      </c>
      <c r="W384">
        <v>193.14</v>
      </c>
      <c r="X384">
        <v>41.5</v>
      </c>
      <c r="Y384">
        <v>106.35</v>
      </c>
      <c r="Z384">
        <v>8.2200000000000006</v>
      </c>
      <c r="AA384">
        <v>11.31</v>
      </c>
      <c r="AB384">
        <v>173.61</v>
      </c>
      <c r="AC384">
        <v>295.92613636363637</v>
      </c>
      <c r="AD384">
        <v>54.253125000000004</v>
      </c>
      <c r="AE384">
        <v>83.85</v>
      </c>
      <c r="AF384">
        <v>15.18</v>
      </c>
      <c r="AG384">
        <v>1</v>
      </c>
      <c r="AH384">
        <v>-15.73</v>
      </c>
      <c r="AI384">
        <v>41.27</v>
      </c>
      <c r="AJ384">
        <v>301.04000000000002</v>
      </c>
      <c r="AK384">
        <v>70.02</v>
      </c>
      <c r="AL384" t="s">
        <v>23</v>
      </c>
      <c r="AM384" t="s">
        <v>24</v>
      </c>
      <c r="AN384" t="str">
        <f t="shared" si="20"/>
        <v>Evening</v>
      </c>
      <c r="AO384" t="str">
        <f t="shared" si="21"/>
        <v>Peak</v>
      </c>
      <c r="AP384" t="str">
        <f t="shared" si="22"/>
        <v>High</v>
      </c>
      <c r="AQ384" t="str">
        <f t="shared" si="23"/>
        <v>Medium</v>
      </c>
    </row>
    <row r="385" spans="1:43" x14ac:dyDescent="0.3">
      <c r="A385">
        <v>384</v>
      </c>
      <c r="B385" t="s">
        <v>14</v>
      </c>
      <c r="C385" t="s">
        <v>8</v>
      </c>
      <c r="D385" s="1">
        <v>46239</v>
      </c>
      <c r="E385" t="s">
        <v>18</v>
      </c>
      <c r="F385">
        <v>0</v>
      </c>
      <c r="G385">
        <v>17</v>
      </c>
      <c r="H385" t="s">
        <v>32</v>
      </c>
      <c r="I385" t="s">
        <v>20</v>
      </c>
      <c r="J385">
        <v>1.25</v>
      </c>
      <c r="K385" t="s">
        <v>12</v>
      </c>
      <c r="L385">
        <v>0</v>
      </c>
      <c r="M385">
        <v>3.26</v>
      </c>
      <c r="N385">
        <v>15</v>
      </c>
      <c r="O385" t="s">
        <v>22</v>
      </c>
      <c r="P385">
        <v>6</v>
      </c>
      <c r="Q385">
        <v>1.28</v>
      </c>
      <c r="R385">
        <v>31.6</v>
      </c>
      <c r="S385">
        <v>59.81</v>
      </c>
      <c r="T385">
        <v>30.49</v>
      </c>
      <c r="U385">
        <v>1</v>
      </c>
      <c r="V385">
        <v>0</v>
      </c>
      <c r="W385">
        <v>90.3</v>
      </c>
      <c r="X385">
        <v>41.6</v>
      </c>
      <c r="Y385">
        <v>100</v>
      </c>
      <c r="Z385">
        <v>3.08</v>
      </c>
      <c r="AA385">
        <v>9.2899999999999991</v>
      </c>
      <c r="AB385">
        <v>77.930000000000007</v>
      </c>
      <c r="AC385">
        <v>147.96835443037975</v>
      </c>
      <c r="AD385">
        <v>60.882812500000007</v>
      </c>
      <c r="AE385">
        <v>66.75</v>
      </c>
      <c r="AF385">
        <v>17.899999999999999</v>
      </c>
      <c r="AG385">
        <v>0</v>
      </c>
      <c r="AH385">
        <v>-20.079999999999998</v>
      </c>
      <c r="AI385">
        <v>5</v>
      </c>
      <c r="AJ385">
        <v>143.78</v>
      </c>
      <c r="AK385">
        <v>60</v>
      </c>
      <c r="AL385" t="s">
        <v>14</v>
      </c>
      <c r="AM385" t="s">
        <v>15</v>
      </c>
      <c r="AN385" t="str">
        <f t="shared" si="20"/>
        <v>Evening</v>
      </c>
      <c r="AO385" t="str">
        <f t="shared" si="21"/>
        <v>Peak</v>
      </c>
      <c r="AP385" t="str">
        <f t="shared" si="22"/>
        <v>Low</v>
      </c>
      <c r="AQ385" t="str">
        <f t="shared" si="23"/>
        <v>Low</v>
      </c>
    </row>
    <row r="386" spans="1:43" x14ac:dyDescent="0.3">
      <c r="A386">
        <v>385</v>
      </c>
      <c r="B386" t="s">
        <v>7</v>
      </c>
      <c r="C386" t="s">
        <v>8</v>
      </c>
      <c r="D386" s="1">
        <v>46258</v>
      </c>
      <c r="E386" t="s">
        <v>38</v>
      </c>
      <c r="F386">
        <v>0</v>
      </c>
      <c r="G386">
        <v>20</v>
      </c>
      <c r="H386" t="s">
        <v>51</v>
      </c>
      <c r="I386" t="s">
        <v>37</v>
      </c>
      <c r="J386">
        <v>1.02</v>
      </c>
      <c r="K386" t="s">
        <v>12</v>
      </c>
      <c r="L386">
        <v>0</v>
      </c>
      <c r="M386">
        <v>4.6100000000000003</v>
      </c>
      <c r="N386">
        <v>57</v>
      </c>
      <c r="O386" t="s">
        <v>35</v>
      </c>
      <c r="P386">
        <v>26</v>
      </c>
      <c r="Q386">
        <v>2.6</v>
      </c>
      <c r="R386">
        <v>41.7</v>
      </c>
      <c r="S386">
        <v>57.82</v>
      </c>
      <c r="T386">
        <v>68.17</v>
      </c>
      <c r="U386">
        <v>1</v>
      </c>
      <c r="V386">
        <v>0</v>
      </c>
      <c r="W386">
        <v>125.99</v>
      </c>
      <c r="X386">
        <v>37.299999999999997</v>
      </c>
      <c r="Y386">
        <v>107.37</v>
      </c>
      <c r="Z386">
        <v>7.5</v>
      </c>
      <c r="AA386">
        <v>9.36</v>
      </c>
      <c r="AB386">
        <v>109.13</v>
      </c>
      <c r="AC386">
        <v>157.02158273381292</v>
      </c>
      <c r="AD386">
        <v>41.973076923076917</v>
      </c>
      <c r="AE386">
        <v>75.849999999999994</v>
      </c>
      <c r="AF386">
        <v>19.71</v>
      </c>
      <c r="AG386">
        <v>1</v>
      </c>
      <c r="AH386">
        <v>11.28</v>
      </c>
      <c r="AI386">
        <v>68.28</v>
      </c>
      <c r="AJ386">
        <v>161.09</v>
      </c>
      <c r="AK386">
        <v>69.569999999999993</v>
      </c>
      <c r="AL386" t="s">
        <v>14</v>
      </c>
      <c r="AM386" t="s">
        <v>15</v>
      </c>
      <c r="AN386" t="str">
        <f t="shared" si="20"/>
        <v>Night</v>
      </c>
      <c r="AO386" t="str">
        <f t="shared" si="21"/>
        <v>Peak</v>
      </c>
      <c r="AP386" t="str">
        <f t="shared" si="22"/>
        <v>Medium</v>
      </c>
      <c r="AQ386" t="str">
        <f t="shared" si="23"/>
        <v>Medium</v>
      </c>
    </row>
    <row r="387" spans="1:43" x14ac:dyDescent="0.3">
      <c r="A387">
        <v>386</v>
      </c>
      <c r="B387" t="s">
        <v>7</v>
      </c>
      <c r="C387" t="s">
        <v>8</v>
      </c>
      <c r="D387" s="1">
        <v>46053</v>
      </c>
      <c r="E387" t="s">
        <v>31</v>
      </c>
      <c r="F387">
        <v>1</v>
      </c>
      <c r="G387">
        <v>12</v>
      </c>
      <c r="H387" t="s">
        <v>10</v>
      </c>
      <c r="I387" t="s">
        <v>50</v>
      </c>
      <c r="J387">
        <v>1.2</v>
      </c>
      <c r="K387" t="s">
        <v>21</v>
      </c>
      <c r="L387">
        <v>0</v>
      </c>
      <c r="M387">
        <v>4.63</v>
      </c>
      <c r="N387">
        <v>111</v>
      </c>
      <c r="O387" t="s">
        <v>13</v>
      </c>
      <c r="P387">
        <v>44</v>
      </c>
      <c r="Q387">
        <v>3.1</v>
      </c>
      <c r="R387">
        <v>47</v>
      </c>
      <c r="S387">
        <v>69.03</v>
      </c>
      <c r="T387">
        <v>100</v>
      </c>
      <c r="U387">
        <v>1</v>
      </c>
      <c r="V387">
        <v>0</v>
      </c>
      <c r="W387">
        <v>169.03</v>
      </c>
      <c r="X387">
        <v>39.6</v>
      </c>
      <c r="Y387">
        <v>105.03</v>
      </c>
      <c r="Z387">
        <v>8.23</v>
      </c>
      <c r="AA387">
        <v>11.56</v>
      </c>
      <c r="AB387">
        <v>149.24</v>
      </c>
      <c r="AC387">
        <v>190.51914893617024</v>
      </c>
      <c r="AD387">
        <v>48.141935483870967</v>
      </c>
      <c r="AE387">
        <v>68.77</v>
      </c>
      <c r="AF387">
        <v>15.11</v>
      </c>
      <c r="AG387">
        <v>1</v>
      </c>
      <c r="AH387">
        <v>1.39</v>
      </c>
      <c r="AI387">
        <v>112.39</v>
      </c>
      <c r="AJ387">
        <v>200.17</v>
      </c>
      <c r="AK387">
        <v>86.81</v>
      </c>
      <c r="AL387" t="s">
        <v>14</v>
      </c>
      <c r="AM387" t="s">
        <v>15</v>
      </c>
      <c r="AN387" t="str">
        <f t="shared" ref="AN387:AN450" si="24">IF(G387&lt;11,"Morning",IF(G387&lt;15,"Afternoon",IF(G387&lt;18,"Evening","Night")))</f>
        <v>Afternoon</v>
      </c>
      <c r="AO387" t="str">
        <f t="shared" ref="AO387:AO450" si="25">IF(OR(AND(G387&gt;=7,G387&lt;=10),AND(G387&gt;=17,G387&lt;=20)),"Peak","Off-Peak")</f>
        <v>Off-Peak</v>
      </c>
      <c r="AP387" t="str">
        <f t="shared" ref="AP387:AP450" si="26">IF(AC387&lt;150,"Low",IF(AC387&lt;=250,"Medium","High"))</f>
        <v>Medium</v>
      </c>
      <c r="AQ387" t="str">
        <f t="shared" ref="AQ387:AQ450" si="27">IF(N387&lt;=35,"Low",IF(N387&lt;=70,"Medium","High"))</f>
        <v>High</v>
      </c>
    </row>
    <row r="388" spans="1:43" x14ac:dyDescent="0.3">
      <c r="A388">
        <v>387</v>
      </c>
      <c r="B388" t="s">
        <v>7</v>
      </c>
      <c r="C388" t="s">
        <v>8</v>
      </c>
      <c r="D388" s="1">
        <v>46095</v>
      </c>
      <c r="E388" t="s">
        <v>31</v>
      </c>
      <c r="F388">
        <v>1</v>
      </c>
      <c r="G388">
        <v>11</v>
      </c>
      <c r="H388" t="s">
        <v>10</v>
      </c>
      <c r="I388" t="s">
        <v>11</v>
      </c>
      <c r="J388">
        <v>1.18</v>
      </c>
      <c r="K388" t="s">
        <v>21</v>
      </c>
      <c r="L388">
        <v>0</v>
      </c>
      <c r="M388">
        <v>1.78</v>
      </c>
      <c r="N388">
        <v>58</v>
      </c>
      <c r="O388" t="s">
        <v>35</v>
      </c>
      <c r="P388">
        <v>30</v>
      </c>
      <c r="Q388">
        <v>3.01</v>
      </c>
      <c r="R388">
        <v>25.4</v>
      </c>
      <c r="S388">
        <v>73.7</v>
      </c>
      <c r="T388">
        <v>48.04</v>
      </c>
      <c r="U388">
        <v>1</v>
      </c>
      <c r="V388">
        <v>0</v>
      </c>
      <c r="W388">
        <v>121.74</v>
      </c>
      <c r="X388">
        <v>47.2</v>
      </c>
      <c r="Y388">
        <v>102.08</v>
      </c>
      <c r="Z388">
        <v>6.51</v>
      </c>
      <c r="AA388">
        <v>2.06</v>
      </c>
      <c r="AB388">
        <v>113.17</v>
      </c>
      <c r="AC388">
        <v>267.33070866141736</v>
      </c>
      <c r="AD388">
        <v>37.598006644518279</v>
      </c>
      <c r="AE388">
        <v>79.209999999999994</v>
      </c>
      <c r="AF388">
        <v>15.07</v>
      </c>
      <c r="AG388">
        <v>1</v>
      </c>
      <c r="AH388">
        <v>-0.34</v>
      </c>
      <c r="AI388">
        <v>57.66</v>
      </c>
      <c r="AJ388">
        <v>283.95999999999998</v>
      </c>
      <c r="AK388">
        <v>73.02</v>
      </c>
      <c r="AL388" t="s">
        <v>14</v>
      </c>
      <c r="AM388" t="s">
        <v>15</v>
      </c>
      <c r="AN388" t="str">
        <f t="shared" si="24"/>
        <v>Afternoon</v>
      </c>
      <c r="AO388" t="str">
        <f t="shared" si="25"/>
        <v>Off-Peak</v>
      </c>
      <c r="AP388" t="str">
        <f t="shared" si="26"/>
        <v>High</v>
      </c>
      <c r="AQ388" t="str">
        <f t="shared" si="27"/>
        <v>Medium</v>
      </c>
    </row>
    <row r="389" spans="1:43" x14ac:dyDescent="0.3">
      <c r="A389">
        <v>388</v>
      </c>
      <c r="B389" t="s">
        <v>16</v>
      </c>
      <c r="C389" t="s">
        <v>17</v>
      </c>
      <c r="D389" s="1">
        <v>46038</v>
      </c>
      <c r="E389" t="s">
        <v>9</v>
      </c>
      <c r="F389">
        <v>0</v>
      </c>
      <c r="G389">
        <v>8</v>
      </c>
      <c r="H389" t="s">
        <v>27</v>
      </c>
      <c r="I389" t="s">
        <v>45</v>
      </c>
      <c r="J389">
        <v>1</v>
      </c>
      <c r="K389" t="s">
        <v>12</v>
      </c>
      <c r="L389">
        <v>0</v>
      </c>
      <c r="M389">
        <v>3.92</v>
      </c>
      <c r="N389">
        <v>65</v>
      </c>
      <c r="O389" t="s">
        <v>35</v>
      </c>
      <c r="P389">
        <v>8</v>
      </c>
      <c r="Q389">
        <v>2.0099999999999998</v>
      </c>
      <c r="R389">
        <v>34.299999999999997</v>
      </c>
      <c r="S389">
        <v>85.7</v>
      </c>
      <c r="T389">
        <v>68.34</v>
      </c>
      <c r="U389">
        <v>1.3</v>
      </c>
      <c r="V389">
        <v>25.71</v>
      </c>
      <c r="W389">
        <v>179.75</v>
      </c>
      <c r="X389">
        <v>46.8</v>
      </c>
      <c r="Y389">
        <v>100.02</v>
      </c>
      <c r="Z389">
        <v>4.3</v>
      </c>
      <c r="AA389">
        <v>4.4400000000000004</v>
      </c>
      <c r="AB389">
        <v>171.01</v>
      </c>
      <c r="AC389">
        <v>299.14285714285711</v>
      </c>
      <c r="AD389">
        <v>85.079601990049753</v>
      </c>
      <c r="AE389">
        <v>79.040000000000006</v>
      </c>
      <c r="AF389">
        <v>15.17</v>
      </c>
      <c r="AG389">
        <v>1</v>
      </c>
      <c r="AH389">
        <v>11.39</v>
      </c>
      <c r="AI389">
        <v>76.39</v>
      </c>
      <c r="AJ389">
        <v>320.91000000000003</v>
      </c>
      <c r="AK389">
        <v>73.2</v>
      </c>
      <c r="AL389" t="s">
        <v>23</v>
      </c>
      <c r="AM389" t="s">
        <v>24</v>
      </c>
      <c r="AN389" t="str">
        <f t="shared" si="24"/>
        <v>Morning</v>
      </c>
      <c r="AO389" t="str">
        <f t="shared" si="25"/>
        <v>Peak</v>
      </c>
      <c r="AP389" t="str">
        <f t="shared" si="26"/>
        <v>High</v>
      </c>
      <c r="AQ389" t="str">
        <f t="shared" si="27"/>
        <v>Medium</v>
      </c>
    </row>
    <row r="390" spans="1:43" x14ac:dyDescent="0.3">
      <c r="A390">
        <v>389</v>
      </c>
      <c r="B390" t="s">
        <v>23</v>
      </c>
      <c r="C390" t="s">
        <v>17</v>
      </c>
      <c r="D390" s="1">
        <v>46024</v>
      </c>
      <c r="E390" t="s">
        <v>9</v>
      </c>
      <c r="F390">
        <v>0</v>
      </c>
      <c r="G390">
        <v>13</v>
      </c>
      <c r="H390" t="s">
        <v>19</v>
      </c>
      <c r="I390" t="s">
        <v>11</v>
      </c>
      <c r="J390">
        <v>1.18</v>
      </c>
      <c r="K390" t="s">
        <v>34</v>
      </c>
      <c r="L390">
        <v>1</v>
      </c>
      <c r="M390">
        <v>2.21</v>
      </c>
      <c r="N390">
        <v>44</v>
      </c>
      <c r="O390" t="s">
        <v>35</v>
      </c>
      <c r="P390">
        <v>7</v>
      </c>
      <c r="Q390">
        <v>1.1599999999999999</v>
      </c>
      <c r="R390">
        <v>16.100000000000001</v>
      </c>
      <c r="S390">
        <v>78.83</v>
      </c>
      <c r="T390">
        <v>53.67</v>
      </c>
      <c r="U390">
        <v>1.1499999999999999</v>
      </c>
      <c r="V390">
        <v>11.82</v>
      </c>
      <c r="W390">
        <v>144.32</v>
      </c>
      <c r="X390">
        <v>41.5</v>
      </c>
      <c r="Y390">
        <v>107.07</v>
      </c>
      <c r="Z390">
        <v>2.98</v>
      </c>
      <c r="AA390">
        <v>8.58</v>
      </c>
      <c r="AB390">
        <v>132.76</v>
      </c>
      <c r="AC390">
        <v>494.75776397515517</v>
      </c>
      <c r="AD390">
        <v>114.44827586206897</v>
      </c>
      <c r="AE390">
        <v>81.88</v>
      </c>
      <c r="AF390">
        <v>12.2</v>
      </c>
      <c r="AG390">
        <v>0</v>
      </c>
      <c r="AH390">
        <v>5.05</v>
      </c>
      <c r="AI390">
        <v>49.05</v>
      </c>
      <c r="AJ390">
        <v>400</v>
      </c>
      <c r="AK390">
        <v>78.33</v>
      </c>
      <c r="AL390" t="s">
        <v>14</v>
      </c>
      <c r="AM390" t="s">
        <v>15</v>
      </c>
      <c r="AN390" t="str">
        <f t="shared" si="24"/>
        <v>Afternoon</v>
      </c>
      <c r="AO390" t="str">
        <f t="shared" si="25"/>
        <v>Off-Peak</v>
      </c>
      <c r="AP390" t="str">
        <f t="shared" si="26"/>
        <v>High</v>
      </c>
      <c r="AQ390" t="str">
        <f t="shared" si="27"/>
        <v>Medium</v>
      </c>
    </row>
    <row r="391" spans="1:43" x14ac:dyDescent="0.3">
      <c r="A391">
        <v>390</v>
      </c>
      <c r="B391" t="s">
        <v>14</v>
      </c>
      <c r="C391" t="s">
        <v>8</v>
      </c>
      <c r="D391" s="1">
        <v>46238</v>
      </c>
      <c r="E391" t="s">
        <v>44</v>
      </c>
      <c r="F391">
        <v>0</v>
      </c>
      <c r="G391">
        <v>14</v>
      </c>
      <c r="H391" t="s">
        <v>10</v>
      </c>
      <c r="I391" t="s">
        <v>45</v>
      </c>
      <c r="J391">
        <v>1</v>
      </c>
      <c r="K391" t="s">
        <v>12</v>
      </c>
      <c r="L391">
        <v>0</v>
      </c>
      <c r="M391">
        <v>5</v>
      </c>
      <c r="N391">
        <v>57</v>
      </c>
      <c r="O391" t="s">
        <v>35</v>
      </c>
      <c r="P391">
        <v>20</v>
      </c>
      <c r="Q391">
        <v>1.61</v>
      </c>
      <c r="R391">
        <v>38.6</v>
      </c>
      <c r="S391">
        <v>75.739999999999995</v>
      </c>
      <c r="T391">
        <v>68.91</v>
      </c>
      <c r="U391">
        <v>1</v>
      </c>
      <c r="V391">
        <v>0</v>
      </c>
      <c r="W391">
        <v>144.65</v>
      </c>
      <c r="X391">
        <v>48.4</v>
      </c>
      <c r="Y391">
        <v>106.63</v>
      </c>
      <c r="Z391">
        <v>3.54</v>
      </c>
      <c r="AA391">
        <v>6.38</v>
      </c>
      <c r="AB391">
        <v>134.72999999999999</v>
      </c>
      <c r="AC391">
        <v>209.42487046632124</v>
      </c>
      <c r="AD391">
        <v>83.683229813664582</v>
      </c>
      <c r="AE391">
        <v>67.400000000000006</v>
      </c>
      <c r="AF391">
        <v>14.89</v>
      </c>
      <c r="AG391">
        <v>1</v>
      </c>
      <c r="AH391">
        <v>2.2999999999999998</v>
      </c>
      <c r="AI391">
        <v>59.3</v>
      </c>
      <c r="AJ391">
        <v>234</v>
      </c>
      <c r="AK391">
        <v>76.23</v>
      </c>
      <c r="AL391" t="s">
        <v>14</v>
      </c>
      <c r="AM391" t="s">
        <v>15</v>
      </c>
      <c r="AN391" t="str">
        <f t="shared" si="24"/>
        <v>Afternoon</v>
      </c>
      <c r="AO391" t="str">
        <f t="shared" si="25"/>
        <v>Off-Peak</v>
      </c>
      <c r="AP391" t="str">
        <f t="shared" si="26"/>
        <v>Medium</v>
      </c>
      <c r="AQ391" t="str">
        <f t="shared" si="27"/>
        <v>Medium</v>
      </c>
    </row>
    <row r="392" spans="1:43" x14ac:dyDescent="0.3">
      <c r="A392">
        <v>391</v>
      </c>
      <c r="B392" t="s">
        <v>16</v>
      </c>
      <c r="C392" t="s">
        <v>17</v>
      </c>
      <c r="D392" s="1">
        <v>46264</v>
      </c>
      <c r="E392" t="s">
        <v>26</v>
      </c>
      <c r="F392">
        <v>1</v>
      </c>
      <c r="G392">
        <v>19</v>
      </c>
      <c r="H392" t="s">
        <v>40</v>
      </c>
      <c r="I392" t="s">
        <v>33</v>
      </c>
      <c r="J392">
        <v>1</v>
      </c>
      <c r="K392" t="s">
        <v>21</v>
      </c>
      <c r="L392">
        <v>0</v>
      </c>
      <c r="M392">
        <v>2.82</v>
      </c>
      <c r="N392">
        <v>98</v>
      </c>
      <c r="O392" t="s">
        <v>13</v>
      </c>
      <c r="P392">
        <v>16</v>
      </c>
      <c r="Q392">
        <v>2.62</v>
      </c>
      <c r="R392">
        <v>31</v>
      </c>
      <c r="S392">
        <v>101.43</v>
      </c>
      <c r="T392">
        <v>100</v>
      </c>
      <c r="U392">
        <v>1.27</v>
      </c>
      <c r="V392">
        <v>27.39</v>
      </c>
      <c r="W392">
        <v>228.82</v>
      </c>
      <c r="X392">
        <v>40.700000000000003</v>
      </c>
      <c r="Y392">
        <v>106.65</v>
      </c>
      <c r="Z392">
        <v>6.87</v>
      </c>
      <c r="AA392">
        <v>3.13</v>
      </c>
      <c r="AB392">
        <v>218.82</v>
      </c>
      <c r="AC392">
        <v>423.52258064516121</v>
      </c>
      <c r="AD392">
        <v>83.51908396946564</v>
      </c>
      <c r="AE392">
        <v>78.3</v>
      </c>
      <c r="AF392">
        <v>11.79</v>
      </c>
      <c r="AG392">
        <v>1</v>
      </c>
      <c r="AH392">
        <v>-18.079999999999998</v>
      </c>
      <c r="AI392">
        <v>79.92</v>
      </c>
      <c r="AJ392">
        <v>400</v>
      </c>
      <c r="AK392">
        <v>71.150000000000006</v>
      </c>
      <c r="AL392" t="s">
        <v>23</v>
      </c>
      <c r="AM392" t="s">
        <v>24</v>
      </c>
      <c r="AN392" t="str">
        <f t="shared" si="24"/>
        <v>Night</v>
      </c>
      <c r="AO392" t="str">
        <f t="shared" si="25"/>
        <v>Peak</v>
      </c>
      <c r="AP392" t="str">
        <f t="shared" si="26"/>
        <v>High</v>
      </c>
      <c r="AQ392" t="str">
        <f t="shared" si="27"/>
        <v>High</v>
      </c>
    </row>
    <row r="393" spans="1:43" x14ac:dyDescent="0.3">
      <c r="A393">
        <v>392</v>
      </c>
      <c r="B393" t="s">
        <v>14</v>
      </c>
      <c r="C393" t="s">
        <v>8</v>
      </c>
      <c r="D393" s="1">
        <v>46063</v>
      </c>
      <c r="E393" t="s">
        <v>44</v>
      </c>
      <c r="F393">
        <v>0</v>
      </c>
      <c r="G393">
        <v>19</v>
      </c>
      <c r="H393" t="s">
        <v>51</v>
      </c>
      <c r="I393" t="s">
        <v>50</v>
      </c>
      <c r="J393">
        <v>1.2</v>
      </c>
      <c r="K393" t="s">
        <v>12</v>
      </c>
      <c r="L393">
        <v>0</v>
      </c>
      <c r="M393">
        <v>3.26</v>
      </c>
      <c r="N393">
        <v>67</v>
      </c>
      <c r="O393" t="s">
        <v>35</v>
      </c>
      <c r="P393">
        <v>26</v>
      </c>
      <c r="Q393">
        <v>6.73</v>
      </c>
      <c r="R393">
        <v>52.7</v>
      </c>
      <c r="S393">
        <v>110.26</v>
      </c>
      <c r="T393">
        <v>78.63</v>
      </c>
      <c r="U393">
        <v>1</v>
      </c>
      <c r="V393">
        <v>0</v>
      </c>
      <c r="W393">
        <v>188.89</v>
      </c>
      <c r="X393">
        <v>48</v>
      </c>
      <c r="Y393">
        <v>104.37</v>
      </c>
      <c r="Z393">
        <v>14.65</v>
      </c>
      <c r="AA393">
        <v>9.81</v>
      </c>
      <c r="AB393">
        <v>164.43</v>
      </c>
      <c r="AC393">
        <v>187.20683111954457</v>
      </c>
      <c r="AD393">
        <v>24.432392273402673</v>
      </c>
      <c r="AE393">
        <v>67.13</v>
      </c>
      <c r="AF393">
        <v>12.01</v>
      </c>
      <c r="AG393">
        <v>1</v>
      </c>
      <c r="AH393">
        <v>-22.02</v>
      </c>
      <c r="AI393">
        <v>44.98</v>
      </c>
      <c r="AJ393">
        <v>207.93</v>
      </c>
      <c r="AK393">
        <v>77.95</v>
      </c>
      <c r="AL393" t="s">
        <v>14</v>
      </c>
      <c r="AM393" t="s">
        <v>15</v>
      </c>
      <c r="AN393" t="str">
        <f t="shared" si="24"/>
        <v>Night</v>
      </c>
      <c r="AO393" t="str">
        <f t="shared" si="25"/>
        <v>Peak</v>
      </c>
      <c r="AP393" t="str">
        <f t="shared" si="26"/>
        <v>Medium</v>
      </c>
      <c r="AQ393" t="str">
        <f t="shared" si="27"/>
        <v>Medium</v>
      </c>
    </row>
    <row r="394" spans="1:43" x14ac:dyDescent="0.3">
      <c r="A394">
        <v>393</v>
      </c>
      <c r="B394" t="s">
        <v>48</v>
      </c>
      <c r="C394" t="s">
        <v>30</v>
      </c>
      <c r="D394" s="1">
        <v>46209</v>
      </c>
      <c r="E394" t="s">
        <v>38</v>
      </c>
      <c r="F394">
        <v>0</v>
      </c>
      <c r="G394">
        <v>9</v>
      </c>
      <c r="H394" t="s">
        <v>47</v>
      </c>
      <c r="I394" t="s">
        <v>50</v>
      </c>
      <c r="J394">
        <v>1.2</v>
      </c>
      <c r="K394" t="s">
        <v>21</v>
      </c>
      <c r="L394">
        <v>0</v>
      </c>
      <c r="M394">
        <v>2.17</v>
      </c>
      <c r="N394">
        <v>23</v>
      </c>
      <c r="O394" t="s">
        <v>22</v>
      </c>
      <c r="P394">
        <v>7</v>
      </c>
      <c r="Q394">
        <v>8.51</v>
      </c>
      <c r="R394">
        <v>54.2</v>
      </c>
      <c r="S394">
        <v>122.05</v>
      </c>
      <c r="T394">
        <v>47.62</v>
      </c>
      <c r="U394">
        <v>1</v>
      </c>
      <c r="V394">
        <v>0</v>
      </c>
      <c r="W394">
        <v>169.67</v>
      </c>
      <c r="X394">
        <v>35.5</v>
      </c>
      <c r="Y394">
        <v>106.39</v>
      </c>
      <c r="Z394">
        <v>25.53</v>
      </c>
      <c r="AA394">
        <v>2.4700000000000002</v>
      </c>
      <c r="AB394">
        <v>141.66999999999999</v>
      </c>
      <c r="AC394">
        <v>156.83025830258299</v>
      </c>
      <c r="AD394">
        <v>16.647473560517039</v>
      </c>
      <c r="AE394">
        <v>71.87</v>
      </c>
      <c r="AF394">
        <v>18.47</v>
      </c>
      <c r="AG394">
        <v>0</v>
      </c>
      <c r="AH394">
        <v>-7.51</v>
      </c>
      <c r="AI394">
        <v>15.49</v>
      </c>
      <c r="AJ394">
        <v>141.29</v>
      </c>
      <c r="AK394">
        <v>75.5</v>
      </c>
      <c r="AL394" t="s">
        <v>23</v>
      </c>
      <c r="AM394" t="s">
        <v>24</v>
      </c>
      <c r="AN394" t="str">
        <f t="shared" si="24"/>
        <v>Morning</v>
      </c>
      <c r="AO394" t="str">
        <f t="shared" si="25"/>
        <v>Peak</v>
      </c>
      <c r="AP394" t="str">
        <f t="shared" si="26"/>
        <v>Medium</v>
      </c>
      <c r="AQ394" t="str">
        <f t="shared" si="27"/>
        <v>Low</v>
      </c>
    </row>
    <row r="395" spans="1:43" x14ac:dyDescent="0.3">
      <c r="A395">
        <v>394</v>
      </c>
      <c r="B395" t="s">
        <v>25</v>
      </c>
      <c r="C395" t="s">
        <v>17</v>
      </c>
      <c r="D395" s="1">
        <v>46161</v>
      </c>
      <c r="E395" t="s">
        <v>44</v>
      </c>
      <c r="F395">
        <v>0</v>
      </c>
      <c r="G395">
        <v>11</v>
      </c>
      <c r="H395" t="s">
        <v>19</v>
      </c>
      <c r="I395" t="s">
        <v>45</v>
      </c>
      <c r="J395">
        <v>1</v>
      </c>
      <c r="K395" t="s">
        <v>34</v>
      </c>
      <c r="L395">
        <v>1</v>
      </c>
      <c r="M395">
        <v>2.2999999999999998</v>
      </c>
      <c r="N395">
        <v>47</v>
      </c>
      <c r="O395" t="s">
        <v>35</v>
      </c>
      <c r="P395">
        <v>8</v>
      </c>
      <c r="Q395">
        <v>4.45</v>
      </c>
      <c r="R395">
        <v>36</v>
      </c>
      <c r="S395">
        <v>109.6</v>
      </c>
      <c r="T395">
        <v>42.99</v>
      </c>
      <c r="U395">
        <v>1.21</v>
      </c>
      <c r="V395">
        <v>23.02</v>
      </c>
      <c r="W395">
        <v>175.61</v>
      </c>
      <c r="X395">
        <v>40.200000000000003</v>
      </c>
      <c r="Y395">
        <v>105.71</v>
      </c>
      <c r="Z395">
        <v>11.7</v>
      </c>
      <c r="AA395">
        <v>7.44</v>
      </c>
      <c r="AB395">
        <v>156.47</v>
      </c>
      <c r="AC395">
        <v>260.78333333333336</v>
      </c>
      <c r="AD395">
        <v>35.161797752808987</v>
      </c>
      <c r="AE395">
        <v>87.61</v>
      </c>
      <c r="AF395">
        <v>14.69</v>
      </c>
      <c r="AG395">
        <v>0</v>
      </c>
      <c r="AH395">
        <v>-13.27</v>
      </c>
      <c r="AI395">
        <v>33.729999999999997</v>
      </c>
      <c r="AJ395">
        <v>291.98</v>
      </c>
      <c r="AK395">
        <v>71.75</v>
      </c>
      <c r="AL395" t="s">
        <v>23</v>
      </c>
      <c r="AM395" t="s">
        <v>24</v>
      </c>
      <c r="AN395" t="str">
        <f t="shared" si="24"/>
        <v>Afternoon</v>
      </c>
      <c r="AO395" t="str">
        <f t="shared" si="25"/>
        <v>Off-Peak</v>
      </c>
      <c r="AP395" t="str">
        <f t="shared" si="26"/>
        <v>High</v>
      </c>
      <c r="AQ395" t="str">
        <f t="shared" si="27"/>
        <v>Medium</v>
      </c>
    </row>
    <row r="396" spans="1:43" x14ac:dyDescent="0.3">
      <c r="A396">
        <v>395</v>
      </c>
      <c r="B396" t="s">
        <v>16</v>
      </c>
      <c r="C396" t="s">
        <v>17</v>
      </c>
      <c r="D396" s="1">
        <v>46040</v>
      </c>
      <c r="E396" t="s">
        <v>26</v>
      </c>
      <c r="F396">
        <v>1</v>
      </c>
      <c r="G396">
        <v>15</v>
      </c>
      <c r="H396" t="s">
        <v>19</v>
      </c>
      <c r="I396" t="s">
        <v>33</v>
      </c>
      <c r="J396">
        <v>1</v>
      </c>
      <c r="K396" t="s">
        <v>21</v>
      </c>
      <c r="L396">
        <v>0</v>
      </c>
      <c r="M396">
        <v>4.08</v>
      </c>
      <c r="N396">
        <v>40</v>
      </c>
      <c r="O396" t="s">
        <v>35</v>
      </c>
      <c r="P396">
        <v>9</v>
      </c>
      <c r="Q396">
        <v>1.65</v>
      </c>
      <c r="R396">
        <v>27.4</v>
      </c>
      <c r="S396">
        <v>80.260000000000005</v>
      </c>
      <c r="T396">
        <v>65.05</v>
      </c>
      <c r="U396">
        <v>1.1299999999999999</v>
      </c>
      <c r="V396">
        <v>10.43</v>
      </c>
      <c r="W396">
        <v>155.74</v>
      </c>
      <c r="X396">
        <v>47.8</v>
      </c>
      <c r="Y396">
        <v>102.39</v>
      </c>
      <c r="Z396">
        <v>3.53</v>
      </c>
      <c r="AA396">
        <v>7.62</v>
      </c>
      <c r="AB396">
        <v>144.59</v>
      </c>
      <c r="AC396">
        <v>316.6204379562044</v>
      </c>
      <c r="AD396">
        <v>87.63030303030304</v>
      </c>
      <c r="AE396">
        <v>72.63</v>
      </c>
      <c r="AF396">
        <v>16.53</v>
      </c>
      <c r="AG396">
        <v>1</v>
      </c>
      <c r="AH396">
        <v>7.04</v>
      </c>
      <c r="AI396">
        <v>47.04</v>
      </c>
      <c r="AJ396">
        <v>319.86</v>
      </c>
      <c r="AK396">
        <v>76.290000000000006</v>
      </c>
      <c r="AL396" t="s">
        <v>23</v>
      </c>
      <c r="AM396" t="s">
        <v>24</v>
      </c>
      <c r="AN396" t="str">
        <f t="shared" si="24"/>
        <v>Evening</v>
      </c>
      <c r="AO396" t="str">
        <f t="shared" si="25"/>
        <v>Off-Peak</v>
      </c>
      <c r="AP396" t="str">
        <f t="shared" si="26"/>
        <v>High</v>
      </c>
      <c r="AQ396" t="str">
        <f t="shared" si="27"/>
        <v>Medium</v>
      </c>
    </row>
    <row r="397" spans="1:43" x14ac:dyDescent="0.3">
      <c r="A397">
        <v>396</v>
      </c>
      <c r="B397" t="s">
        <v>23</v>
      </c>
      <c r="C397" t="s">
        <v>17</v>
      </c>
      <c r="D397" s="1">
        <v>46259</v>
      </c>
      <c r="E397" t="s">
        <v>44</v>
      </c>
      <c r="F397">
        <v>0</v>
      </c>
      <c r="G397">
        <v>12</v>
      </c>
      <c r="H397" t="s">
        <v>19</v>
      </c>
      <c r="I397" t="s">
        <v>46</v>
      </c>
      <c r="J397">
        <v>1.1499999999999999</v>
      </c>
      <c r="K397" t="s">
        <v>12</v>
      </c>
      <c r="L397">
        <v>0</v>
      </c>
      <c r="M397">
        <v>4.9400000000000004</v>
      </c>
      <c r="N397">
        <v>22</v>
      </c>
      <c r="O397" t="s">
        <v>22</v>
      </c>
      <c r="P397">
        <v>3</v>
      </c>
      <c r="Q397">
        <v>2.74</v>
      </c>
      <c r="R397">
        <v>44</v>
      </c>
      <c r="S397">
        <v>92.27</v>
      </c>
      <c r="T397">
        <v>26.14</v>
      </c>
      <c r="U397">
        <v>1.1200000000000001</v>
      </c>
      <c r="V397">
        <v>11.07</v>
      </c>
      <c r="W397">
        <v>129.47999999999999</v>
      </c>
      <c r="X397">
        <v>48.5</v>
      </c>
      <c r="Y397">
        <v>105.19</v>
      </c>
      <c r="Z397">
        <v>5.95</v>
      </c>
      <c r="AA397">
        <v>8.36</v>
      </c>
      <c r="AB397">
        <v>115.17</v>
      </c>
      <c r="AC397">
        <v>157.05000000000001</v>
      </c>
      <c r="AD397">
        <v>42.032846715328468</v>
      </c>
      <c r="AE397">
        <v>62.83</v>
      </c>
      <c r="AF397">
        <v>20</v>
      </c>
      <c r="AG397">
        <v>0</v>
      </c>
      <c r="AH397">
        <v>-23.98</v>
      </c>
      <c r="AI397">
        <v>5</v>
      </c>
      <c r="AJ397">
        <v>115.67</v>
      </c>
      <c r="AK397">
        <v>60.64</v>
      </c>
      <c r="AL397" t="s">
        <v>14</v>
      </c>
      <c r="AM397" t="s">
        <v>15</v>
      </c>
      <c r="AN397" t="str">
        <f t="shared" si="24"/>
        <v>Afternoon</v>
      </c>
      <c r="AO397" t="str">
        <f t="shared" si="25"/>
        <v>Off-Peak</v>
      </c>
      <c r="AP397" t="str">
        <f t="shared" si="26"/>
        <v>Medium</v>
      </c>
      <c r="AQ397" t="str">
        <f t="shared" si="27"/>
        <v>Low</v>
      </c>
    </row>
    <row r="398" spans="1:43" x14ac:dyDescent="0.3">
      <c r="A398">
        <v>397</v>
      </c>
      <c r="B398" t="s">
        <v>7</v>
      </c>
      <c r="C398" t="s">
        <v>8</v>
      </c>
      <c r="D398" s="1">
        <v>46247</v>
      </c>
      <c r="E398" t="s">
        <v>41</v>
      </c>
      <c r="F398">
        <v>0</v>
      </c>
      <c r="G398">
        <v>7</v>
      </c>
      <c r="H398" t="s">
        <v>49</v>
      </c>
      <c r="I398" t="s">
        <v>37</v>
      </c>
      <c r="J398">
        <v>1.02</v>
      </c>
      <c r="K398" t="s">
        <v>21</v>
      </c>
      <c r="L398">
        <v>0</v>
      </c>
      <c r="M398">
        <v>2.62</v>
      </c>
      <c r="N398">
        <v>23</v>
      </c>
      <c r="O398" t="s">
        <v>22</v>
      </c>
      <c r="P398">
        <v>10</v>
      </c>
      <c r="Q398">
        <v>1</v>
      </c>
      <c r="R398">
        <v>30.4</v>
      </c>
      <c r="S398">
        <v>61.75</v>
      </c>
      <c r="T398">
        <v>42.64</v>
      </c>
      <c r="U398">
        <v>1</v>
      </c>
      <c r="V398">
        <v>0</v>
      </c>
      <c r="W398">
        <v>104.39</v>
      </c>
      <c r="X398">
        <v>46.3</v>
      </c>
      <c r="Y398">
        <v>105.15</v>
      </c>
      <c r="Z398">
        <v>2.27</v>
      </c>
      <c r="AA398">
        <v>5.16</v>
      </c>
      <c r="AB398">
        <v>96.96</v>
      </c>
      <c r="AC398">
        <v>191.36842105263159</v>
      </c>
      <c r="AD398">
        <v>96.96</v>
      </c>
      <c r="AE398">
        <v>68.400000000000006</v>
      </c>
      <c r="AF398">
        <v>12.52</v>
      </c>
      <c r="AG398">
        <v>0</v>
      </c>
      <c r="AH398">
        <v>-3.71</v>
      </c>
      <c r="AI398">
        <v>19.29</v>
      </c>
      <c r="AJ398">
        <v>216.09</v>
      </c>
      <c r="AK398">
        <v>72.86</v>
      </c>
      <c r="AL398" t="s">
        <v>14</v>
      </c>
      <c r="AM398" t="s">
        <v>15</v>
      </c>
      <c r="AN398" t="str">
        <f t="shared" si="24"/>
        <v>Morning</v>
      </c>
      <c r="AO398" t="str">
        <f t="shared" si="25"/>
        <v>Peak</v>
      </c>
      <c r="AP398" t="str">
        <f t="shared" si="26"/>
        <v>Medium</v>
      </c>
      <c r="AQ398" t="str">
        <f t="shared" si="27"/>
        <v>Low</v>
      </c>
    </row>
    <row r="399" spans="1:43" x14ac:dyDescent="0.3">
      <c r="A399">
        <v>398</v>
      </c>
      <c r="B399" t="s">
        <v>14</v>
      </c>
      <c r="C399" t="s">
        <v>8</v>
      </c>
      <c r="D399" s="1">
        <v>46169</v>
      </c>
      <c r="E399" t="s">
        <v>18</v>
      </c>
      <c r="F399">
        <v>0</v>
      </c>
      <c r="G399">
        <v>20</v>
      </c>
      <c r="H399" t="s">
        <v>51</v>
      </c>
      <c r="I399" t="s">
        <v>33</v>
      </c>
      <c r="J399">
        <v>1</v>
      </c>
      <c r="K399" t="s">
        <v>12</v>
      </c>
      <c r="L399">
        <v>0</v>
      </c>
      <c r="M399">
        <v>3.04</v>
      </c>
      <c r="N399">
        <v>77</v>
      </c>
      <c r="O399" t="s">
        <v>13</v>
      </c>
      <c r="P399">
        <v>28</v>
      </c>
      <c r="Q399">
        <v>10.220000000000001</v>
      </c>
      <c r="R399">
        <v>63.4</v>
      </c>
      <c r="S399">
        <v>136.11000000000001</v>
      </c>
      <c r="T399">
        <v>74.05</v>
      </c>
      <c r="U399">
        <v>1</v>
      </c>
      <c r="V399">
        <v>0</v>
      </c>
      <c r="W399">
        <v>210.16</v>
      </c>
      <c r="X399">
        <v>45</v>
      </c>
      <c r="Y399">
        <v>108.24</v>
      </c>
      <c r="Z399">
        <v>24.55</v>
      </c>
      <c r="AA399">
        <v>2.2400000000000002</v>
      </c>
      <c r="AB399">
        <v>183.37</v>
      </c>
      <c r="AC399">
        <v>173.53627760252365</v>
      </c>
      <c r="AD399">
        <v>17.942270058708413</v>
      </c>
      <c r="AE399">
        <v>65.27</v>
      </c>
      <c r="AF399">
        <v>13.6</v>
      </c>
      <c r="AG399">
        <v>1</v>
      </c>
      <c r="AH399">
        <v>0.4</v>
      </c>
      <c r="AI399">
        <v>77.400000000000006</v>
      </c>
      <c r="AJ399">
        <v>181.68</v>
      </c>
      <c r="AK399">
        <v>77.7</v>
      </c>
      <c r="AL399" t="s">
        <v>14</v>
      </c>
      <c r="AM399" t="s">
        <v>15</v>
      </c>
      <c r="AN399" t="str">
        <f t="shared" si="24"/>
        <v>Night</v>
      </c>
      <c r="AO399" t="str">
        <f t="shared" si="25"/>
        <v>Peak</v>
      </c>
      <c r="AP399" t="str">
        <f t="shared" si="26"/>
        <v>Medium</v>
      </c>
      <c r="AQ399" t="str">
        <f t="shared" si="27"/>
        <v>High</v>
      </c>
    </row>
    <row r="400" spans="1:43" x14ac:dyDescent="0.3">
      <c r="A400">
        <v>399</v>
      </c>
      <c r="B400" t="s">
        <v>14</v>
      </c>
      <c r="C400" t="s">
        <v>8</v>
      </c>
      <c r="D400" s="1">
        <v>46205</v>
      </c>
      <c r="E400" t="s">
        <v>41</v>
      </c>
      <c r="F400">
        <v>0</v>
      </c>
      <c r="G400">
        <v>18</v>
      </c>
      <c r="H400" t="s">
        <v>51</v>
      </c>
      <c r="I400" t="s">
        <v>11</v>
      </c>
      <c r="J400">
        <v>1.18</v>
      </c>
      <c r="K400" t="s">
        <v>21</v>
      </c>
      <c r="L400">
        <v>0</v>
      </c>
      <c r="M400">
        <v>2.31</v>
      </c>
      <c r="N400">
        <v>91</v>
      </c>
      <c r="O400" t="s">
        <v>13</v>
      </c>
      <c r="P400">
        <v>37</v>
      </c>
      <c r="Q400">
        <v>2.41</v>
      </c>
      <c r="R400">
        <v>30.9</v>
      </c>
      <c r="S400">
        <v>68.47</v>
      </c>
      <c r="T400">
        <v>100</v>
      </c>
      <c r="U400">
        <v>1</v>
      </c>
      <c r="V400">
        <v>0</v>
      </c>
      <c r="W400">
        <v>168.47</v>
      </c>
      <c r="X400">
        <v>47.2</v>
      </c>
      <c r="Y400">
        <v>104.33</v>
      </c>
      <c r="Z400">
        <v>5.33</v>
      </c>
      <c r="AA400">
        <v>10.89</v>
      </c>
      <c r="AB400">
        <v>152.25</v>
      </c>
      <c r="AC400">
        <v>295.63106796116506</v>
      </c>
      <c r="AD400">
        <v>63.174273858921161</v>
      </c>
      <c r="AE400">
        <v>68.91</v>
      </c>
      <c r="AF400">
        <v>16.28</v>
      </c>
      <c r="AG400">
        <v>1</v>
      </c>
      <c r="AH400">
        <v>2.41</v>
      </c>
      <c r="AI400">
        <v>93.41</v>
      </c>
      <c r="AJ400">
        <v>297.95</v>
      </c>
      <c r="AK400">
        <v>75.260000000000005</v>
      </c>
      <c r="AL400" t="s">
        <v>14</v>
      </c>
      <c r="AM400" t="s">
        <v>15</v>
      </c>
      <c r="AN400" t="str">
        <f t="shared" si="24"/>
        <v>Night</v>
      </c>
      <c r="AO400" t="str">
        <f t="shared" si="25"/>
        <v>Peak</v>
      </c>
      <c r="AP400" t="str">
        <f t="shared" si="26"/>
        <v>High</v>
      </c>
      <c r="AQ400" t="str">
        <f t="shared" si="27"/>
        <v>High</v>
      </c>
    </row>
    <row r="401" spans="1:43" x14ac:dyDescent="0.3">
      <c r="A401">
        <v>400</v>
      </c>
      <c r="B401" t="s">
        <v>48</v>
      </c>
      <c r="C401" t="s">
        <v>30</v>
      </c>
      <c r="D401" s="1">
        <v>46125</v>
      </c>
      <c r="E401" t="s">
        <v>38</v>
      </c>
      <c r="F401">
        <v>0</v>
      </c>
      <c r="G401">
        <v>15</v>
      </c>
      <c r="H401" t="s">
        <v>43</v>
      </c>
      <c r="I401" t="s">
        <v>33</v>
      </c>
      <c r="J401">
        <v>1</v>
      </c>
      <c r="K401" t="s">
        <v>21</v>
      </c>
      <c r="L401">
        <v>0</v>
      </c>
      <c r="M401">
        <v>2.8</v>
      </c>
      <c r="N401">
        <v>29</v>
      </c>
      <c r="O401" t="s">
        <v>22</v>
      </c>
      <c r="P401">
        <v>5</v>
      </c>
      <c r="Q401">
        <v>5.39</v>
      </c>
      <c r="R401">
        <v>45.6</v>
      </c>
      <c r="S401">
        <v>103.65</v>
      </c>
      <c r="T401">
        <v>27.16</v>
      </c>
      <c r="U401">
        <v>1</v>
      </c>
      <c r="V401">
        <v>0</v>
      </c>
      <c r="W401">
        <v>130.81</v>
      </c>
      <c r="X401">
        <v>45.6</v>
      </c>
      <c r="Y401">
        <v>104.36</v>
      </c>
      <c r="Z401">
        <v>12.34</v>
      </c>
      <c r="AA401">
        <v>11.29</v>
      </c>
      <c r="AB401">
        <v>107.18</v>
      </c>
      <c r="AC401">
        <v>141.0263157894737</v>
      </c>
      <c r="AD401">
        <v>19.88497217068646</v>
      </c>
      <c r="AE401">
        <v>79.69</v>
      </c>
      <c r="AF401">
        <v>14.9</v>
      </c>
      <c r="AG401">
        <v>0</v>
      </c>
      <c r="AH401">
        <v>8.98</v>
      </c>
      <c r="AI401">
        <v>37.979999999999997</v>
      </c>
      <c r="AJ401">
        <v>131.80000000000001</v>
      </c>
      <c r="AK401">
        <v>79.13</v>
      </c>
      <c r="AL401" t="s">
        <v>14</v>
      </c>
      <c r="AM401" t="s">
        <v>15</v>
      </c>
      <c r="AN401" t="str">
        <f t="shared" si="24"/>
        <v>Evening</v>
      </c>
      <c r="AO401" t="str">
        <f t="shared" si="25"/>
        <v>Off-Peak</v>
      </c>
      <c r="AP401" t="str">
        <f t="shared" si="26"/>
        <v>Low</v>
      </c>
      <c r="AQ401" t="str">
        <f t="shared" si="27"/>
        <v>Low</v>
      </c>
    </row>
    <row r="402" spans="1:43" x14ac:dyDescent="0.3">
      <c r="A402">
        <v>401</v>
      </c>
      <c r="B402" t="s">
        <v>23</v>
      </c>
      <c r="C402" t="s">
        <v>17</v>
      </c>
      <c r="D402" s="1">
        <v>46227</v>
      </c>
      <c r="E402" t="s">
        <v>9</v>
      </c>
      <c r="F402">
        <v>0</v>
      </c>
      <c r="G402">
        <v>12</v>
      </c>
      <c r="H402" t="s">
        <v>19</v>
      </c>
      <c r="I402" t="s">
        <v>50</v>
      </c>
      <c r="J402">
        <v>1.2</v>
      </c>
      <c r="K402" t="s">
        <v>34</v>
      </c>
      <c r="L402">
        <v>1</v>
      </c>
      <c r="M402">
        <v>3.25</v>
      </c>
      <c r="N402">
        <v>54</v>
      </c>
      <c r="O402" t="s">
        <v>35</v>
      </c>
      <c r="P402">
        <v>14</v>
      </c>
      <c r="Q402">
        <v>8.1199999999999992</v>
      </c>
      <c r="R402">
        <v>57.6</v>
      </c>
      <c r="S402">
        <v>156.15</v>
      </c>
      <c r="T402">
        <v>54.99</v>
      </c>
      <c r="U402">
        <v>1.1200000000000001</v>
      </c>
      <c r="V402">
        <v>18.739999999999998</v>
      </c>
      <c r="W402">
        <v>229.88</v>
      </c>
      <c r="X402">
        <v>38.799999999999997</v>
      </c>
      <c r="Y402">
        <v>109.84</v>
      </c>
      <c r="Z402">
        <v>22.98</v>
      </c>
      <c r="AA402">
        <v>6.82</v>
      </c>
      <c r="AB402">
        <v>200.08</v>
      </c>
      <c r="AC402">
        <v>208.41666666666666</v>
      </c>
      <c r="AD402">
        <v>24.640394088669954</v>
      </c>
      <c r="AE402">
        <v>64.75</v>
      </c>
      <c r="AF402">
        <v>19.87</v>
      </c>
      <c r="AG402">
        <v>0</v>
      </c>
      <c r="AH402">
        <v>-1.9</v>
      </c>
      <c r="AI402">
        <v>52.1</v>
      </c>
      <c r="AJ402">
        <v>220.11</v>
      </c>
      <c r="AK402">
        <v>69.709999999999994</v>
      </c>
      <c r="AL402" t="s">
        <v>14</v>
      </c>
      <c r="AM402" t="s">
        <v>15</v>
      </c>
      <c r="AN402" t="str">
        <f t="shared" si="24"/>
        <v>Afternoon</v>
      </c>
      <c r="AO402" t="str">
        <f t="shared" si="25"/>
        <v>Off-Peak</v>
      </c>
      <c r="AP402" t="str">
        <f t="shared" si="26"/>
        <v>Medium</v>
      </c>
      <c r="AQ402" t="str">
        <f t="shared" si="27"/>
        <v>Medium</v>
      </c>
    </row>
    <row r="403" spans="1:43" x14ac:dyDescent="0.3">
      <c r="A403">
        <v>402</v>
      </c>
      <c r="B403" t="s">
        <v>16</v>
      </c>
      <c r="C403" t="s">
        <v>17</v>
      </c>
      <c r="D403" s="1">
        <v>46137</v>
      </c>
      <c r="E403" t="s">
        <v>31</v>
      </c>
      <c r="F403">
        <v>1</v>
      </c>
      <c r="G403">
        <v>20</v>
      </c>
      <c r="H403" t="s">
        <v>40</v>
      </c>
      <c r="I403" t="s">
        <v>33</v>
      </c>
      <c r="J403">
        <v>1</v>
      </c>
      <c r="K403" t="s">
        <v>12</v>
      </c>
      <c r="L403">
        <v>0</v>
      </c>
      <c r="M403">
        <v>3.58</v>
      </c>
      <c r="N403">
        <v>85</v>
      </c>
      <c r="O403" t="s">
        <v>13</v>
      </c>
      <c r="P403">
        <v>21</v>
      </c>
      <c r="Q403">
        <v>12.08</v>
      </c>
      <c r="R403">
        <v>69</v>
      </c>
      <c r="S403">
        <v>201.01</v>
      </c>
      <c r="T403">
        <v>100</v>
      </c>
      <c r="U403">
        <v>1.3</v>
      </c>
      <c r="V403">
        <v>60.3</v>
      </c>
      <c r="W403">
        <v>361.31</v>
      </c>
      <c r="X403">
        <v>42</v>
      </c>
      <c r="Y403">
        <v>108.94</v>
      </c>
      <c r="Z403">
        <v>31.33</v>
      </c>
      <c r="AA403">
        <v>2.21</v>
      </c>
      <c r="AB403">
        <v>327.77</v>
      </c>
      <c r="AC403">
        <v>285.01739130434783</v>
      </c>
      <c r="AD403">
        <v>27.133278145695364</v>
      </c>
      <c r="AE403">
        <v>81.3</v>
      </c>
      <c r="AF403">
        <v>15.96</v>
      </c>
      <c r="AG403">
        <v>1</v>
      </c>
      <c r="AH403">
        <v>-7.01</v>
      </c>
      <c r="AI403">
        <v>77.989999999999995</v>
      </c>
      <c r="AJ403">
        <v>279.56</v>
      </c>
      <c r="AK403">
        <v>79.14</v>
      </c>
      <c r="AL403" t="s">
        <v>23</v>
      </c>
      <c r="AM403" t="s">
        <v>24</v>
      </c>
      <c r="AN403" t="str">
        <f t="shared" si="24"/>
        <v>Night</v>
      </c>
      <c r="AO403" t="str">
        <f t="shared" si="25"/>
        <v>Peak</v>
      </c>
      <c r="AP403" t="str">
        <f t="shared" si="26"/>
        <v>High</v>
      </c>
      <c r="AQ403" t="str">
        <f t="shared" si="27"/>
        <v>High</v>
      </c>
    </row>
    <row r="404" spans="1:43" x14ac:dyDescent="0.3">
      <c r="A404">
        <v>403</v>
      </c>
      <c r="B404" t="s">
        <v>48</v>
      </c>
      <c r="C404" t="s">
        <v>30</v>
      </c>
      <c r="D404" s="1">
        <v>46278</v>
      </c>
      <c r="E404" t="s">
        <v>26</v>
      </c>
      <c r="F404">
        <v>1</v>
      </c>
      <c r="G404">
        <v>7</v>
      </c>
      <c r="H404" t="s">
        <v>47</v>
      </c>
      <c r="I404" t="s">
        <v>11</v>
      </c>
      <c r="J404">
        <v>1.18</v>
      </c>
      <c r="K404" t="s">
        <v>12</v>
      </c>
      <c r="L404">
        <v>0</v>
      </c>
      <c r="M404">
        <v>3.18</v>
      </c>
      <c r="N404">
        <v>37</v>
      </c>
      <c r="O404" t="s">
        <v>35</v>
      </c>
      <c r="P404">
        <v>12</v>
      </c>
      <c r="Q404">
        <v>7.24</v>
      </c>
      <c r="R404">
        <v>46.8</v>
      </c>
      <c r="S404">
        <v>112.67</v>
      </c>
      <c r="T404">
        <v>50.09</v>
      </c>
      <c r="U404">
        <v>1</v>
      </c>
      <c r="V404">
        <v>0</v>
      </c>
      <c r="W404">
        <v>162.76</v>
      </c>
      <c r="X404">
        <v>44.9</v>
      </c>
      <c r="Y404">
        <v>102.42</v>
      </c>
      <c r="Z404">
        <v>16.5</v>
      </c>
      <c r="AA404">
        <v>7.81</v>
      </c>
      <c r="AB404">
        <v>138.44999999999999</v>
      </c>
      <c r="AC404">
        <v>177.5</v>
      </c>
      <c r="AD404">
        <v>19.122928176795579</v>
      </c>
      <c r="AE404">
        <v>75.17</v>
      </c>
      <c r="AF404">
        <v>18.079999999999998</v>
      </c>
      <c r="AG404">
        <v>1</v>
      </c>
      <c r="AH404">
        <v>21.67</v>
      </c>
      <c r="AI404">
        <v>58.67</v>
      </c>
      <c r="AJ404">
        <v>168.97</v>
      </c>
      <c r="AK404">
        <v>66.03</v>
      </c>
      <c r="AL404" t="s">
        <v>23</v>
      </c>
      <c r="AM404" t="s">
        <v>24</v>
      </c>
      <c r="AN404" t="str">
        <f t="shared" si="24"/>
        <v>Morning</v>
      </c>
      <c r="AO404" t="str">
        <f t="shared" si="25"/>
        <v>Peak</v>
      </c>
      <c r="AP404" t="str">
        <f t="shared" si="26"/>
        <v>Medium</v>
      </c>
      <c r="AQ404" t="str">
        <f t="shared" si="27"/>
        <v>Medium</v>
      </c>
    </row>
    <row r="405" spans="1:43" x14ac:dyDescent="0.3">
      <c r="A405">
        <v>404</v>
      </c>
      <c r="B405" t="s">
        <v>23</v>
      </c>
      <c r="C405" t="s">
        <v>17</v>
      </c>
      <c r="D405" s="1">
        <v>46039</v>
      </c>
      <c r="E405" t="s">
        <v>31</v>
      </c>
      <c r="F405">
        <v>1</v>
      </c>
      <c r="G405">
        <v>14</v>
      </c>
      <c r="H405" t="s">
        <v>19</v>
      </c>
      <c r="I405" t="s">
        <v>50</v>
      </c>
      <c r="J405">
        <v>1.2</v>
      </c>
      <c r="K405" t="s">
        <v>12</v>
      </c>
      <c r="L405">
        <v>0</v>
      </c>
      <c r="M405">
        <v>3.32</v>
      </c>
      <c r="N405">
        <v>54</v>
      </c>
      <c r="O405" t="s">
        <v>35</v>
      </c>
      <c r="P405">
        <v>13</v>
      </c>
      <c r="Q405">
        <v>3</v>
      </c>
      <c r="R405">
        <v>30.8</v>
      </c>
      <c r="S405">
        <v>85.13</v>
      </c>
      <c r="T405">
        <v>73.8</v>
      </c>
      <c r="U405">
        <v>1</v>
      </c>
      <c r="V405">
        <v>0</v>
      </c>
      <c r="W405">
        <v>158.93</v>
      </c>
      <c r="X405">
        <v>43.8</v>
      </c>
      <c r="Y405">
        <v>109.1</v>
      </c>
      <c r="Z405">
        <v>7.46</v>
      </c>
      <c r="AA405">
        <v>5.16</v>
      </c>
      <c r="AB405">
        <v>146.31</v>
      </c>
      <c r="AC405">
        <v>285.01948051948051</v>
      </c>
      <c r="AD405">
        <v>48.77</v>
      </c>
      <c r="AE405">
        <v>72.069999999999993</v>
      </c>
      <c r="AF405">
        <v>17.75</v>
      </c>
      <c r="AG405">
        <v>1</v>
      </c>
      <c r="AH405">
        <v>-1.8</v>
      </c>
      <c r="AI405">
        <v>52.2</v>
      </c>
      <c r="AJ405">
        <v>276.31</v>
      </c>
      <c r="AK405">
        <v>77.44</v>
      </c>
      <c r="AL405" t="s">
        <v>14</v>
      </c>
      <c r="AM405" t="s">
        <v>15</v>
      </c>
      <c r="AN405" t="str">
        <f t="shared" si="24"/>
        <v>Afternoon</v>
      </c>
      <c r="AO405" t="str">
        <f t="shared" si="25"/>
        <v>Off-Peak</v>
      </c>
      <c r="AP405" t="str">
        <f t="shared" si="26"/>
        <v>High</v>
      </c>
      <c r="AQ405" t="str">
        <f t="shared" si="27"/>
        <v>Medium</v>
      </c>
    </row>
    <row r="406" spans="1:43" x14ac:dyDescent="0.3">
      <c r="A406">
        <v>405</v>
      </c>
      <c r="B406" t="s">
        <v>29</v>
      </c>
      <c r="C406" t="s">
        <v>30</v>
      </c>
      <c r="D406" s="1">
        <v>46067</v>
      </c>
      <c r="E406" t="s">
        <v>31</v>
      </c>
      <c r="F406">
        <v>1</v>
      </c>
      <c r="G406">
        <v>19</v>
      </c>
      <c r="H406" t="s">
        <v>32</v>
      </c>
      <c r="I406" t="s">
        <v>46</v>
      </c>
      <c r="J406">
        <v>1.1499999999999999</v>
      </c>
      <c r="K406" t="s">
        <v>12</v>
      </c>
      <c r="L406">
        <v>0</v>
      </c>
      <c r="M406">
        <v>4.3600000000000003</v>
      </c>
      <c r="N406">
        <v>92</v>
      </c>
      <c r="O406" t="s">
        <v>13</v>
      </c>
      <c r="P406">
        <v>18</v>
      </c>
      <c r="Q406">
        <v>5.9</v>
      </c>
      <c r="R406">
        <v>41.3</v>
      </c>
      <c r="S406">
        <v>93.21</v>
      </c>
      <c r="T406">
        <v>100</v>
      </c>
      <c r="U406">
        <v>1</v>
      </c>
      <c r="V406">
        <v>0</v>
      </c>
      <c r="W406">
        <v>193.21</v>
      </c>
      <c r="X406">
        <v>48.3</v>
      </c>
      <c r="Y406">
        <v>101.38</v>
      </c>
      <c r="Z406">
        <v>12.39</v>
      </c>
      <c r="AA406">
        <v>3.82</v>
      </c>
      <c r="AB406">
        <v>177</v>
      </c>
      <c r="AC406">
        <v>257.14285714285717</v>
      </c>
      <c r="AD406">
        <v>29.999999999999996</v>
      </c>
      <c r="AE406">
        <v>81.180000000000007</v>
      </c>
      <c r="AF406">
        <v>15.32</v>
      </c>
      <c r="AG406">
        <v>1</v>
      </c>
      <c r="AH406">
        <v>24.29</v>
      </c>
      <c r="AI406">
        <v>116.29</v>
      </c>
      <c r="AJ406">
        <v>260.77999999999997</v>
      </c>
      <c r="AK406">
        <v>71.73</v>
      </c>
      <c r="AL406" t="s">
        <v>14</v>
      </c>
      <c r="AM406" t="s">
        <v>15</v>
      </c>
      <c r="AN406" t="str">
        <f t="shared" si="24"/>
        <v>Night</v>
      </c>
      <c r="AO406" t="str">
        <f t="shared" si="25"/>
        <v>Peak</v>
      </c>
      <c r="AP406" t="str">
        <f t="shared" si="26"/>
        <v>High</v>
      </c>
      <c r="AQ406" t="str">
        <f t="shared" si="27"/>
        <v>High</v>
      </c>
    </row>
    <row r="407" spans="1:43" x14ac:dyDescent="0.3">
      <c r="A407">
        <v>406</v>
      </c>
      <c r="B407" t="s">
        <v>29</v>
      </c>
      <c r="C407" t="s">
        <v>30</v>
      </c>
      <c r="D407" s="1">
        <v>46272</v>
      </c>
      <c r="E407" t="s">
        <v>38</v>
      </c>
      <c r="F407">
        <v>0</v>
      </c>
      <c r="G407">
        <v>22</v>
      </c>
      <c r="H407" t="s">
        <v>36</v>
      </c>
      <c r="I407" t="s">
        <v>11</v>
      </c>
      <c r="J407">
        <v>1.18</v>
      </c>
      <c r="K407" t="s">
        <v>12</v>
      </c>
      <c r="L407">
        <v>0</v>
      </c>
      <c r="M407">
        <v>2.75</v>
      </c>
      <c r="N407">
        <v>9</v>
      </c>
      <c r="O407" t="s">
        <v>22</v>
      </c>
      <c r="P407">
        <v>2</v>
      </c>
      <c r="Q407">
        <v>11.79</v>
      </c>
      <c r="R407">
        <v>79.099999999999994</v>
      </c>
      <c r="S407">
        <v>141.57</v>
      </c>
      <c r="T407">
        <v>4.87</v>
      </c>
      <c r="U407">
        <v>1</v>
      </c>
      <c r="V407">
        <v>0</v>
      </c>
      <c r="W407">
        <v>146.44</v>
      </c>
      <c r="X407">
        <v>42.1</v>
      </c>
      <c r="Y407">
        <v>108.53</v>
      </c>
      <c r="Z407">
        <v>30.39</v>
      </c>
      <c r="AA407">
        <v>3.69</v>
      </c>
      <c r="AB407">
        <v>112.36</v>
      </c>
      <c r="AC407">
        <v>85.228824273072078</v>
      </c>
      <c r="AD407">
        <v>9.5301102629346914</v>
      </c>
      <c r="AE407">
        <v>65.22</v>
      </c>
      <c r="AF407">
        <v>14.83</v>
      </c>
      <c r="AG407">
        <v>0</v>
      </c>
      <c r="AH407">
        <v>-1.88</v>
      </c>
      <c r="AI407">
        <v>7.12</v>
      </c>
      <c r="AJ407">
        <v>77.510000000000005</v>
      </c>
      <c r="AK407">
        <v>68.28</v>
      </c>
      <c r="AL407" t="s">
        <v>14</v>
      </c>
      <c r="AM407" t="s">
        <v>15</v>
      </c>
      <c r="AN407" t="str">
        <f t="shared" si="24"/>
        <v>Night</v>
      </c>
      <c r="AO407" t="str">
        <f t="shared" si="25"/>
        <v>Off-Peak</v>
      </c>
      <c r="AP407" t="str">
        <f t="shared" si="26"/>
        <v>Low</v>
      </c>
      <c r="AQ407" t="str">
        <f t="shared" si="27"/>
        <v>Low</v>
      </c>
    </row>
    <row r="408" spans="1:43" x14ac:dyDescent="0.3">
      <c r="A408">
        <v>407</v>
      </c>
      <c r="B408" t="s">
        <v>29</v>
      </c>
      <c r="C408" t="s">
        <v>30</v>
      </c>
      <c r="D408" s="1">
        <v>46097</v>
      </c>
      <c r="E408" t="s">
        <v>38</v>
      </c>
      <c r="F408">
        <v>0</v>
      </c>
      <c r="G408">
        <v>11</v>
      </c>
      <c r="H408" t="s">
        <v>43</v>
      </c>
      <c r="I408" t="s">
        <v>46</v>
      </c>
      <c r="J408">
        <v>1.1499999999999999</v>
      </c>
      <c r="K408" t="s">
        <v>12</v>
      </c>
      <c r="L408">
        <v>0</v>
      </c>
      <c r="M408">
        <v>2.12</v>
      </c>
      <c r="N408">
        <v>21</v>
      </c>
      <c r="O408" t="s">
        <v>22</v>
      </c>
      <c r="P408">
        <v>5</v>
      </c>
      <c r="Q408">
        <v>2.4</v>
      </c>
      <c r="R408">
        <v>29.1</v>
      </c>
      <c r="S408">
        <v>72.97</v>
      </c>
      <c r="T408">
        <v>24.06</v>
      </c>
      <c r="U408">
        <v>1</v>
      </c>
      <c r="V408">
        <v>0</v>
      </c>
      <c r="W408">
        <v>97.03</v>
      </c>
      <c r="X408">
        <v>37.700000000000003</v>
      </c>
      <c r="Y408">
        <v>101.83</v>
      </c>
      <c r="Z408">
        <v>6.48</v>
      </c>
      <c r="AA408">
        <v>3.79</v>
      </c>
      <c r="AB408">
        <v>86.76</v>
      </c>
      <c r="AC408">
        <v>178.88659793814432</v>
      </c>
      <c r="AD408">
        <v>36.150000000000006</v>
      </c>
      <c r="AE408">
        <v>80.41</v>
      </c>
      <c r="AF408">
        <v>14.21</v>
      </c>
      <c r="AG408">
        <v>0</v>
      </c>
      <c r="AH408">
        <v>2.76</v>
      </c>
      <c r="AI408">
        <v>23.76</v>
      </c>
      <c r="AJ408">
        <v>191.71</v>
      </c>
      <c r="AK408">
        <v>70.599999999999994</v>
      </c>
      <c r="AL408" t="s">
        <v>14</v>
      </c>
      <c r="AM408" t="s">
        <v>15</v>
      </c>
      <c r="AN408" t="str">
        <f t="shared" si="24"/>
        <v>Afternoon</v>
      </c>
      <c r="AO408" t="str">
        <f t="shared" si="25"/>
        <v>Off-Peak</v>
      </c>
      <c r="AP408" t="str">
        <f t="shared" si="26"/>
        <v>Medium</v>
      </c>
      <c r="AQ408" t="str">
        <f t="shared" si="27"/>
        <v>Low</v>
      </c>
    </row>
    <row r="409" spans="1:43" x14ac:dyDescent="0.3">
      <c r="A409">
        <v>408</v>
      </c>
      <c r="B409" t="s">
        <v>14</v>
      </c>
      <c r="C409" t="s">
        <v>8</v>
      </c>
      <c r="D409" s="1">
        <v>46103</v>
      </c>
      <c r="E409" t="s">
        <v>26</v>
      </c>
      <c r="F409">
        <v>1</v>
      </c>
      <c r="G409">
        <v>17</v>
      </c>
      <c r="H409" t="s">
        <v>32</v>
      </c>
      <c r="I409" t="s">
        <v>39</v>
      </c>
      <c r="J409">
        <v>1.05</v>
      </c>
      <c r="K409" t="s">
        <v>21</v>
      </c>
      <c r="L409">
        <v>0</v>
      </c>
      <c r="M409">
        <v>3.53</v>
      </c>
      <c r="N409">
        <v>42</v>
      </c>
      <c r="O409" t="s">
        <v>35</v>
      </c>
      <c r="P409">
        <v>22</v>
      </c>
      <c r="Q409">
        <v>1.1000000000000001</v>
      </c>
      <c r="R409">
        <v>26.9</v>
      </c>
      <c r="S409">
        <v>62.45</v>
      </c>
      <c r="T409">
        <v>50.41</v>
      </c>
      <c r="U409">
        <v>1</v>
      </c>
      <c r="V409">
        <v>0</v>
      </c>
      <c r="W409">
        <v>112.86</v>
      </c>
      <c r="X409">
        <v>38.200000000000003</v>
      </c>
      <c r="Y409">
        <v>104.26</v>
      </c>
      <c r="Z409">
        <v>3</v>
      </c>
      <c r="AA409">
        <v>5.31</v>
      </c>
      <c r="AB409">
        <v>104.55</v>
      </c>
      <c r="AC409">
        <v>233.19702602230484</v>
      </c>
      <c r="AD409">
        <v>95.045454545454533</v>
      </c>
      <c r="AE409">
        <v>69.77</v>
      </c>
      <c r="AF409">
        <v>13.86</v>
      </c>
      <c r="AG409">
        <v>1</v>
      </c>
      <c r="AH409">
        <v>0.92</v>
      </c>
      <c r="AI409">
        <v>42.92</v>
      </c>
      <c r="AJ409">
        <v>236.95</v>
      </c>
      <c r="AK409">
        <v>75.849999999999994</v>
      </c>
      <c r="AL409" t="s">
        <v>14</v>
      </c>
      <c r="AM409" t="s">
        <v>15</v>
      </c>
      <c r="AN409" t="str">
        <f t="shared" si="24"/>
        <v>Evening</v>
      </c>
      <c r="AO409" t="str">
        <f t="shared" si="25"/>
        <v>Peak</v>
      </c>
      <c r="AP409" t="str">
        <f t="shared" si="26"/>
        <v>Medium</v>
      </c>
      <c r="AQ409" t="str">
        <f t="shared" si="27"/>
        <v>Medium</v>
      </c>
    </row>
    <row r="410" spans="1:43" x14ac:dyDescent="0.3">
      <c r="A410">
        <v>409</v>
      </c>
      <c r="B410" t="s">
        <v>23</v>
      </c>
      <c r="C410" t="s">
        <v>17</v>
      </c>
      <c r="D410" s="1">
        <v>46227</v>
      </c>
      <c r="E410" t="s">
        <v>9</v>
      </c>
      <c r="F410">
        <v>0</v>
      </c>
      <c r="G410">
        <v>10</v>
      </c>
      <c r="H410" t="s">
        <v>19</v>
      </c>
      <c r="I410" t="s">
        <v>42</v>
      </c>
      <c r="J410">
        <v>1.08</v>
      </c>
      <c r="K410" t="s">
        <v>12</v>
      </c>
      <c r="L410">
        <v>0</v>
      </c>
      <c r="M410">
        <v>3.01</v>
      </c>
      <c r="N410">
        <v>18</v>
      </c>
      <c r="O410" t="s">
        <v>22</v>
      </c>
      <c r="P410">
        <v>3</v>
      </c>
      <c r="Q410">
        <v>2.0299999999999998</v>
      </c>
      <c r="R410">
        <v>18.2</v>
      </c>
      <c r="S410">
        <v>70.39</v>
      </c>
      <c r="T410">
        <v>19.34</v>
      </c>
      <c r="U410">
        <v>1.0900000000000001</v>
      </c>
      <c r="V410">
        <v>6.34</v>
      </c>
      <c r="W410">
        <v>96.07</v>
      </c>
      <c r="X410">
        <v>47.7</v>
      </c>
      <c r="Y410">
        <v>109.84</v>
      </c>
      <c r="Z410">
        <v>4.67</v>
      </c>
      <c r="AA410">
        <v>4.8099999999999996</v>
      </c>
      <c r="AB410">
        <v>86.59</v>
      </c>
      <c r="AC410">
        <v>285.46153846153845</v>
      </c>
      <c r="AD410">
        <v>42.65517241379311</v>
      </c>
      <c r="AE410">
        <v>70.349999999999994</v>
      </c>
      <c r="AF410">
        <v>15.75</v>
      </c>
      <c r="AG410">
        <v>0</v>
      </c>
      <c r="AH410">
        <v>6.47</v>
      </c>
      <c r="AI410">
        <v>24.47</v>
      </c>
      <c r="AJ410">
        <v>291.24</v>
      </c>
      <c r="AK410">
        <v>68.099999999999994</v>
      </c>
      <c r="AL410" t="s">
        <v>23</v>
      </c>
      <c r="AM410" t="s">
        <v>24</v>
      </c>
      <c r="AN410" t="str">
        <f t="shared" si="24"/>
        <v>Morning</v>
      </c>
      <c r="AO410" t="str">
        <f t="shared" si="25"/>
        <v>Peak</v>
      </c>
      <c r="AP410" t="str">
        <f t="shared" si="26"/>
        <v>High</v>
      </c>
      <c r="AQ410" t="str">
        <f t="shared" si="27"/>
        <v>Low</v>
      </c>
    </row>
    <row r="411" spans="1:43" x14ac:dyDescent="0.3">
      <c r="A411">
        <v>410</v>
      </c>
      <c r="B411" t="s">
        <v>7</v>
      </c>
      <c r="C411" t="s">
        <v>8</v>
      </c>
      <c r="D411" s="1">
        <v>46071</v>
      </c>
      <c r="E411" t="s">
        <v>18</v>
      </c>
      <c r="F411">
        <v>0</v>
      </c>
      <c r="G411">
        <v>8</v>
      </c>
      <c r="H411" t="s">
        <v>49</v>
      </c>
      <c r="I411" t="s">
        <v>46</v>
      </c>
      <c r="J411">
        <v>1.1499999999999999</v>
      </c>
      <c r="K411" t="s">
        <v>12</v>
      </c>
      <c r="L411">
        <v>0</v>
      </c>
      <c r="M411">
        <v>3.71</v>
      </c>
      <c r="N411">
        <v>43</v>
      </c>
      <c r="O411" t="s">
        <v>35</v>
      </c>
      <c r="P411">
        <v>14</v>
      </c>
      <c r="Q411">
        <v>5.63</v>
      </c>
      <c r="R411">
        <v>39.1</v>
      </c>
      <c r="S411">
        <v>89.54</v>
      </c>
      <c r="T411">
        <v>34.11</v>
      </c>
      <c r="U411">
        <v>1</v>
      </c>
      <c r="V411">
        <v>0</v>
      </c>
      <c r="W411">
        <v>123.65</v>
      </c>
      <c r="X411">
        <v>35.1</v>
      </c>
      <c r="Y411">
        <v>100.97</v>
      </c>
      <c r="Z411">
        <v>16.190000000000001</v>
      </c>
      <c r="AA411">
        <v>10.36</v>
      </c>
      <c r="AB411">
        <v>97.1</v>
      </c>
      <c r="AC411">
        <v>149.00255754475702</v>
      </c>
      <c r="AD411">
        <v>17.24689165186501</v>
      </c>
      <c r="AE411">
        <v>71.400000000000006</v>
      </c>
      <c r="AF411">
        <v>16.05</v>
      </c>
      <c r="AG411">
        <v>0</v>
      </c>
      <c r="AH411">
        <v>-3.3</v>
      </c>
      <c r="AI411">
        <v>39.700000000000003</v>
      </c>
      <c r="AJ411">
        <v>158.27000000000001</v>
      </c>
      <c r="AK411">
        <v>72.86</v>
      </c>
      <c r="AL411" t="s">
        <v>14</v>
      </c>
      <c r="AM411" t="s">
        <v>15</v>
      </c>
      <c r="AN411" t="str">
        <f t="shared" si="24"/>
        <v>Morning</v>
      </c>
      <c r="AO411" t="str">
        <f t="shared" si="25"/>
        <v>Peak</v>
      </c>
      <c r="AP411" t="str">
        <f t="shared" si="26"/>
        <v>Low</v>
      </c>
      <c r="AQ411" t="str">
        <f t="shared" si="27"/>
        <v>Medium</v>
      </c>
    </row>
    <row r="412" spans="1:43" x14ac:dyDescent="0.3">
      <c r="A412">
        <v>411</v>
      </c>
      <c r="B412" t="s">
        <v>14</v>
      </c>
      <c r="C412" t="s">
        <v>8</v>
      </c>
      <c r="D412" s="1">
        <v>46155</v>
      </c>
      <c r="E412" t="s">
        <v>18</v>
      </c>
      <c r="F412">
        <v>0</v>
      </c>
      <c r="G412">
        <v>12</v>
      </c>
      <c r="H412" t="s">
        <v>10</v>
      </c>
      <c r="I412" t="s">
        <v>33</v>
      </c>
      <c r="J412">
        <v>1</v>
      </c>
      <c r="K412" t="s">
        <v>12</v>
      </c>
      <c r="L412">
        <v>0</v>
      </c>
      <c r="M412">
        <v>4.7300000000000004</v>
      </c>
      <c r="N412">
        <v>73</v>
      </c>
      <c r="O412" t="s">
        <v>13</v>
      </c>
      <c r="P412">
        <v>33</v>
      </c>
      <c r="Q412">
        <v>3.06</v>
      </c>
      <c r="R412">
        <v>40.700000000000003</v>
      </c>
      <c r="S412">
        <v>76.16</v>
      </c>
      <c r="T412">
        <v>94.69</v>
      </c>
      <c r="U412">
        <v>1</v>
      </c>
      <c r="V412">
        <v>0</v>
      </c>
      <c r="W412">
        <v>170.85</v>
      </c>
      <c r="X412">
        <v>48</v>
      </c>
      <c r="Y412">
        <v>108.4</v>
      </c>
      <c r="Z412">
        <v>6.9</v>
      </c>
      <c r="AA412">
        <v>6.95</v>
      </c>
      <c r="AB412">
        <v>157</v>
      </c>
      <c r="AC412">
        <v>231.44963144963145</v>
      </c>
      <c r="AD412">
        <v>51.307189542483663</v>
      </c>
      <c r="AE412">
        <v>83.36</v>
      </c>
      <c r="AF412">
        <v>19.920000000000002</v>
      </c>
      <c r="AG412">
        <v>1</v>
      </c>
      <c r="AH412">
        <v>4.4400000000000004</v>
      </c>
      <c r="AI412">
        <v>77.44</v>
      </c>
      <c r="AJ412">
        <v>238.21</v>
      </c>
      <c r="AK412">
        <v>71.89</v>
      </c>
      <c r="AL412" t="s">
        <v>14</v>
      </c>
      <c r="AM412" t="s">
        <v>15</v>
      </c>
      <c r="AN412" t="str">
        <f t="shared" si="24"/>
        <v>Afternoon</v>
      </c>
      <c r="AO412" t="str">
        <f t="shared" si="25"/>
        <v>Off-Peak</v>
      </c>
      <c r="AP412" t="str">
        <f t="shared" si="26"/>
        <v>Medium</v>
      </c>
      <c r="AQ412" t="str">
        <f t="shared" si="27"/>
        <v>High</v>
      </c>
    </row>
    <row r="413" spans="1:43" x14ac:dyDescent="0.3">
      <c r="A413">
        <v>412</v>
      </c>
      <c r="B413" t="s">
        <v>14</v>
      </c>
      <c r="C413" t="s">
        <v>8</v>
      </c>
      <c r="D413" s="1">
        <v>46096</v>
      </c>
      <c r="E413" t="s">
        <v>26</v>
      </c>
      <c r="F413">
        <v>1</v>
      </c>
      <c r="G413">
        <v>21</v>
      </c>
      <c r="H413" t="s">
        <v>51</v>
      </c>
      <c r="I413" t="s">
        <v>46</v>
      </c>
      <c r="J413">
        <v>1.1499999999999999</v>
      </c>
      <c r="K413" t="s">
        <v>34</v>
      </c>
      <c r="L413">
        <v>1</v>
      </c>
      <c r="M413">
        <v>3.46</v>
      </c>
      <c r="N413">
        <v>125</v>
      </c>
      <c r="O413" t="s">
        <v>13</v>
      </c>
      <c r="P413">
        <v>35</v>
      </c>
      <c r="Q413">
        <v>3.84</v>
      </c>
      <c r="R413">
        <v>49</v>
      </c>
      <c r="S413">
        <v>74.44</v>
      </c>
      <c r="T413">
        <v>100</v>
      </c>
      <c r="U413">
        <v>1</v>
      </c>
      <c r="V413">
        <v>0</v>
      </c>
      <c r="W413">
        <v>174.44</v>
      </c>
      <c r="X413">
        <v>35.799999999999997</v>
      </c>
      <c r="Y413">
        <v>104.95</v>
      </c>
      <c r="Z413">
        <v>11.25</v>
      </c>
      <c r="AA413">
        <v>6.28</v>
      </c>
      <c r="AB413">
        <v>156.91</v>
      </c>
      <c r="AC413">
        <v>192.13469387755103</v>
      </c>
      <c r="AD413">
        <v>40.861979166666664</v>
      </c>
      <c r="AE413">
        <v>86.36</v>
      </c>
      <c r="AF413">
        <v>14.01</v>
      </c>
      <c r="AG413">
        <v>1</v>
      </c>
      <c r="AH413">
        <v>25.96</v>
      </c>
      <c r="AI413">
        <v>150.96</v>
      </c>
      <c r="AJ413">
        <v>189.87</v>
      </c>
      <c r="AK413">
        <v>84.42</v>
      </c>
      <c r="AL413" t="s">
        <v>14</v>
      </c>
      <c r="AM413" t="s">
        <v>15</v>
      </c>
      <c r="AN413" t="str">
        <f t="shared" si="24"/>
        <v>Night</v>
      </c>
      <c r="AO413" t="str">
        <f t="shared" si="25"/>
        <v>Off-Peak</v>
      </c>
      <c r="AP413" t="str">
        <f t="shared" si="26"/>
        <v>Medium</v>
      </c>
      <c r="AQ413" t="str">
        <f t="shared" si="27"/>
        <v>High</v>
      </c>
    </row>
    <row r="414" spans="1:43" x14ac:dyDescent="0.3">
      <c r="A414">
        <v>413</v>
      </c>
      <c r="B414" t="s">
        <v>14</v>
      </c>
      <c r="C414" t="s">
        <v>8</v>
      </c>
      <c r="D414" s="1">
        <v>46074</v>
      </c>
      <c r="E414" t="s">
        <v>31</v>
      </c>
      <c r="F414">
        <v>1</v>
      </c>
      <c r="G414">
        <v>18</v>
      </c>
      <c r="H414" t="s">
        <v>51</v>
      </c>
      <c r="I414" t="s">
        <v>37</v>
      </c>
      <c r="J414">
        <v>1.02</v>
      </c>
      <c r="K414" t="s">
        <v>21</v>
      </c>
      <c r="L414">
        <v>0</v>
      </c>
      <c r="M414">
        <v>2.95</v>
      </c>
      <c r="N414">
        <v>91</v>
      </c>
      <c r="O414" t="s">
        <v>13</v>
      </c>
      <c r="P414">
        <v>43</v>
      </c>
      <c r="Q414">
        <v>6.3</v>
      </c>
      <c r="R414">
        <v>44.7</v>
      </c>
      <c r="S414">
        <v>103.42</v>
      </c>
      <c r="T414">
        <v>100</v>
      </c>
      <c r="U414">
        <v>1</v>
      </c>
      <c r="V414">
        <v>0</v>
      </c>
      <c r="W414">
        <v>203.42</v>
      </c>
      <c r="X414">
        <v>40.9</v>
      </c>
      <c r="Y414">
        <v>101.11</v>
      </c>
      <c r="Z414">
        <v>15.58</v>
      </c>
      <c r="AA414">
        <v>3.46</v>
      </c>
      <c r="AB414">
        <v>184.38</v>
      </c>
      <c r="AC414">
        <v>247.48993288590603</v>
      </c>
      <c r="AD414">
        <v>29.266666666666666</v>
      </c>
      <c r="AE414">
        <v>58.31</v>
      </c>
      <c r="AF414">
        <v>17.97</v>
      </c>
      <c r="AG414">
        <v>1</v>
      </c>
      <c r="AH414">
        <v>18.73</v>
      </c>
      <c r="AI414">
        <v>109.73</v>
      </c>
      <c r="AJ414">
        <v>282.81</v>
      </c>
      <c r="AK414">
        <v>76.3</v>
      </c>
      <c r="AL414" t="s">
        <v>14</v>
      </c>
      <c r="AM414" t="s">
        <v>15</v>
      </c>
      <c r="AN414" t="str">
        <f t="shared" si="24"/>
        <v>Night</v>
      </c>
      <c r="AO414" t="str">
        <f t="shared" si="25"/>
        <v>Peak</v>
      </c>
      <c r="AP414" t="str">
        <f t="shared" si="26"/>
        <v>Medium</v>
      </c>
      <c r="AQ414" t="str">
        <f t="shared" si="27"/>
        <v>High</v>
      </c>
    </row>
    <row r="415" spans="1:43" x14ac:dyDescent="0.3">
      <c r="A415">
        <v>414</v>
      </c>
      <c r="B415" t="s">
        <v>7</v>
      </c>
      <c r="C415" t="s">
        <v>8</v>
      </c>
      <c r="D415" s="1">
        <v>46271</v>
      </c>
      <c r="E415" t="s">
        <v>26</v>
      </c>
      <c r="F415">
        <v>1</v>
      </c>
      <c r="G415">
        <v>14</v>
      </c>
      <c r="H415" t="s">
        <v>10</v>
      </c>
      <c r="I415" t="s">
        <v>37</v>
      </c>
      <c r="J415">
        <v>1.02</v>
      </c>
      <c r="K415" t="s">
        <v>12</v>
      </c>
      <c r="L415">
        <v>0</v>
      </c>
      <c r="M415">
        <v>3.5</v>
      </c>
      <c r="N415">
        <v>88</v>
      </c>
      <c r="O415" t="s">
        <v>13</v>
      </c>
      <c r="P415">
        <v>29</v>
      </c>
      <c r="Q415">
        <v>1.99</v>
      </c>
      <c r="R415">
        <v>35.200000000000003</v>
      </c>
      <c r="S415">
        <v>61.76</v>
      </c>
      <c r="T415">
        <v>100</v>
      </c>
      <c r="U415">
        <v>1</v>
      </c>
      <c r="V415">
        <v>0</v>
      </c>
      <c r="W415">
        <v>161.76</v>
      </c>
      <c r="X415">
        <v>47</v>
      </c>
      <c r="Y415">
        <v>109.52</v>
      </c>
      <c r="Z415">
        <v>4.63</v>
      </c>
      <c r="AA415">
        <v>10.76</v>
      </c>
      <c r="AB415">
        <v>146.37</v>
      </c>
      <c r="AC415">
        <v>249.49431818181819</v>
      </c>
      <c r="AD415">
        <v>73.552763819095475</v>
      </c>
      <c r="AE415">
        <v>81.069999999999993</v>
      </c>
      <c r="AF415">
        <v>9.84</v>
      </c>
      <c r="AG415">
        <v>1</v>
      </c>
      <c r="AH415">
        <v>18.84</v>
      </c>
      <c r="AI415">
        <v>106.84</v>
      </c>
      <c r="AJ415">
        <v>271.06</v>
      </c>
      <c r="AK415">
        <v>74.5</v>
      </c>
      <c r="AL415" t="s">
        <v>14</v>
      </c>
      <c r="AM415" t="s">
        <v>15</v>
      </c>
      <c r="AN415" t="str">
        <f t="shared" si="24"/>
        <v>Afternoon</v>
      </c>
      <c r="AO415" t="str">
        <f t="shared" si="25"/>
        <v>Off-Peak</v>
      </c>
      <c r="AP415" t="str">
        <f t="shared" si="26"/>
        <v>Medium</v>
      </c>
      <c r="AQ415" t="str">
        <f t="shared" si="27"/>
        <v>High</v>
      </c>
    </row>
    <row r="416" spans="1:43" x14ac:dyDescent="0.3">
      <c r="A416">
        <v>415</v>
      </c>
      <c r="B416" t="s">
        <v>7</v>
      </c>
      <c r="C416" t="s">
        <v>8</v>
      </c>
      <c r="D416" s="1">
        <v>46074</v>
      </c>
      <c r="E416" t="s">
        <v>31</v>
      </c>
      <c r="F416">
        <v>1</v>
      </c>
      <c r="G416">
        <v>11</v>
      </c>
      <c r="H416" t="s">
        <v>10</v>
      </c>
      <c r="I416" t="s">
        <v>45</v>
      </c>
      <c r="J416">
        <v>1</v>
      </c>
      <c r="K416" t="s">
        <v>12</v>
      </c>
      <c r="L416">
        <v>0</v>
      </c>
      <c r="M416">
        <v>2.15</v>
      </c>
      <c r="N416">
        <v>31</v>
      </c>
      <c r="O416" t="s">
        <v>22</v>
      </c>
      <c r="P416">
        <v>14</v>
      </c>
      <c r="Q416">
        <v>3.7</v>
      </c>
      <c r="R416">
        <v>30.9</v>
      </c>
      <c r="S416">
        <v>72.56</v>
      </c>
      <c r="T416">
        <v>47.38</v>
      </c>
      <c r="U416">
        <v>1</v>
      </c>
      <c r="V416">
        <v>0</v>
      </c>
      <c r="W416">
        <v>119.94</v>
      </c>
      <c r="X416">
        <v>41.1</v>
      </c>
      <c r="Y416">
        <v>105.49</v>
      </c>
      <c r="Z416">
        <v>9.5</v>
      </c>
      <c r="AA416">
        <v>2.5499999999999998</v>
      </c>
      <c r="AB416">
        <v>107.89</v>
      </c>
      <c r="AC416">
        <v>209.49514563106797</v>
      </c>
      <c r="AD416">
        <v>29.159459459459459</v>
      </c>
      <c r="AE416">
        <v>60.52</v>
      </c>
      <c r="AF416">
        <v>11.71</v>
      </c>
      <c r="AG416">
        <v>1</v>
      </c>
      <c r="AH416">
        <v>-17.13</v>
      </c>
      <c r="AI416">
        <v>13.87</v>
      </c>
      <c r="AJ416">
        <v>233.81</v>
      </c>
      <c r="AK416">
        <v>63.3</v>
      </c>
      <c r="AL416" t="s">
        <v>14</v>
      </c>
      <c r="AM416" t="s">
        <v>15</v>
      </c>
      <c r="AN416" t="str">
        <f t="shared" si="24"/>
        <v>Afternoon</v>
      </c>
      <c r="AO416" t="str">
        <f t="shared" si="25"/>
        <v>Off-Peak</v>
      </c>
      <c r="AP416" t="str">
        <f t="shared" si="26"/>
        <v>Medium</v>
      </c>
      <c r="AQ416" t="str">
        <f t="shared" si="27"/>
        <v>Low</v>
      </c>
    </row>
    <row r="417" spans="1:43" x14ac:dyDescent="0.3">
      <c r="A417">
        <v>416</v>
      </c>
      <c r="B417" t="s">
        <v>25</v>
      </c>
      <c r="C417" t="s">
        <v>17</v>
      </c>
      <c r="D417" s="1">
        <v>46047</v>
      </c>
      <c r="E417" t="s">
        <v>26</v>
      </c>
      <c r="F417">
        <v>1</v>
      </c>
      <c r="G417">
        <v>9</v>
      </c>
      <c r="H417" t="s">
        <v>27</v>
      </c>
      <c r="I417" t="s">
        <v>46</v>
      </c>
      <c r="J417">
        <v>1.1499999999999999</v>
      </c>
      <c r="K417" t="s">
        <v>12</v>
      </c>
      <c r="L417">
        <v>0</v>
      </c>
      <c r="M417">
        <v>4.7</v>
      </c>
      <c r="N417">
        <v>90</v>
      </c>
      <c r="O417" t="s">
        <v>13</v>
      </c>
      <c r="P417">
        <v>22</v>
      </c>
      <c r="Q417">
        <v>2.7</v>
      </c>
      <c r="R417">
        <v>39.299999999999997</v>
      </c>
      <c r="S417">
        <v>95.13</v>
      </c>
      <c r="T417">
        <v>100</v>
      </c>
      <c r="U417">
        <v>1.29</v>
      </c>
      <c r="V417">
        <v>27.59</v>
      </c>
      <c r="W417">
        <v>222.72</v>
      </c>
      <c r="X417">
        <v>47.3</v>
      </c>
      <c r="Y417">
        <v>108.81</v>
      </c>
      <c r="Z417">
        <v>6.22</v>
      </c>
      <c r="AA417">
        <v>4.4000000000000004</v>
      </c>
      <c r="AB417">
        <v>212.1</v>
      </c>
      <c r="AC417">
        <v>323.81679389312978</v>
      </c>
      <c r="AD417">
        <v>78.555555555555543</v>
      </c>
      <c r="AE417">
        <v>76.47</v>
      </c>
      <c r="AF417">
        <v>15.2</v>
      </c>
      <c r="AG417">
        <v>1</v>
      </c>
      <c r="AH417">
        <v>-14.7</v>
      </c>
      <c r="AI417">
        <v>75.3</v>
      </c>
      <c r="AJ417">
        <v>347.63</v>
      </c>
      <c r="AK417">
        <v>71.61</v>
      </c>
      <c r="AL417" t="s">
        <v>23</v>
      </c>
      <c r="AM417" t="s">
        <v>24</v>
      </c>
      <c r="AN417" t="str">
        <f t="shared" si="24"/>
        <v>Morning</v>
      </c>
      <c r="AO417" t="str">
        <f t="shared" si="25"/>
        <v>Peak</v>
      </c>
      <c r="AP417" t="str">
        <f t="shared" si="26"/>
        <v>High</v>
      </c>
      <c r="AQ417" t="str">
        <f t="shared" si="27"/>
        <v>High</v>
      </c>
    </row>
    <row r="418" spans="1:43" x14ac:dyDescent="0.3">
      <c r="A418">
        <v>417</v>
      </c>
      <c r="B418" t="s">
        <v>23</v>
      </c>
      <c r="C418" t="s">
        <v>17</v>
      </c>
      <c r="D418" s="1">
        <v>46196</v>
      </c>
      <c r="E418" t="s">
        <v>44</v>
      </c>
      <c r="F418">
        <v>0</v>
      </c>
      <c r="G418">
        <v>11</v>
      </c>
      <c r="H418" t="s">
        <v>19</v>
      </c>
      <c r="I418" t="s">
        <v>33</v>
      </c>
      <c r="J418">
        <v>1</v>
      </c>
      <c r="K418" t="s">
        <v>12</v>
      </c>
      <c r="L418">
        <v>0</v>
      </c>
      <c r="M418">
        <v>3.28</v>
      </c>
      <c r="N418">
        <v>22</v>
      </c>
      <c r="O418" t="s">
        <v>22</v>
      </c>
      <c r="P418">
        <v>5</v>
      </c>
      <c r="Q418">
        <v>11.49</v>
      </c>
      <c r="R418">
        <v>78.900000000000006</v>
      </c>
      <c r="S418">
        <v>187.12</v>
      </c>
      <c r="T418">
        <v>16.559999999999999</v>
      </c>
      <c r="U418">
        <v>1.0900000000000001</v>
      </c>
      <c r="V418">
        <v>16.84</v>
      </c>
      <c r="W418">
        <v>220.52</v>
      </c>
      <c r="X418">
        <v>36.5</v>
      </c>
      <c r="Y418">
        <v>108.69</v>
      </c>
      <c r="Z418">
        <v>34.21</v>
      </c>
      <c r="AA418">
        <v>8.2100000000000009</v>
      </c>
      <c r="AB418">
        <v>178.1</v>
      </c>
      <c r="AC418">
        <v>135.43726235741443</v>
      </c>
      <c r="AD418">
        <v>15.500435161009573</v>
      </c>
      <c r="AE418">
        <v>72.89</v>
      </c>
      <c r="AF418">
        <v>19.14</v>
      </c>
      <c r="AG418">
        <v>0</v>
      </c>
      <c r="AH418">
        <v>6.27</v>
      </c>
      <c r="AI418">
        <v>28.27</v>
      </c>
      <c r="AJ418">
        <v>128.54</v>
      </c>
      <c r="AK418">
        <v>72.23</v>
      </c>
      <c r="AL418" t="s">
        <v>23</v>
      </c>
      <c r="AM418" t="s">
        <v>24</v>
      </c>
      <c r="AN418" t="str">
        <f t="shared" si="24"/>
        <v>Afternoon</v>
      </c>
      <c r="AO418" t="str">
        <f t="shared" si="25"/>
        <v>Off-Peak</v>
      </c>
      <c r="AP418" t="str">
        <f t="shared" si="26"/>
        <v>Low</v>
      </c>
      <c r="AQ418" t="str">
        <f t="shared" si="27"/>
        <v>Low</v>
      </c>
    </row>
    <row r="419" spans="1:43" x14ac:dyDescent="0.3">
      <c r="A419">
        <v>418</v>
      </c>
      <c r="B419" t="s">
        <v>7</v>
      </c>
      <c r="C419" t="s">
        <v>8</v>
      </c>
      <c r="D419" s="1">
        <v>46246</v>
      </c>
      <c r="E419" t="s">
        <v>18</v>
      </c>
      <c r="F419">
        <v>0</v>
      </c>
      <c r="G419">
        <v>9</v>
      </c>
      <c r="H419" t="s">
        <v>49</v>
      </c>
      <c r="I419" t="s">
        <v>39</v>
      </c>
      <c r="J419">
        <v>1.05</v>
      </c>
      <c r="K419" t="s">
        <v>12</v>
      </c>
      <c r="L419">
        <v>0</v>
      </c>
      <c r="M419">
        <v>3.88</v>
      </c>
      <c r="N419">
        <v>7</v>
      </c>
      <c r="O419" t="s">
        <v>22</v>
      </c>
      <c r="P419">
        <v>2</v>
      </c>
      <c r="Q419">
        <v>7.09</v>
      </c>
      <c r="R419">
        <v>53.7</v>
      </c>
      <c r="S419">
        <v>98.75</v>
      </c>
      <c r="T419">
        <v>14.97</v>
      </c>
      <c r="U419">
        <v>1</v>
      </c>
      <c r="V419">
        <v>0</v>
      </c>
      <c r="W419">
        <v>113.72</v>
      </c>
      <c r="X419">
        <v>42.7</v>
      </c>
      <c r="Y419">
        <v>100.15</v>
      </c>
      <c r="Z419">
        <v>16.63</v>
      </c>
      <c r="AA419">
        <v>9.02</v>
      </c>
      <c r="AB419">
        <v>88.07</v>
      </c>
      <c r="AC419">
        <v>98.402234636871498</v>
      </c>
      <c r="AD419">
        <v>12.421720733427362</v>
      </c>
      <c r="AE419">
        <v>69.739999999999995</v>
      </c>
      <c r="AF419">
        <v>17.350000000000001</v>
      </c>
      <c r="AG419">
        <v>0</v>
      </c>
      <c r="AH419">
        <v>14.56</v>
      </c>
      <c r="AI419">
        <v>21.56</v>
      </c>
      <c r="AJ419">
        <v>63.23</v>
      </c>
      <c r="AK419">
        <v>62.59</v>
      </c>
      <c r="AL419" t="s">
        <v>14</v>
      </c>
      <c r="AM419" t="s">
        <v>15</v>
      </c>
      <c r="AN419" t="str">
        <f t="shared" si="24"/>
        <v>Morning</v>
      </c>
      <c r="AO419" t="str">
        <f t="shared" si="25"/>
        <v>Peak</v>
      </c>
      <c r="AP419" t="str">
        <f t="shared" si="26"/>
        <v>Low</v>
      </c>
      <c r="AQ419" t="str">
        <f t="shared" si="27"/>
        <v>Low</v>
      </c>
    </row>
    <row r="420" spans="1:43" x14ac:dyDescent="0.3">
      <c r="A420">
        <v>419</v>
      </c>
      <c r="B420" t="s">
        <v>48</v>
      </c>
      <c r="C420" t="s">
        <v>30</v>
      </c>
      <c r="D420" s="1">
        <v>46055</v>
      </c>
      <c r="E420" t="s">
        <v>38</v>
      </c>
      <c r="F420">
        <v>0</v>
      </c>
      <c r="G420">
        <v>9</v>
      </c>
      <c r="H420" t="s">
        <v>47</v>
      </c>
      <c r="I420" t="s">
        <v>46</v>
      </c>
      <c r="J420">
        <v>1.1499999999999999</v>
      </c>
      <c r="K420" t="s">
        <v>12</v>
      </c>
      <c r="L420">
        <v>0</v>
      </c>
      <c r="M420">
        <v>3.32</v>
      </c>
      <c r="N420">
        <v>19</v>
      </c>
      <c r="O420" t="s">
        <v>22</v>
      </c>
      <c r="P420">
        <v>3</v>
      </c>
      <c r="Q420">
        <v>3.07</v>
      </c>
      <c r="R420">
        <v>31.6</v>
      </c>
      <c r="S420">
        <v>77.89</v>
      </c>
      <c r="T420">
        <v>41.38</v>
      </c>
      <c r="U420">
        <v>1</v>
      </c>
      <c r="V420">
        <v>0</v>
      </c>
      <c r="W420">
        <v>119.27</v>
      </c>
      <c r="X420">
        <v>43.7</v>
      </c>
      <c r="Y420">
        <v>102.65</v>
      </c>
      <c r="Z420">
        <v>7.21</v>
      </c>
      <c r="AA420">
        <v>10.01</v>
      </c>
      <c r="AB420">
        <v>102.05</v>
      </c>
      <c r="AC420">
        <v>193.7658227848101</v>
      </c>
      <c r="AD420">
        <v>33.241042345276874</v>
      </c>
      <c r="AE420">
        <v>77.53</v>
      </c>
      <c r="AF420">
        <v>13.38</v>
      </c>
      <c r="AG420">
        <v>0</v>
      </c>
      <c r="AH420">
        <v>-4.79</v>
      </c>
      <c r="AI420">
        <v>14.21</v>
      </c>
      <c r="AJ420">
        <v>175.04</v>
      </c>
      <c r="AK420">
        <v>71.42</v>
      </c>
      <c r="AL420" t="s">
        <v>23</v>
      </c>
      <c r="AM420" t="s">
        <v>24</v>
      </c>
      <c r="AN420" t="str">
        <f t="shared" si="24"/>
        <v>Morning</v>
      </c>
      <c r="AO420" t="str">
        <f t="shared" si="25"/>
        <v>Peak</v>
      </c>
      <c r="AP420" t="str">
        <f t="shared" si="26"/>
        <v>Medium</v>
      </c>
      <c r="AQ420" t="str">
        <f t="shared" si="27"/>
        <v>Low</v>
      </c>
    </row>
    <row r="421" spans="1:43" x14ac:dyDescent="0.3">
      <c r="A421">
        <v>420</v>
      </c>
      <c r="B421" t="s">
        <v>29</v>
      </c>
      <c r="C421" t="s">
        <v>30</v>
      </c>
      <c r="D421" s="1">
        <v>46205</v>
      </c>
      <c r="E421" t="s">
        <v>41</v>
      </c>
      <c r="F421">
        <v>0</v>
      </c>
      <c r="G421">
        <v>18</v>
      </c>
      <c r="H421" t="s">
        <v>32</v>
      </c>
      <c r="I421" t="s">
        <v>28</v>
      </c>
      <c r="J421">
        <v>1.03</v>
      </c>
      <c r="K421" t="s">
        <v>34</v>
      </c>
      <c r="L421">
        <v>1</v>
      </c>
      <c r="M421">
        <v>4.7699999999999996</v>
      </c>
      <c r="N421">
        <v>82</v>
      </c>
      <c r="O421" t="s">
        <v>13</v>
      </c>
      <c r="P421">
        <v>14</v>
      </c>
      <c r="Q421">
        <v>2.94</v>
      </c>
      <c r="R421">
        <v>47.4</v>
      </c>
      <c r="S421">
        <v>78.8</v>
      </c>
      <c r="T421">
        <v>93.32</v>
      </c>
      <c r="U421">
        <v>1</v>
      </c>
      <c r="V421">
        <v>0</v>
      </c>
      <c r="W421">
        <v>172.12</v>
      </c>
      <c r="X421">
        <v>48.4</v>
      </c>
      <c r="Y421">
        <v>103.37</v>
      </c>
      <c r="Z421">
        <v>6.29</v>
      </c>
      <c r="AA421">
        <v>6.1</v>
      </c>
      <c r="AB421">
        <v>159.72999999999999</v>
      </c>
      <c r="AC421">
        <v>202.18987341772151</v>
      </c>
      <c r="AD421">
        <v>54.329931972789112</v>
      </c>
      <c r="AE421">
        <v>84.32</v>
      </c>
      <c r="AF421">
        <v>15.79</v>
      </c>
      <c r="AG421">
        <v>1</v>
      </c>
      <c r="AH421">
        <v>-7.46</v>
      </c>
      <c r="AI421">
        <v>74.540000000000006</v>
      </c>
      <c r="AJ421">
        <v>224.77</v>
      </c>
      <c r="AK421">
        <v>71.91</v>
      </c>
      <c r="AL421" t="s">
        <v>23</v>
      </c>
      <c r="AM421" t="s">
        <v>24</v>
      </c>
      <c r="AN421" t="str">
        <f t="shared" si="24"/>
        <v>Night</v>
      </c>
      <c r="AO421" t="str">
        <f t="shared" si="25"/>
        <v>Peak</v>
      </c>
      <c r="AP421" t="str">
        <f t="shared" si="26"/>
        <v>Medium</v>
      </c>
      <c r="AQ421" t="str">
        <f t="shared" si="27"/>
        <v>High</v>
      </c>
    </row>
    <row r="422" spans="1:43" x14ac:dyDescent="0.3">
      <c r="A422">
        <v>421</v>
      </c>
      <c r="B422" t="s">
        <v>23</v>
      </c>
      <c r="C422" t="s">
        <v>17</v>
      </c>
      <c r="D422" s="1">
        <v>46162</v>
      </c>
      <c r="E422" t="s">
        <v>18</v>
      </c>
      <c r="F422">
        <v>0</v>
      </c>
      <c r="G422">
        <v>9</v>
      </c>
      <c r="H422" t="s">
        <v>27</v>
      </c>
      <c r="I422" t="s">
        <v>42</v>
      </c>
      <c r="J422">
        <v>1.08</v>
      </c>
      <c r="K422" t="s">
        <v>12</v>
      </c>
      <c r="L422">
        <v>0</v>
      </c>
      <c r="M422">
        <v>5</v>
      </c>
      <c r="N422">
        <v>74</v>
      </c>
      <c r="O422" t="s">
        <v>13</v>
      </c>
      <c r="P422">
        <v>10</v>
      </c>
      <c r="Q422">
        <v>12.33</v>
      </c>
      <c r="R422">
        <v>83.7</v>
      </c>
      <c r="S422">
        <v>188.34</v>
      </c>
      <c r="T422">
        <v>92.61</v>
      </c>
      <c r="U422">
        <v>1.32</v>
      </c>
      <c r="V422">
        <v>60.27</v>
      </c>
      <c r="W422">
        <v>341.22</v>
      </c>
      <c r="X422">
        <v>36.4</v>
      </c>
      <c r="Y422">
        <v>105.35</v>
      </c>
      <c r="Z422">
        <v>35.69</v>
      </c>
      <c r="AA422">
        <v>5.47</v>
      </c>
      <c r="AB422">
        <v>300.06</v>
      </c>
      <c r="AC422">
        <v>215.09677419354838</v>
      </c>
      <c r="AD422">
        <v>24.335766423357665</v>
      </c>
      <c r="AE422">
        <v>71.73</v>
      </c>
      <c r="AF422">
        <v>14.51</v>
      </c>
      <c r="AG422">
        <v>1</v>
      </c>
      <c r="AH422">
        <v>23.91</v>
      </c>
      <c r="AI422">
        <v>97.91</v>
      </c>
      <c r="AJ422">
        <v>221.49</v>
      </c>
      <c r="AK422">
        <v>75.72</v>
      </c>
      <c r="AL422" t="s">
        <v>23</v>
      </c>
      <c r="AM422" t="s">
        <v>24</v>
      </c>
      <c r="AN422" t="str">
        <f t="shared" si="24"/>
        <v>Morning</v>
      </c>
      <c r="AO422" t="str">
        <f t="shared" si="25"/>
        <v>Peak</v>
      </c>
      <c r="AP422" t="str">
        <f t="shared" si="26"/>
        <v>Medium</v>
      </c>
      <c r="AQ422" t="str">
        <f t="shared" si="27"/>
        <v>High</v>
      </c>
    </row>
    <row r="423" spans="1:43" x14ac:dyDescent="0.3">
      <c r="A423">
        <v>422</v>
      </c>
      <c r="B423" t="s">
        <v>25</v>
      </c>
      <c r="C423" t="s">
        <v>17</v>
      </c>
      <c r="D423" s="1">
        <v>46237</v>
      </c>
      <c r="E423" t="s">
        <v>38</v>
      </c>
      <c r="F423">
        <v>0</v>
      </c>
      <c r="G423">
        <v>7</v>
      </c>
      <c r="H423" t="s">
        <v>27</v>
      </c>
      <c r="I423" t="s">
        <v>45</v>
      </c>
      <c r="J423">
        <v>1</v>
      </c>
      <c r="K423" t="s">
        <v>21</v>
      </c>
      <c r="L423">
        <v>0</v>
      </c>
      <c r="M423">
        <v>4.4800000000000004</v>
      </c>
      <c r="N423">
        <v>73</v>
      </c>
      <c r="O423" t="s">
        <v>13</v>
      </c>
      <c r="P423">
        <v>15</v>
      </c>
      <c r="Q423">
        <v>11.69</v>
      </c>
      <c r="R423">
        <v>84</v>
      </c>
      <c r="S423">
        <v>181.99</v>
      </c>
      <c r="T423">
        <v>89.63</v>
      </c>
      <c r="U423">
        <v>1.21</v>
      </c>
      <c r="V423">
        <v>38.22</v>
      </c>
      <c r="W423">
        <v>309.83999999999997</v>
      </c>
      <c r="X423">
        <v>40.1</v>
      </c>
      <c r="Y423">
        <v>100.72</v>
      </c>
      <c r="Z423">
        <v>29.38</v>
      </c>
      <c r="AA423">
        <v>4.8899999999999997</v>
      </c>
      <c r="AB423">
        <v>275.57</v>
      </c>
      <c r="AC423">
        <v>196.83571428571429</v>
      </c>
      <c r="AD423">
        <v>23.573139435414884</v>
      </c>
      <c r="AE423">
        <v>71.36</v>
      </c>
      <c r="AF423">
        <v>13.37</v>
      </c>
      <c r="AG423">
        <v>1</v>
      </c>
      <c r="AH423">
        <v>13.29</v>
      </c>
      <c r="AI423">
        <v>86.29</v>
      </c>
      <c r="AJ423">
        <v>198.62</v>
      </c>
      <c r="AK423">
        <v>77.239999999999995</v>
      </c>
      <c r="AL423" t="s">
        <v>23</v>
      </c>
      <c r="AM423" t="s">
        <v>24</v>
      </c>
      <c r="AN423" t="str">
        <f t="shared" si="24"/>
        <v>Morning</v>
      </c>
      <c r="AO423" t="str">
        <f t="shared" si="25"/>
        <v>Peak</v>
      </c>
      <c r="AP423" t="str">
        <f t="shared" si="26"/>
        <v>Medium</v>
      </c>
      <c r="AQ423" t="str">
        <f t="shared" si="27"/>
        <v>High</v>
      </c>
    </row>
    <row r="424" spans="1:43" x14ac:dyDescent="0.3">
      <c r="A424">
        <v>423</v>
      </c>
      <c r="B424" t="s">
        <v>16</v>
      </c>
      <c r="C424" t="s">
        <v>17</v>
      </c>
      <c r="D424" s="1">
        <v>46055</v>
      </c>
      <c r="E424" t="s">
        <v>38</v>
      </c>
      <c r="F424">
        <v>0</v>
      </c>
      <c r="G424">
        <v>15</v>
      </c>
      <c r="H424" t="s">
        <v>19</v>
      </c>
      <c r="I424" t="s">
        <v>28</v>
      </c>
      <c r="J424">
        <v>1.03</v>
      </c>
      <c r="K424" t="s">
        <v>12</v>
      </c>
      <c r="L424">
        <v>0</v>
      </c>
      <c r="M424">
        <v>3.05</v>
      </c>
      <c r="N424">
        <v>16</v>
      </c>
      <c r="O424" t="s">
        <v>22</v>
      </c>
      <c r="P424">
        <v>3</v>
      </c>
      <c r="Q424">
        <v>5.61</v>
      </c>
      <c r="R424">
        <v>42</v>
      </c>
      <c r="S424">
        <v>112.92</v>
      </c>
      <c r="T424">
        <v>22.47</v>
      </c>
      <c r="U424">
        <v>1.1100000000000001</v>
      </c>
      <c r="V424">
        <v>12.42</v>
      </c>
      <c r="W424">
        <v>147.81</v>
      </c>
      <c r="X424">
        <v>44.9</v>
      </c>
      <c r="Y424">
        <v>103.89</v>
      </c>
      <c r="Z424">
        <v>12.98</v>
      </c>
      <c r="AA424">
        <v>7.68</v>
      </c>
      <c r="AB424">
        <v>127.15</v>
      </c>
      <c r="AC424">
        <v>181.64285714285717</v>
      </c>
      <c r="AD424">
        <v>22.66488413547237</v>
      </c>
      <c r="AE424">
        <v>72.989999999999995</v>
      </c>
      <c r="AF424">
        <v>20</v>
      </c>
      <c r="AG424">
        <v>0</v>
      </c>
      <c r="AH424">
        <v>18.87</v>
      </c>
      <c r="AI424">
        <v>34.869999999999997</v>
      </c>
      <c r="AJ424">
        <v>144.11000000000001</v>
      </c>
      <c r="AK424">
        <v>62.53</v>
      </c>
      <c r="AL424" t="s">
        <v>23</v>
      </c>
      <c r="AM424" t="s">
        <v>24</v>
      </c>
      <c r="AN424" t="str">
        <f t="shared" si="24"/>
        <v>Evening</v>
      </c>
      <c r="AO424" t="str">
        <f t="shared" si="25"/>
        <v>Off-Peak</v>
      </c>
      <c r="AP424" t="str">
        <f t="shared" si="26"/>
        <v>Medium</v>
      </c>
      <c r="AQ424" t="str">
        <f t="shared" si="27"/>
        <v>Low</v>
      </c>
    </row>
    <row r="425" spans="1:43" x14ac:dyDescent="0.3">
      <c r="A425">
        <v>424</v>
      </c>
      <c r="B425" t="s">
        <v>25</v>
      </c>
      <c r="C425" t="s">
        <v>17</v>
      </c>
      <c r="D425" s="1">
        <v>46274</v>
      </c>
      <c r="E425" t="s">
        <v>18</v>
      </c>
      <c r="F425">
        <v>0</v>
      </c>
      <c r="G425">
        <v>11</v>
      </c>
      <c r="H425" t="s">
        <v>19</v>
      </c>
      <c r="I425" t="s">
        <v>45</v>
      </c>
      <c r="J425">
        <v>1</v>
      </c>
      <c r="K425" t="s">
        <v>34</v>
      </c>
      <c r="L425">
        <v>1</v>
      </c>
      <c r="M425">
        <v>4.68</v>
      </c>
      <c r="N425">
        <v>46</v>
      </c>
      <c r="O425" t="s">
        <v>35</v>
      </c>
      <c r="P425">
        <v>7</v>
      </c>
      <c r="Q425">
        <v>3.97</v>
      </c>
      <c r="R425">
        <v>51.7</v>
      </c>
      <c r="S425">
        <v>105.79</v>
      </c>
      <c r="T425">
        <v>48.26</v>
      </c>
      <c r="U425">
        <v>1.1000000000000001</v>
      </c>
      <c r="V425">
        <v>10.58</v>
      </c>
      <c r="W425">
        <v>164.63</v>
      </c>
      <c r="X425">
        <v>49.7</v>
      </c>
      <c r="Y425">
        <v>108.15</v>
      </c>
      <c r="Z425">
        <v>8.65</v>
      </c>
      <c r="AA425">
        <v>5.49</v>
      </c>
      <c r="AB425">
        <v>150.49</v>
      </c>
      <c r="AC425">
        <v>174.64990328820116</v>
      </c>
      <c r="AD425">
        <v>37.906801007556673</v>
      </c>
      <c r="AE425">
        <v>63.33</v>
      </c>
      <c r="AF425">
        <v>16.71</v>
      </c>
      <c r="AG425">
        <v>0</v>
      </c>
      <c r="AH425">
        <v>-3.62</v>
      </c>
      <c r="AI425">
        <v>42.38</v>
      </c>
      <c r="AJ425">
        <v>179.6</v>
      </c>
      <c r="AK425">
        <v>75.319999999999993</v>
      </c>
      <c r="AL425" t="s">
        <v>23</v>
      </c>
      <c r="AM425" t="s">
        <v>24</v>
      </c>
      <c r="AN425" t="str">
        <f t="shared" si="24"/>
        <v>Afternoon</v>
      </c>
      <c r="AO425" t="str">
        <f t="shared" si="25"/>
        <v>Off-Peak</v>
      </c>
      <c r="AP425" t="str">
        <f t="shared" si="26"/>
        <v>Medium</v>
      </c>
      <c r="AQ425" t="str">
        <f t="shared" si="27"/>
        <v>Medium</v>
      </c>
    </row>
    <row r="426" spans="1:43" x14ac:dyDescent="0.3">
      <c r="A426">
        <v>425</v>
      </c>
      <c r="B426" t="s">
        <v>48</v>
      </c>
      <c r="C426" t="s">
        <v>30</v>
      </c>
      <c r="D426" s="1">
        <v>46182</v>
      </c>
      <c r="E426" t="s">
        <v>44</v>
      </c>
      <c r="F426">
        <v>0</v>
      </c>
      <c r="G426">
        <v>14</v>
      </c>
      <c r="H426" t="s">
        <v>43</v>
      </c>
      <c r="I426" t="s">
        <v>39</v>
      </c>
      <c r="J426">
        <v>1.05</v>
      </c>
      <c r="K426" t="s">
        <v>34</v>
      </c>
      <c r="L426">
        <v>1</v>
      </c>
      <c r="M426">
        <v>3.59</v>
      </c>
      <c r="N426">
        <v>39</v>
      </c>
      <c r="O426" t="s">
        <v>35</v>
      </c>
      <c r="P426">
        <v>8</v>
      </c>
      <c r="Q426">
        <v>1.37</v>
      </c>
      <c r="R426">
        <v>29.9</v>
      </c>
      <c r="S426">
        <v>56.77</v>
      </c>
      <c r="T426">
        <v>45.57</v>
      </c>
      <c r="U426">
        <v>1</v>
      </c>
      <c r="V426">
        <v>0</v>
      </c>
      <c r="W426">
        <v>102.34</v>
      </c>
      <c r="X426">
        <v>47.7</v>
      </c>
      <c r="Y426">
        <v>101.73</v>
      </c>
      <c r="Z426">
        <v>2.93</v>
      </c>
      <c r="AA426">
        <v>5.28</v>
      </c>
      <c r="AB426">
        <v>94.13</v>
      </c>
      <c r="AC426">
        <v>188.88963210702343</v>
      </c>
      <c r="AD426">
        <v>68.708029197080279</v>
      </c>
      <c r="AE426">
        <v>71.3</v>
      </c>
      <c r="AF426">
        <v>16.37</v>
      </c>
      <c r="AG426">
        <v>0</v>
      </c>
      <c r="AH426">
        <v>-4.8</v>
      </c>
      <c r="AI426">
        <v>34.200000000000003</v>
      </c>
      <c r="AJ426">
        <v>177.52</v>
      </c>
      <c r="AK426">
        <v>74.89</v>
      </c>
      <c r="AL426" t="s">
        <v>14</v>
      </c>
      <c r="AM426" t="s">
        <v>15</v>
      </c>
      <c r="AN426" t="str">
        <f t="shared" si="24"/>
        <v>Afternoon</v>
      </c>
      <c r="AO426" t="str">
        <f t="shared" si="25"/>
        <v>Off-Peak</v>
      </c>
      <c r="AP426" t="str">
        <f t="shared" si="26"/>
        <v>Medium</v>
      </c>
      <c r="AQ426" t="str">
        <f t="shared" si="27"/>
        <v>Medium</v>
      </c>
    </row>
    <row r="427" spans="1:43" x14ac:dyDescent="0.3">
      <c r="A427">
        <v>426</v>
      </c>
      <c r="B427" t="s">
        <v>14</v>
      </c>
      <c r="C427" t="s">
        <v>8</v>
      </c>
      <c r="D427" s="1">
        <v>46240</v>
      </c>
      <c r="E427" t="s">
        <v>41</v>
      </c>
      <c r="F427">
        <v>0</v>
      </c>
      <c r="G427">
        <v>9</v>
      </c>
      <c r="H427" t="s">
        <v>49</v>
      </c>
      <c r="I427" t="s">
        <v>28</v>
      </c>
      <c r="J427">
        <v>1.03</v>
      </c>
      <c r="K427" t="s">
        <v>21</v>
      </c>
      <c r="L427">
        <v>0</v>
      </c>
      <c r="M427">
        <v>2.76</v>
      </c>
      <c r="N427">
        <v>5</v>
      </c>
      <c r="O427" t="s">
        <v>22</v>
      </c>
      <c r="P427">
        <v>3</v>
      </c>
      <c r="Q427">
        <v>2.04</v>
      </c>
      <c r="R427">
        <v>30.4</v>
      </c>
      <c r="S427">
        <v>63.9</v>
      </c>
      <c r="T427">
        <v>17.13</v>
      </c>
      <c r="U427">
        <v>1</v>
      </c>
      <c r="V427">
        <v>0</v>
      </c>
      <c r="W427">
        <v>81.03</v>
      </c>
      <c r="X427">
        <v>47.7</v>
      </c>
      <c r="Y427">
        <v>107.01</v>
      </c>
      <c r="Z427">
        <v>4.58</v>
      </c>
      <c r="AA427">
        <v>2.17</v>
      </c>
      <c r="AB427">
        <v>74.28</v>
      </c>
      <c r="AC427">
        <v>146.60526315789477</v>
      </c>
      <c r="AD427">
        <v>36.411764705882355</v>
      </c>
      <c r="AE427">
        <v>83.18</v>
      </c>
      <c r="AF427">
        <v>15.77</v>
      </c>
      <c r="AG427">
        <v>0</v>
      </c>
      <c r="AH427">
        <v>17.23</v>
      </c>
      <c r="AI427">
        <v>22.23</v>
      </c>
      <c r="AJ427">
        <v>135.80000000000001</v>
      </c>
      <c r="AK427">
        <v>60</v>
      </c>
      <c r="AL427" t="s">
        <v>14</v>
      </c>
      <c r="AM427" t="s">
        <v>15</v>
      </c>
      <c r="AN427" t="str">
        <f t="shared" si="24"/>
        <v>Morning</v>
      </c>
      <c r="AO427" t="str">
        <f t="shared" si="25"/>
        <v>Peak</v>
      </c>
      <c r="AP427" t="str">
        <f t="shared" si="26"/>
        <v>Low</v>
      </c>
      <c r="AQ427" t="str">
        <f t="shared" si="27"/>
        <v>Low</v>
      </c>
    </row>
    <row r="428" spans="1:43" x14ac:dyDescent="0.3">
      <c r="A428">
        <v>427</v>
      </c>
      <c r="B428" t="s">
        <v>23</v>
      </c>
      <c r="C428" t="s">
        <v>17</v>
      </c>
      <c r="D428" s="1">
        <v>46116</v>
      </c>
      <c r="E428" t="s">
        <v>31</v>
      </c>
      <c r="F428">
        <v>1</v>
      </c>
      <c r="G428">
        <v>10</v>
      </c>
      <c r="H428" t="s">
        <v>19</v>
      </c>
      <c r="I428" t="s">
        <v>39</v>
      </c>
      <c r="J428">
        <v>1.05</v>
      </c>
      <c r="K428" t="s">
        <v>12</v>
      </c>
      <c r="L428">
        <v>0</v>
      </c>
      <c r="M428">
        <v>2.33</v>
      </c>
      <c r="N428">
        <v>37</v>
      </c>
      <c r="O428" t="s">
        <v>35</v>
      </c>
      <c r="P428">
        <v>5</v>
      </c>
      <c r="Q428">
        <v>1.28</v>
      </c>
      <c r="R428">
        <v>23.7</v>
      </c>
      <c r="S428">
        <v>83.72</v>
      </c>
      <c r="T428">
        <v>32.78</v>
      </c>
      <c r="U428">
        <v>1.01</v>
      </c>
      <c r="V428">
        <v>0.84</v>
      </c>
      <c r="W428">
        <v>117.34</v>
      </c>
      <c r="X428">
        <v>42.8</v>
      </c>
      <c r="Y428">
        <v>104.6</v>
      </c>
      <c r="Z428">
        <v>3.13</v>
      </c>
      <c r="AA428">
        <v>11.48</v>
      </c>
      <c r="AB428">
        <v>102.73</v>
      </c>
      <c r="AC428">
        <v>260.07594936708864</v>
      </c>
      <c r="AD428">
        <v>80.2578125</v>
      </c>
      <c r="AE428">
        <v>62.91</v>
      </c>
      <c r="AF428">
        <v>13.7</v>
      </c>
      <c r="AG428">
        <v>1</v>
      </c>
      <c r="AH428">
        <v>-0.94</v>
      </c>
      <c r="AI428">
        <v>36.06</v>
      </c>
      <c r="AJ428">
        <v>272.47000000000003</v>
      </c>
      <c r="AK428">
        <v>79.89</v>
      </c>
      <c r="AL428" t="s">
        <v>23</v>
      </c>
      <c r="AM428" t="s">
        <v>24</v>
      </c>
      <c r="AN428" t="str">
        <f t="shared" si="24"/>
        <v>Morning</v>
      </c>
      <c r="AO428" t="str">
        <f t="shared" si="25"/>
        <v>Peak</v>
      </c>
      <c r="AP428" t="str">
        <f t="shared" si="26"/>
        <v>High</v>
      </c>
      <c r="AQ428" t="str">
        <f t="shared" si="27"/>
        <v>Medium</v>
      </c>
    </row>
    <row r="429" spans="1:43" x14ac:dyDescent="0.3">
      <c r="A429">
        <v>428</v>
      </c>
      <c r="B429" t="s">
        <v>16</v>
      </c>
      <c r="C429" t="s">
        <v>17</v>
      </c>
      <c r="D429" s="1">
        <v>46266</v>
      </c>
      <c r="E429" t="s">
        <v>44</v>
      </c>
      <c r="F429">
        <v>0</v>
      </c>
      <c r="G429">
        <v>14</v>
      </c>
      <c r="H429" t="s">
        <v>19</v>
      </c>
      <c r="I429" t="s">
        <v>39</v>
      </c>
      <c r="J429">
        <v>1.05</v>
      </c>
      <c r="K429" t="s">
        <v>12</v>
      </c>
      <c r="L429">
        <v>0</v>
      </c>
      <c r="M429">
        <v>3.56</v>
      </c>
      <c r="N429">
        <v>36</v>
      </c>
      <c r="O429" t="s">
        <v>35</v>
      </c>
      <c r="P429">
        <v>6</v>
      </c>
      <c r="Q429">
        <v>8.34</v>
      </c>
      <c r="R429">
        <v>57.2</v>
      </c>
      <c r="S429">
        <v>144.05000000000001</v>
      </c>
      <c r="T429">
        <v>39.869999999999997</v>
      </c>
      <c r="U429">
        <v>1.03</v>
      </c>
      <c r="V429">
        <v>4.32</v>
      </c>
      <c r="W429">
        <v>188.24</v>
      </c>
      <c r="X429">
        <v>43.5</v>
      </c>
      <c r="Y429">
        <v>100.71</v>
      </c>
      <c r="Z429">
        <v>19.32</v>
      </c>
      <c r="AA429">
        <v>2.61</v>
      </c>
      <c r="AB429">
        <v>166.31</v>
      </c>
      <c r="AC429">
        <v>174.45104895104896</v>
      </c>
      <c r="AD429">
        <v>19.941247002398082</v>
      </c>
      <c r="AE429">
        <v>72.16</v>
      </c>
      <c r="AF429">
        <v>14.4</v>
      </c>
      <c r="AG429">
        <v>0</v>
      </c>
      <c r="AH429">
        <v>-6.16</v>
      </c>
      <c r="AI429">
        <v>29.84</v>
      </c>
      <c r="AJ429">
        <v>158.9</v>
      </c>
      <c r="AK429">
        <v>72.87</v>
      </c>
      <c r="AL429" t="s">
        <v>14</v>
      </c>
      <c r="AM429" t="s">
        <v>15</v>
      </c>
      <c r="AN429" t="str">
        <f t="shared" si="24"/>
        <v>Afternoon</v>
      </c>
      <c r="AO429" t="str">
        <f t="shared" si="25"/>
        <v>Off-Peak</v>
      </c>
      <c r="AP429" t="str">
        <f t="shared" si="26"/>
        <v>Medium</v>
      </c>
      <c r="AQ429" t="str">
        <f t="shared" si="27"/>
        <v>Medium</v>
      </c>
    </row>
    <row r="430" spans="1:43" x14ac:dyDescent="0.3">
      <c r="A430">
        <v>429</v>
      </c>
      <c r="B430" t="s">
        <v>7</v>
      </c>
      <c r="C430" t="s">
        <v>8</v>
      </c>
      <c r="D430" s="1">
        <v>46184</v>
      </c>
      <c r="E430" t="s">
        <v>41</v>
      </c>
      <c r="F430">
        <v>0</v>
      </c>
      <c r="G430">
        <v>18</v>
      </c>
      <c r="H430" t="s">
        <v>51</v>
      </c>
      <c r="I430" t="s">
        <v>50</v>
      </c>
      <c r="J430">
        <v>1.2</v>
      </c>
      <c r="K430" t="s">
        <v>21</v>
      </c>
      <c r="L430">
        <v>0</v>
      </c>
      <c r="M430">
        <v>5</v>
      </c>
      <c r="N430">
        <v>51</v>
      </c>
      <c r="O430" t="s">
        <v>35</v>
      </c>
      <c r="P430">
        <v>20</v>
      </c>
      <c r="Q430">
        <v>1.39</v>
      </c>
      <c r="R430">
        <v>34.299999999999997</v>
      </c>
      <c r="S430">
        <v>57.18</v>
      </c>
      <c r="T430">
        <v>61.06</v>
      </c>
      <c r="U430">
        <v>1</v>
      </c>
      <c r="V430">
        <v>0</v>
      </c>
      <c r="W430">
        <v>118.24</v>
      </c>
      <c r="X430">
        <v>47.9</v>
      </c>
      <c r="Y430">
        <v>101.77</v>
      </c>
      <c r="Z430">
        <v>2.96</v>
      </c>
      <c r="AA430">
        <v>4.71</v>
      </c>
      <c r="AB430">
        <v>110.57</v>
      </c>
      <c r="AC430">
        <v>193.41690962099125</v>
      </c>
      <c r="AD430">
        <v>79.546762589928065</v>
      </c>
      <c r="AE430">
        <v>71.34</v>
      </c>
      <c r="AF430">
        <v>17.09</v>
      </c>
      <c r="AG430">
        <v>1</v>
      </c>
      <c r="AH430">
        <v>-10.7</v>
      </c>
      <c r="AI430">
        <v>40.299999999999997</v>
      </c>
      <c r="AJ430">
        <v>187.6</v>
      </c>
      <c r="AK430">
        <v>68.55</v>
      </c>
      <c r="AL430" t="s">
        <v>14</v>
      </c>
      <c r="AM430" t="s">
        <v>15</v>
      </c>
      <c r="AN430" t="str">
        <f t="shared" si="24"/>
        <v>Night</v>
      </c>
      <c r="AO430" t="str">
        <f t="shared" si="25"/>
        <v>Peak</v>
      </c>
      <c r="AP430" t="str">
        <f t="shared" si="26"/>
        <v>Medium</v>
      </c>
      <c r="AQ430" t="str">
        <f t="shared" si="27"/>
        <v>Medium</v>
      </c>
    </row>
    <row r="431" spans="1:43" x14ac:dyDescent="0.3">
      <c r="A431">
        <v>430</v>
      </c>
      <c r="B431" t="s">
        <v>16</v>
      </c>
      <c r="C431" t="s">
        <v>17</v>
      </c>
      <c r="D431" s="1">
        <v>46055</v>
      </c>
      <c r="E431" t="s">
        <v>38</v>
      </c>
      <c r="F431">
        <v>0</v>
      </c>
      <c r="G431">
        <v>13</v>
      </c>
      <c r="H431" t="s">
        <v>19</v>
      </c>
      <c r="I431" t="s">
        <v>46</v>
      </c>
      <c r="J431">
        <v>1.1499999999999999</v>
      </c>
      <c r="K431" t="s">
        <v>21</v>
      </c>
      <c r="L431">
        <v>0</v>
      </c>
      <c r="M431">
        <v>2.96</v>
      </c>
      <c r="N431">
        <v>27</v>
      </c>
      <c r="O431" t="s">
        <v>22</v>
      </c>
      <c r="P431">
        <v>3</v>
      </c>
      <c r="Q431">
        <v>2.91</v>
      </c>
      <c r="R431">
        <v>30.7</v>
      </c>
      <c r="S431">
        <v>108.96</v>
      </c>
      <c r="T431">
        <v>25.38</v>
      </c>
      <c r="U431">
        <v>1.06</v>
      </c>
      <c r="V431">
        <v>6.54</v>
      </c>
      <c r="W431">
        <v>140.88</v>
      </c>
      <c r="X431">
        <v>48</v>
      </c>
      <c r="Y431">
        <v>101.41</v>
      </c>
      <c r="Z431">
        <v>6.15</v>
      </c>
      <c r="AA431">
        <v>11.21</v>
      </c>
      <c r="AB431">
        <v>123.52</v>
      </c>
      <c r="AC431">
        <v>241.40716612377852</v>
      </c>
      <c r="AD431">
        <v>42.446735395189002</v>
      </c>
      <c r="AE431">
        <v>90.2</v>
      </c>
      <c r="AF431">
        <v>16.170000000000002</v>
      </c>
      <c r="AG431">
        <v>0</v>
      </c>
      <c r="AH431">
        <v>-4.67</v>
      </c>
      <c r="AI431">
        <v>22.33</v>
      </c>
      <c r="AJ431">
        <v>243.96</v>
      </c>
      <c r="AK431">
        <v>65.8</v>
      </c>
      <c r="AL431" t="s">
        <v>14</v>
      </c>
      <c r="AM431" t="s">
        <v>15</v>
      </c>
      <c r="AN431" t="str">
        <f t="shared" si="24"/>
        <v>Afternoon</v>
      </c>
      <c r="AO431" t="str">
        <f t="shared" si="25"/>
        <v>Off-Peak</v>
      </c>
      <c r="AP431" t="str">
        <f t="shared" si="26"/>
        <v>Medium</v>
      </c>
      <c r="AQ431" t="str">
        <f t="shared" si="27"/>
        <v>Low</v>
      </c>
    </row>
    <row r="432" spans="1:43" x14ac:dyDescent="0.3">
      <c r="A432">
        <v>431</v>
      </c>
      <c r="B432" t="s">
        <v>7</v>
      </c>
      <c r="C432" t="s">
        <v>8</v>
      </c>
      <c r="D432" s="1">
        <v>46261</v>
      </c>
      <c r="E432" t="s">
        <v>41</v>
      </c>
      <c r="F432">
        <v>0</v>
      </c>
      <c r="G432">
        <v>15</v>
      </c>
      <c r="H432" t="s">
        <v>32</v>
      </c>
      <c r="I432" t="s">
        <v>39</v>
      </c>
      <c r="J432">
        <v>1.05</v>
      </c>
      <c r="K432" t="s">
        <v>12</v>
      </c>
      <c r="L432">
        <v>0</v>
      </c>
      <c r="M432">
        <v>4.05</v>
      </c>
      <c r="N432">
        <v>42</v>
      </c>
      <c r="O432" t="s">
        <v>35</v>
      </c>
      <c r="P432">
        <v>22</v>
      </c>
      <c r="Q432">
        <v>1</v>
      </c>
      <c r="R432">
        <v>33.5</v>
      </c>
      <c r="S432">
        <v>58.86</v>
      </c>
      <c r="T432">
        <v>55.76</v>
      </c>
      <c r="U432">
        <v>1</v>
      </c>
      <c r="V432">
        <v>0</v>
      </c>
      <c r="W432">
        <v>114.62</v>
      </c>
      <c r="X432">
        <v>47</v>
      </c>
      <c r="Y432">
        <v>106.2</v>
      </c>
      <c r="Z432">
        <v>2.2599999999999998</v>
      </c>
      <c r="AA432">
        <v>9.35</v>
      </c>
      <c r="AB432">
        <v>103.01</v>
      </c>
      <c r="AC432">
        <v>184.4955223880597</v>
      </c>
      <c r="AD432">
        <v>103.01</v>
      </c>
      <c r="AE432">
        <v>71.06</v>
      </c>
      <c r="AF432">
        <v>19.440000000000001</v>
      </c>
      <c r="AG432">
        <v>0</v>
      </c>
      <c r="AH432">
        <v>16.13</v>
      </c>
      <c r="AI432">
        <v>58.13</v>
      </c>
      <c r="AJ432">
        <v>197.68</v>
      </c>
      <c r="AK432">
        <v>71.8</v>
      </c>
      <c r="AL432" t="s">
        <v>14</v>
      </c>
      <c r="AM432" t="s">
        <v>15</v>
      </c>
      <c r="AN432" t="str">
        <f t="shared" si="24"/>
        <v>Evening</v>
      </c>
      <c r="AO432" t="str">
        <f t="shared" si="25"/>
        <v>Off-Peak</v>
      </c>
      <c r="AP432" t="str">
        <f t="shared" si="26"/>
        <v>Medium</v>
      </c>
      <c r="AQ432" t="str">
        <f t="shared" si="27"/>
        <v>Medium</v>
      </c>
    </row>
    <row r="433" spans="1:43" x14ac:dyDescent="0.3">
      <c r="A433">
        <v>432</v>
      </c>
      <c r="B433" t="s">
        <v>16</v>
      </c>
      <c r="C433" t="s">
        <v>17</v>
      </c>
      <c r="D433" s="1">
        <v>46228</v>
      </c>
      <c r="E433" t="s">
        <v>31</v>
      </c>
      <c r="F433">
        <v>1</v>
      </c>
      <c r="G433">
        <v>15</v>
      </c>
      <c r="H433" t="s">
        <v>19</v>
      </c>
      <c r="I433" t="s">
        <v>11</v>
      </c>
      <c r="J433">
        <v>1.18</v>
      </c>
      <c r="K433" t="s">
        <v>12</v>
      </c>
      <c r="L433">
        <v>0</v>
      </c>
      <c r="M433">
        <v>1.42</v>
      </c>
      <c r="N433">
        <v>37</v>
      </c>
      <c r="O433" t="s">
        <v>35</v>
      </c>
      <c r="P433">
        <v>5</v>
      </c>
      <c r="Q433">
        <v>1</v>
      </c>
      <c r="R433">
        <v>17.2</v>
      </c>
      <c r="S433">
        <v>70.430000000000007</v>
      </c>
      <c r="T433">
        <v>38.97</v>
      </c>
      <c r="U433">
        <v>1.02</v>
      </c>
      <c r="V433">
        <v>1.41</v>
      </c>
      <c r="W433">
        <v>110.81</v>
      </c>
      <c r="X433">
        <v>47.3</v>
      </c>
      <c r="Y433">
        <v>100.87</v>
      </c>
      <c r="Z433">
        <v>2.13</v>
      </c>
      <c r="AA433">
        <v>7.78</v>
      </c>
      <c r="AB433">
        <v>100.9</v>
      </c>
      <c r="AC433">
        <v>351.97674418604652</v>
      </c>
      <c r="AD433">
        <v>100.9</v>
      </c>
      <c r="AE433">
        <v>71.12</v>
      </c>
      <c r="AF433">
        <v>14.74</v>
      </c>
      <c r="AG433">
        <v>1</v>
      </c>
      <c r="AH433">
        <v>-19.64</v>
      </c>
      <c r="AI433">
        <v>17.36</v>
      </c>
      <c r="AJ433">
        <v>346.33</v>
      </c>
      <c r="AK433">
        <v>66.540000000000006</v>
      </c>
      <c r="AL433" t="s">
        <v>23</v>
      </c>
      <c r="AM433" t="s">
        <v>24</v>
      </c>
      <c r="AN433" t="str">
        <f t="shared" si="24"/>
        <v>Evening</v>
      </c>
      <c r="AO433" t="str">
        <f t="shared" si="25"/>
        <v>Off-Peak</v>
      </c>
      <c r="AP433" t="str">
        <f t="shared" si="26"/>
        <v>High</v>
      </c>
      <c r="AQ433" t="str">
        <f t="shared" si="27"/>
        <v>Medium</v>
      </c>
    </row>
    <row r="434" spans="1:43" x14ac:dyDescent="0.3">
      <c r="A434">
        <v>433</v>
      </c>
      <c r="B434" t="s">
        <v>16</v>
      </c>
      <c r="C434" t="s">
        <v>17</v>
      </c>
      <c r="D434" s="1">
        <v>46100</v>
      </c>
      <c r="E434" t="s">
        <v>41</v>
      </c>
      <c r="F434">
        <v>0</v>
      </c>
      <c r="G434">
        <v>11</v>
      </c>
      <c r="H434" t="s">
        <v>19</v>
      </c>
      <c r="I434" t="s">
        <v>45</v>
      </c>
      <c r="J434">
        <v>1</v>
      </c>
      <c r="K434" t="s">
        <v>12</v>
      </c>
      <c r="L434">
        <v>0</v>
      </c>
      <c r="M434">
        <v>2.96</v>
      </c>
      <c r="N434">
        <v>22</v>
      </c>
      <c r="O434" t="s">
        <v>22</v>
      </c>
      <c r="P434">
        <v>5</v>
      </c>
      <c r="Q434">
        <v>6.5</v>
      </c>
      <c r="R434">
        <v>41.6</v>
      </c>
      <c r="S434">
        <v>132.35</v>
      </c>
      <c r="T434">
        <v>10.85</v>
      </c>
      <c r="U434">
        <v>1.05</v>
      </c>
      <c r="V434">
        <v>6.62</v>
      </c>
      <c r="W434">
        <v>149.82</v>
      </c>
      <c r="X434">
        <v>48.2</v>
      </c>
      <c r="Y434">
        <v>108.23</v>
      </c>
      <c r="Z434">
        <v>14.59</v>
      </c>
      <c r="AA434">
        <v>8.61</v>
      </c>
      <c r="AB434">
        <v>126.62</v>
      </c>
      <c r="AC434">
        <v>182.625</v>
      </c>
      <c r="AD434">
        <v>19.48</v>
      </c>
      <c r="AE434">
        <v>65.510000000000005</v>
      </c>
      <c r="AF434">
        <v>13.23</v>
      </c>
      <c r="AG434">
        <v>0</v>
      </c>
      <c r="AH434">
        <v>12.44</v>
      </c>
      <c r="AI434">
        <v>34.44</v>
      </c>
      <c r="AJ434">
        <v>204.78</v>
      </c>
      <c r="AK434">
        <v>68.25</v>
      </c>
      <c r="AL434" t="s">
        <v>23</v>
      </c>
      <c r="AM434" t="s">
        <v>24</v>
      </c>
      <c r="AN434" t="str">
        <f t="shared" si="24"/>
        <v>Afternoon</v>
      </c>
      <c r="AO434" t="str">
        <f t="shared" si="25"/>
        <v>Off-Peak</v>
      </c>
      <c r="AP434" t="str">
        <f t="shared" si="26"/>
        <v>Medium</v>
      </c>
      <c r="AQ434" t="str">
        <f t="shared" si="27"/>
        <v>Low</v>
      </c>
    </row>
    <row r="435" spans="1:43" x14ac:dyDescent="0.3">
      <c r="A435">
        <v>434</v>
      </c>
      <c r="B435" t="s">
        <v>7</v>
      </c>
      <c r="C435" t="s">
        <v>8</v>
      </c>
      <c r="D435" s="1">
        <v>46163</v>
      </c>
      <c r="E435" t="s">
        <v>41</v>
      </c>
      <c r="F435">
        <v>0</v>
      </c>
      <c r="G435">
        <v>11</v>
      </c>
      <c r="H435" t="s">
        <v>10</v>
      </c>
      <c r="I435" t="s">
        <v>11</v>
      </c>
      <c r="J435">
        <v>1.18</v>
      </c>
      <c r="K435" t="s">
        <v>21</v>
      </c>
      <c r="L435">
        <v>0</v>
      </c>
      <c r="M435">
        <v>2.97</v>
      </c>
      <c r="N435">
        <v>10</v>
      </c>
      <c r="O435" t="s">
        <v>22</v>
      </c>
      <c r="P435">
        <v>4</v>
      </c>
      <c r="Q435">
        <v>5.0199999999999996</v>
      </c>
      <c r="R435">
        <v>34.1</v>
      </c>
      <c r="S435">
        <v>91.18</v>
      </c>
      <c r="T435">
        <v>21.96</v>
      </c>
      <c r="U435">
        <v>1</v>
      </c>
      <c r="V435">
        <v>0</v>
      </c>
      <c r="W435">
        <v>113.14</v>
      </c>
      <c r="X435">
        <v>36.700000000000003</v>
      </c>
      <c r="Y435">
        <v>108.07</v>
      </c>
      <c r="Z435">
        <v>14.79</v>
      </c>
      <c r="AA435">
        <v>2.97</v>
      </c>
      <c r="AB435">
        <v>95.38</v>
      </c>
      <c r="AC435">
        <v>167.8240469208211</v>
      </c>
      <c r="AD435">
        <v>19</v>
      </c>
      <c r="AE435">
        <v>72.87</v>
      </c>
      <c r="AF435">
        <v>18.079999999999998</v>
      </c>
      <c r="AG435">
        <v>0</v>
      </c>
      <c r="AH435">
        <v>-7.62</v>
      </c>
      <c r="AI435">
        <v>5</v>
      </c>
      <c r="AJ435">
        <v>148.77000000000001</v>
      </c>
      <c r="AK435">
        <v>66.56</v>
      </c>
      <c r="AL435" t="s">
        <v>14</v>
      </c>
      <c r="AM435" t="s">
        <v>15</v>
      </c>
      <c r="AN435" t="str">
        <f t="shared" si="24"/>
        <v>Afternoon</v>
      </c>
      <c r="AO435" t="str">
        <f t="shared" si="25"/>
        <v>Off-Peak</v>
      </c>
      <c r="AP435" t="str">
        <f t="shared" si="26"/>
        <v>Medium</v>
      </c>
      <c r="AQ435" t="str">
        <f t="shared" si="27"/>
        <v>Low</v>
      </c>
    </row>
    <row r="436" spans="1:43" x14ac:dyDescent="0.3">
      <c r="A436">
        <v>435</v>
      </c>
      <c r="B436" t="s">
        <v>29</v>
      </c>
      <c r="C436" t="s">
        <v>30</v>
      </c>
      <c r="D436" s="1">
        <v>46123</v>
      </c>
      <c r="E436" t="s">
        <v>31</v>
      </c>
      <c r="F436">
        <v>1</v>
      </c>
      <c r="G436">
        <v>13</v>
      </c>
      <c r="H436" t="s">
        <v>43</v>
      </c>
      <c r="I436" t="s">
        <v>20</v>
      </c>
      <c r="J436">
        <v>1.25</v>
      </c>
      <c r="K436" t="s">
        <v>21</v>
      </c>
      <c r="L436">
        <v>0</v>
      </c>
      <c r="M436">
        <v>2.42</v>
      </c>
      <c r="N436">
        <v>67</v>
      </c>
      <c r="O436" t="s">
        <v>35</v>
      </c>
      <c r="P436">
        <v>22</v>
      </c>
      <c r="Q436">
        <v>4.08</v>
      </c>
      <c r="R436">
        <v>27.4</v>
      </c>
      <c r="S436">
        <v>96.51</v>
      </c>
      <c r="T436">
        <v>59.1</v>
      </c>
      <c r="U436">
        <v>1</v>
      </c>
      <c r="V436">
        <v>0</v>
      </c>
      <c r="W436">
        <v>155.61000000000001</v>
      </c>
      <c r="X436">
        <v>39.4</v>
      </c>
      <c r="Y436">
        <v>100.8</v>
      </c>
      <c r="Z436">
        <v>10.44</v>
      </c>
      <c r="AA436">
        <v>10.09</v>
      </c>
      <c r="AB436">
        <v>135.08000000000001</v>
      </c>
      <c r="AC436">
        <v>295.79562043795625</v>
      </c>
      <c r="AD436">
        <v>33.107843137254903</v>
      </c>
      <c r="AE436">
        <v>79.52</v>
      </c>
      <c r="AF436">
        <v>14.23</v>
      </c>
      <c r="AG436">
        <v>1</v>
      </c>
      <c r="AH436">
        <v>-0.15</v>
      </c>
      <c r="AI436">
        <v>66.849999999999994</v>
      </c>
      <c r="AJ436">
        <v>273.97000000000003</v>
      </c>
      <c r="AK436">
        <v>73.98</v>
      </c>
      <c r="AL436" t="s">
        <v>14</v>
      </c>
      <c r="AM436" t="s">
        <v>15</v>
      </c>
      <c r="AN436" t="str">
        <f t="shared" si="24"/>
        <v>Afternoon</v>
      </c>
      <c r="AO436" t="str">
        <f t="shared" si="25"/>
        <v>Off-Peak</v>
      </c>
      <c r="AP436" t="str">
        <f t="shared" si="26"/>
        <v>High</v>
      </c>
      <c r="AQ436" t="str">
        <f t="shared" si="27"/>
        <v>Medium</v>
      </c>
    </row>
    <row r="437" spans="1:43" x14ac:dyDescent="0.3">
      <c r="A437">
        <v>436</v>
      </c>
      <c r="B437" t="s">
        <v>7</v>
      </c>
      <c r="C437" t="s">
        <v>8</v>
      </c>
      <c r="D437" s="1">
        <v>46163</v>
      </c>
      <c r="E437" t="s">
        <v>41</v>
      </c>
      <c r="F437">
        <v>0</v>
      </c>
      <c r="G437">
        <v>7</v>
      </c>
      <c r="H437" t="s">
        <v>49</v>
      </c>
      <c r="I437" t="s">
        <v>39</v>
      </c>
      <c r="J437">
        <v>1.05</v>
      </c>
      <c r="K437" t="s">
        <v>21</v>
      </c>
      <c r="L437">
        <v>0</v>
      </c>
      <c r="M437">
        <v>4.91</v>
      </c>
      <c r="N437">
        <v>22</v>
      </c>
      <c r="O437" t="s">
        <v>22</v>
      </c>
      <c r="P437">
        <v>10</v>
      </c>
      <c r="Q437">
        <v>2.95</v>
      </c>
      <c r="R437">
        <v>44</v>
      </c>
      <c r="S437">
        <v>67.92</v>
      </c>
      <c r="T437">
        <v>5.52</v>
      </c>
      <c r="U437">
        <v>1</v>
      </c>
      <c r="V437">
        <v>0</v>
      </c>
      <c r="W437">
        <v>73.44</v>
      </c>
      <c r="X437">
        <v>49.6</v>
      </c>
      <c r="Y437">
        <v>108.88</v>
      </c>
      <c r="Z437">
        <v>6.48</v>
      </c>
      <c r="AA437">
        <v>4.5</v>
      </c>
      <c r="AB437">
        <v>62.46</v>
      </c>
      <c r="AC437">
        <v>85.172727272727286</v>
      </c>
      <c r="AD437">
        <v>21.172881355932201</v>
      </c>
      <c r="AE437">
        <v>66.67</v>
      </c>
      <c r="AF437">
        <v>17.34</v>
      </c>
      <c r="AG437">
        <v>0</v>
      </c>
      <c r="AH437">
        <v>0.81</v>
      </c>
      <c r="AI437">
        <v>22.81</v>
      </c>
      <c r="AJ437">
        <v>62.06</v>
      </c>
      <c r="AK437">
        <v>73.010000000000005</v>
      </c>
      <c r="AL437" t="s">
        <v>14</v>
      </c>
      <c r="AM437" t="s">
        <v>15</v>
      </c>
      <c r="AN437" t="str">
        <f t="shared" si="24"/>
        <v>Morning</v>
      </c>
      <c r="AO437" t="str">
        <f t="shared" si="25"/>
        <v>Peak</v>
      </c>
      <c r="AP437" t="str">
        <f t="shared" si="26"/>
        <v>Low</v>
      </c>
      <c r="AQ437" t="str">
        <f t="shared" si="27"/>
        <v>Low</v>
      </c>
    </row>
    <row r="438" spans="1:43" x14ac:dyDescent="0.3">
      <c r="A438">
        <v>437</v>
      </c>
      <c r="B438" t="s">
        <v>29</v>
      </c>
      <c r="C438" t="s">
        <v>30</v>
      </c>
      <c r="D438" s="1">
        <v>46272</v>
      </c>
      <c r="E438" t="s">
        <v>38</v>
      </c>
      <c r="F438">
        <v>0</v>
      </c>
      <c r="G438">
        <v>17</v>
      </c>
      <c r="H438" t="s">
        <v>32</v>
      </c>
      <c r="I438" t="s">
        <v>46</v>
      </c>
      <c r="J438">
        <v>1.1499999999999999</v>
      </c>
      <c r="K438" t="s">
        <v>21</v>
      </c>
      <c r="L438">
        <v>0</v>
      </c>
      <c r="M438">
        <v>4.05</v>
      </c>
      <c r="N438">
        <v>71</v>
      </c>
      <c r="O438" t="s">
        <v>13</v>
      </c>
      <c r="P438">
        <v>23</v>
      </c>
      <c r="Q438">
        <v>1</v>
      </c>
      <c r="R438">
        <v>22.9</v>
      </c>
      <c r="S438">
        <v>54.7</v>
      </c>
      <c r="T438">
        <v>89.98</v>
      </c>
      <c r="U438">
        <v>1</v>
      </c>
      <c r="V438">
        <v>0</v>
      </c>
      <c r="W438">
        <v>144.68</v>
      </c>
      <c r="X438">
        <v>43.2</v>
      </c>
      <c r="Y438">
        <v>109.59</v>
      </c>
      <c r="Z438">
        <v>2.54</v>
      </c>
      <c r="AA438">
        <v>11.56</v>
      </c>
      <c r="AB438">
        <v>130.58000000000001</v>
      </c>
      <c r="AC438">
        <v>342.13100436681225</v>
      </c>
      <c r="AD438">
        <v>130.58000000000001</v>
      </c>
      <c r="AE438">
        <v>85.59</v>
      </c>
      <c r="AF438">
        <v>15.95</v>
      </c>
      <c r="AG438">
        <v>1</v>
      </c>
      <c r="AH438">
        <v>-0.31</v>
      </c>
      <c r="AI438">
        <v>70.69</v>
      </c>
      <c r="AJ438">
        <v>324.89</v>
      </c>
      <c r="AK438">
        <v>77.739999999999995</v>
      </c>
      <c r="AL438" t="s">
        <v>23</v>
      </c>
      <c r="AM438" t="s">
        <v>24</v>
      </c>
      <c r="AN438" t="str">
        <f t="shared" si="24"/>
        <v>Evening</v>
      </c>
      <c r="AO438" t="str">
        <f t="shared" si="25"/>
        <v>Peak</v>
      </c>
      <c r="AP438" t="str">
        <f t="shared" si="26"/>
        <v>High</v>
      </c>
      <c r="AQ438" t="str">
        <f t="shared" si="27"/>
        <v>High</v>
      </c>
    </row>
    <row r="439" spans="1:43" x14ac:dyDescent="0.3">
      <c r="A439">
        <v>438</v>
      </c>
      <c r="B439" t="s">
        <v>23</v>
      </c>
      <c r="C439" t="s">
        <v>17</v>
      </c>
      <c r="D439" s="1">
        <v>46254</v>
      </c>
      <c r="E439" t="s">
        <v>41</v>
      </c>
      <c r="F439">
        <v>0</v>
      </c>
      <c r="G439">
        <v>16</v>
      </c>
      <c r="H439" t="s">
        <v>19</v>
      </c>
      <c r="I439" t="s">
        <v>37</v>
      </c>
      <c r="J439">
        <v>1.02</v>
      </c>
      <c r="K439" t="s">
        <v>12</v>
      </c>
      <c r="L439">
        <v>0</v>
      </c>
      <c r="M439">
        <v>2.67</v>
      </c>
      <c r="N439">
        <v>39</v>
      </c>
      <c r="O439" t="s">
        <v>35</v>
      </c>
      <c r="P439">
        <v>7</v>
      </c>
      <c r="Q439">
        <v>2.65</v>
      </c>
      <c r="R439">
        <v>32.1</v>
      </c>
      <c r="S439">
        <v>77.52</v>
      </c>
      <c r="T439">
        <v>41.69</v>
      </c>
      <c r="U439">
        <v>1.04</v>
      </c>
      <c r="V439">
        <v>3.1</v>
      </c>
      <c r="W439">
        <v>122.31</v>
      </c>
      <c r="X439">
        <v>37.6</v>
      </c>
      <c r="Y439">
        <v>100.43</v>
      </c>
      <c r="Z439">
        <v>7.07</v>
      </c>
      <c r="AA439">
        <v>4.3099999999999996</v>
      </c>
      <c r="AB439">
        <v>110.93</v>
      </c>
      <c r="AC439">
        <v>207.34579439252337</v>
      </c>
      <c r="AD439">
        <v>41.860377358490567</v>
      </c>
      <c r="AE439">
        <v>77.290000000000006</v>
      </c>
      <c r="AF439">
        <v>15.79</v>
      </c>
      <c r="AG439">
        <v>0</v>
      </c>
      <c r="AH439">
        <v>-1.31</v>
      </c>
      <c r="AI439">
        <v>37.69</v>
      </c>
      <c r="AJ439">
        <v>212.22</v>
      </c>
      <c r="AK439">
        <v>73.239999999999995</v>
      </c>
      <c r="AL439" t="s">
        <v>23</v>
      </c>
      <c r="AM439" t="s">
        <v>24</v>
      </c>
      <c r="AN439" t="str">
        <f t="shared" si="24"/>
        <v>Evening</v>
      </c>
      <c r="AO439" t="str">
        <f t="shared" si="25"/>
        <v>Off-Peak</v>
      </c>
      <c r="AP439" t="str">
        <f t="shared" si="26"/>
        <v>Medium</v>
      </c>
      <c r="AQ439" t="str">
        <f t="shared" si="27"/>
        <v>Medium</v>
      </c>
    </row>
    <row r="440" spans="1:43" x14ac:dyDescent="0.3">
      <c r="A440">
        <v>439</v>
      </c>
      <c r="B440" t="s">
        <v>7</v>
      </c>
      <c r="C440" t="s">
        <v>8</v>
      </c>
      <c r="D440" s="1">
        <v>46078</v>
      </c>
      <c r="E440" t="s">
        <v>18</v>
      </c>
      <c r="F440">
        <v>0</v>
      </c>
      <c r="G440">
        <v>11</v>
      </c>
      <c r="H440" t="s">
        <v>10</v>
      </c>
      <c r="I440" t="s">
        <v>46</v>
      </c>
      <c r="J440">
        <v>1.1499999999999999</v>
      </c>
      <c r="K440" t="s">
        <v>12</v>
      </c>
      <c r="L440">
        <v>0</v>
      </c>
      <c r="M440">
        <v>3.02</v>
      </c>
      <c r="N440">
        <v>33</v>
      </c>
      <c r="O440" t="s">
        <v>22</v>
      </c>
      <c r="P440">
        <v>13</v>
      </c>
      <c r="Q440">
        <v>3.54</v>
      </c>
      <c r="R440">
        <v>36.700000000000003</v>
      </c>
      <c r="S440">
        <v>77.02</v>
      </c>
      <c r="T440">
        <v>39.43</v>
      </c>
      <c r="U440">
        <v>1</v>
      </c>
      <c r="V440">
        <v>0</v>
      </c>
      <c r="W440">
        <v>116.45</v>
      </c>
      <c r="X440">
        <v>42.5</v>
      </c>
      <c r="Y440">
        <v>109.5</v>
      </c>
      <c r="Z440">
        <v>9.1</v>
      </c>
      <c r="AA440">
        <v>8.25</v>
      </c>
      <c r="AB440">
        <v>99.1</v>
      </c>
      <c r="AC440">
        <v>162.01634877384194</v>
      </c>
      <c r="AD440">
        <v>27.994350282485875</v>
      </c>
      <c r="AE440">
        <v>81.459999999999994</v>
      </c>
      <c r="AF440">
        <v>15.47</v>
      </c>
      <c r="AG440">
        <v>0</v>
      </c>
      <c r="AH440">
        <v>-3.67</v>
      </c>
      <c r="AI440">
        <v>29.33</v>
      </c>
      <c r="AJ440">
        <v>147.41</v>
      </c>
      <c r="AK440">
        <v>80.989999999999995</v>
      </c>
      <c r="AL440" t="s">
        <v>14</v>
      </c>
      <c r="AM440" t="s">
        <v>15</v>
      </c>
      <c r="AN440" t="str">
        <f t="shared" si="24"/>
        <v>Afternoon</v>
      </c>
      <c r="AO440" t="str">
        <f t="shared" si="25"/>
        <v>Off-Peak</v>
      </c>
      <c r="AP440" t="str">
        <f t="shared" si="26"/>
        <v>Medium</v>
      </c>
      <c r="AQ440" t="str">
        <f t="shared" si="27"/>
        <v>Low</v>
      </c>
    </row>
    <row r="441" spans="1:43" x14ac:dyDescent="0.3">
      <c r="A441">
        <v>440</v>
      </c>
      <c r="B441" t="s">
        <v>48</v>
      </c>
      <c r="C441" t="s">
        <v>30</v>
      </c>
      <c r="D441" s="1">
        <v>46273</v>
      </c>
      <c r="E441" t="s">
        <v>44</v>
      </c>
      <c r="F441">
        <v>0</v>
      </c>
      <c r="G441">
        <v>12</v>
      </c>
      <c r="H441" t="s">
        <v>43</v>
      </c>
      <c r="I441" t="s">
        <v>42</v>
      </c>
      <c r="J441">
        <v>1.08</v>
      </c>
      <c r="K441" t="s">
        <v>12</v>
      </c>
      <c r="L441">
        <v>0</v>
      </c>
      <c r="M441">
        <v>1.4</v>
      </c>
      <c r="N441">
        <v>13</v>
      </c>
      <c r="O441" t="s">
        <v>22</v>
      </c>
      <c r="P441">
        <v>4</v>
      </c>
      <c r="Q441">
        <v>6.2</v>
      </c>
      <c r="R441">
        <v>41.2</v>
      </c>
      <c r="S441">
        <v>94.74</v>
      </c>
      <c r="T441">
        <v>12.28</v>
      </c>
      <c r="U441">
        <v>1</v>
      </c>
      <c r="V441">
        <v>0</v>
      </c>
      <c r="W441">
        <v>107.02</v>
      </c>
      <c r="X441">
        <v>44.7</v>
      </c>
      <c r="Y441">
        <v>102.79</v>
      </c>
      <c r="Z441">
        <v>14.26</v>
      </c>
      <c r="AA441">
        <v>7.45</v>
      </c>
      <c r="AB441">
        <v>85.31</v>
      </c>
      <c r="AC441">
        <v>124.23786407766988</v>
      </c>
      <c r="AD441">
        <v>13.759677419354839</v>
      </c>
      <c r="AE441">
        <v>70.41</v>
      </c>
      <c r="AF441">
        <v>14.6</v>
      </c>
      <c r="AG441">
        <v>0</v>
      </c>
      <c r="AH441">
        <v>-5.57</v>
      </c>
      <c r="AI441">
        <v>7.43</v>
      </c>
      <c r="AJ441">
        <v>103.22</v>
      </c>
      <c r="AK441">
        <v>71.2</v>
      </c>
      <c r="AL441" t="s">
        <v>14</v>
      </c>
      <c r="AM441" t="s">
        <v>15</v>
      </c>
      <c r="AN441" t="str">
        <f t="shared" si="24"/>
        <v>Afternoon</v>
      </c>
      <c r="AO441" t="str">
        <f t="shared" si="25"/>
        <v>Off-Peak</v>
      </c>
      <c r="AP441" t="str">
        <f t="shared" si="26"/>
        <v>Low</v>
      </c>
      <c r="AQ441" t="str">
        <f t="shared" si="27"/>
        <v>Low</v>
      </c>
    </row>
    <row r="442" spans="1:43" x14ac:dyDescent="0.3">
      <c r="A442">
        <v>441</v>
      </c>
      <c r="B442" t="s">
        <v>23</v>
      </c>
      <c r="C442" t="s">
        <v>17</v>
      </c>
      <c r="D442" s="1">
        <v>46135</v>
      </c>
      <c r="E442" t="s">
        <v>41</v>
      </c>
      <c r="F442">
        <v>0</v>
      </c>
      <c r="G442">
        <v>12</v>
      </c>
      <c r="H442" t="s">
        <v>19</v>
      </c>
      <c r="I442" t="s">
        <v>33</v>
      </c>
      <c r="J442">
        <v>1</v>
      </c>
      <c r="K442" t="s">
        <v>21</v>
      </c>
      <c r="L442">
        <v>0</v>
      </c>
      <c r="M442">
        <v>2.39</v>
      </c>
      <c r="N442">
        <v>14</v>
      </c>
      <c r="O442" t="s">
        <v>22</v>
      </c>
      <c r="P442">
        <v>3</v>
      </c>
      <c r="Q442">
        <v>8.0299999999999994</v>
      </c>
      <c r="R442">
        <v>55.9</v>
      </c>
      <c r="S442">
        <v>143.12</v>
      </c>
      <c r="T442">
        <v>3.76</v>
      </c>
      <c r="U442">
        <v>1.07</v>
      </c>
      <c r="V442">
        <v>10.02</v>
      </c>
      <c r="W442">
        <v>156.9</v>
      </c>
      <c r="X442">
        <v>47.4</v>
      </c>
      <c r="Y442">
        <v>106.65</v>
      </c>
      <c r="Z442">
        <v>18.07</v>
      </c>
      <c r="AA442">
        <v>3.43</v>
      </c>
      <c r="AB442">
        <v>135.4</v>
      </c>
      <c r="AC442">
        <v>145.3309481216458</v>
      </c>
      <c r="AD442">
        <v>16.861768368617685</v>
      </c>
      <c r="AE442">
        <v>75.069999999999993</v>
      </c>
      <c r="AF442">
        <v>13.37</v>
      </c>
      <c r="AG442">
        <v>0</v>
      </c>
      <c r="AH442">
        <v>22.8</v>
      </c>
      <c r="AI442">
        <v>36.799999999999997</v>
      </c>
      <c r="AJ442">
        <v>151</v>
      </c>
      <c r="AK442">
        <v>64.69</v>
      </c>
      <c r="AL442" t="s">
        <v>14</v>
      </c>
      <c r="AM442" t="s">
        <v>15</v>
      </c>
      <c r="AN442" t="str">
        <f t="shared" si="24"/>
        <v>Afternoon</v>
      </c>
      <c r="AO442" t="str">
        <f t="shared" si="25"/>
        <v>Off-Peak</v>
      </c>
      <c r="AP442" t="str">
        <f t="shared" si="26"/>
        <v>Low</v>
      </c>
      <c r="AQ442" t="str">
        <f t="shared" si="27"/>
        <v>Low</v>
      </c>
    </row>
    <row r="443" spans="1:43" x14ac:dyDescent="0.3">
      <c r="A443">
        <v>442</v>
      </c>
      <c r="B443" t="s">
        <v>48</v>
      </c>
      <c r="C443" t="s">
        <v>30</v>
      </c>
      <c r="D443" s="1">
        <v>46204</v>
      </c>
      <c r="E443" t="s">
        <v>18</v>
      </c>
      <c r="F443">
        <v>0</v>
      </c>
      <c r="G443">
        <v>17</v>
      </c>
      <c r="H443" t="s">
        <v>32</v>
      </c>
      <c r="I443" t="s">
        <v>45</v>
      </c>
      <c r="J443">
        <v>1</v>
      </c>
      <c r="K443" t="s">
        <v>12</v>
      </c>
      <c r="L443">
        <v>0</v>
      </c>
      <c r="M443">
        <v>4.8899999999999997</v>
      </c>
      <c r="N443">
        <v>73</v>
      </c>
      <c r="O443" t="s">
        <v>13</v>
      </c>
      <c r="P443">
        <v>20</v>
      </c>
      <c r="Q443">
        <v>6.63</v>
      </c>
      <c r="R443">
        <v>58.2</v>
      </c>
      <c r="S443">
        <v>101.71</v>
      </c>
      <c r="T443">
        <v>70.84</v>
      </c>
      <c r="U443">
        <v>1</v>
      </c>
      <c r="V443">
        <v>0</v>
      </c>
      <c r="W443">
        <v>172.55</v>
      </c>
      <c r="X443">
        <v>47.2</v>
      </c>
      <c r="Y443">
        <v>101.75</v>
      </c>
      <c r="Z443">
        <v>14.31</v>
      </c>
      <c r="AA443">
        <v>5.63</v>
      </c>
      <c r="AB443">
        <v>152.61000000000001</v>
      </c>
      <c r="AC443">
        <v>157.32989690721649</v>
      </c>
      <c r="AD443">
        <v>23.018099547511316</v>
      </c>
      <c r="AE443">
        <v>76.14</v>
      </c>
      <c r="AF443">
        <v>20</v>
      </c>
      <c r="AG443">
        <v>1</v>
      </c>
      <c r="AH443">
        <v>3.38</v>
      </c>
      <c r="AI443">
        <v>76.38</v>
      </c>
      <c r="AJ443">
        <v>177.71</v>
      </c>
      <c r="AK443">
        <v>88.48</v>
      </c>
      <c r="AL443" t="s">
        <v>23</v>
      </c>
      <c r="AM443" t="s">
        <v>24</v>
      </c>
      <c r="AN443" t="str">
        <f t="shared" si="24"/>
        <v>Evening</v>
      </c>
      <c r="AO443" t="str">
        <f t="shared" si="25"/>
        <v>Peak</v>
      </c>
      <c r="AP443" t="str">
        <f t="shared" si="26"/>
        <v>Medium</v>
      </c>
      <c r="AQ443" t="str">
        <f t="shared" si="27"/>
        <v>High</v>
      </c>
    </row>
    <row r="444" spans="1:43" x14ac:dyDescent="0.3">
      <c r="A444">
        <v>443</v>
      </c>
      <c r="B444" t="s">
        <v>7</v>
      </c>
      <c r="C444" t="s">
        <v>8</v>
      </c>
      <c r="D444" s="1">
        <v>46220</v>
      </c>
      <c r="E444" t="s">
        <v>9</v>
      </c>
      <c r="F444">
        <v>0</v>
      </c>
      <c r="G444">
        <v>19</v>
      </c>
      <c r="H444" t="s">
        <v>51</v>
      </c>
      <c r="I444" t="s">
        <v>20</v>
      </c>
      <c r="J444">
        <v>1.25</v>
      </c>
      <c r="K444" t="s">
        <v>12</v>
      </c>
      <c r="L444">
        <v>0</v>
      </c>
      <c r="M444">
        <v>3.6</v>
      </c>
      <c r="N444">
        <v>65</v>
      </c>
      <c r="O444" t="s">
        <v>35</v>
      </c>
      <c r="P444">
        <v>20</v>
      </c>
      <c r="Q444">
        <v>5</v>
      </c>
      <c r="R444">
        <v>31.3</v>
      </c>
      <c r="S444">
        <v>95.53</v>
      </c>
      <c r="T444">
        <v>72.78</v>
      </c>
      <c r="U444">
        <v>1</v>
      </c>
      <c r="V444">
        <v>0</v>
      </c>
      <c r="W444">
        <v>168.31</v>
      </c>
      <c r="X444">
        <v>35.700000000000003</v>
      </c>
      <c r="Y444">
        <v>108.17</v>
      </c>
      <c r="Z444">
        <v>15.14</v>
      </c>
      <c r="AA444">
        <v>9.81</v>
      </c>
      <c r="AB444">
        <v>143.36000000000001</v>
      </c>
      <c r="AC444">
        <v>274.81150159744408</v>
      </c>
      <c r="AD444">
        <v>28.672000000000004</v>
      </c>
      <c r="AE444">
        <v>88.86</v>
      </c>
      <c r="AF444">
        <v>11.26</v>
      </c>
      <c r="AG444">
        <v>1</v>
      </c>
      <c r="AH444">
        <v>1.1100000000000001</v>
      </c>
      <c r="AI444">
        <v>66.11</v>
      </c>
      <c r="AJ444">
        <v>298.19</v>
      </c>
      <c r="AK444">
        <v>78.84</v>
      </c>
      <c r="AL444" t="s">
        <v>14</v>
      </c>
      <c r="AM444" t="s">
        <v>15</v>
      </c>
      <c r="AN444" t="str">
        <f t="shared" si="24"/>
        <v>Night</v>
      </c>
      <c r="AO444" t="str">
        <f t="shared" si="25"/>
        <v>Peak</v>
      </c>
      <c r="AP444" t="str">
        <f t="shared" si="26"/>
        <v>High</v>
      </c>
      <c r="AQ444" t="str">
        <f t="shared" si="27"/>
        <v>Medium</v>
      </c>
    </row>
    <row r="445" spans="1:43" x14ac:dyDescent="0.3">
      <c r="A445">
        <v>444</v>
      </c>
      <c r="B445" t="s">
        <v>29</v>
      </c>
      <c r="C445" t="s">
        <v>30</v>
      </c>
      <c r="D445" s="1">
        <v>46147</v>
      </c>
      <c r="E445" t="s">
        <v>44</v>
      </c>
      <c r="F445">
        <v>0</v>
      </c>
      <c r="G445">
        <v>8</v>
      </c>
      <c r="H445" t="s">
        <v>47</v>
      </c>
      <c r="I445" t="s">
        <v>39</v>
      </c>
      <c r="J445">
        <v>1.05</v>
      </c>
      <c r="K445" t="s">
        <v>12</v>
      </c>
      <c r="L445">
        <v>0</v>
      </c>
      <c r="M445">
        <v>2.34</v>
      </c>
      <c r="N445">
        <v>5</v>
      </c>
      <c r="O445" t="s">
        <v>22</v>
      </c>
      <c r="P445">
        <v>1</v>
      </c>
      <c r="Q445">
        <v>4.03</v>
      </c>
      <c r="R445">
        <v>33.9</v>
      </c>
      <c r="S445">
        <v>80.72</v>
      </c>
      <c r="T445">
        <v>0</v>
      </c>
      <c r="U445">
        <v>1</v>
      </c>
      <c r="V445">
        <v>0</v>
      </c>
      <c r="W445">
        <v>80.72</v>
      </c>
      <c r="X445">
        <v>41.8</v>
      </c>
      <c r="Y445">
        <v>108.42</v>
      </c>
      <c r="Z445">
        <v>10.46</v>
      </c>
      <c r="AA445">
        <v>4.13</v>
      </c>
      <c r="AB445">
        <v>66.13</v>
      </c>
      <c r="AC445">
        <v>117.04424778761063</v>
      </c>
      <c r="AD445">
        <v>16.409429280397021</v>
      </c>
      <c r="AE445">
        <v>73.33</v>
      </c>
      <c r="AF445">
        <v>16.489999999999998</v>
      </c>
      <c r="AG445">
        <v>0</v>
      </c>
      <c r="AH445">
        <v>-6.67</v>
      </c>
      <c r="AI445">
        <v>5</v>
      </c>
      <c r="AJ445">
        <v>130.22</v>
      </c>
      <c r="AK445">
        <v>66.56</v>
      </c>
      <c r="AL445" t="s">
        <v>23</v>
      </c>
      <c r="AM445" t="s">
        <v>24</v>
      </c>
      <c r="AN445" t="str">
        <f t="shared" si="24"/>
        <v>Morning</v>
      </c>
      <c r="AO445" t="str">
        <f t="shared" si="25"/>
        <v>Peak</v>
      </c>
      <c r="AP445" t="str">
        <f t="shared" si="26"/>
        <v>Low</v>
      </c>
      <c r="AQ445" t="str">
        <f t="shared" si="27"/>
        <v>Low</v>
      </c>
    </row>
    <row r="446" spans="1:43" x14ac:dyDescent="0.3">
      <c r="A446">
        <v>445</v>
      </c>
      <c r="B446" t="s">
        <v>29</v>
      </c>
      <c r="C446" t="s">
        <v>30</v>
      </c>
      <c r="D446" s="1">
        <v>46140</v>
      </c>
      <c r="E446" t="s">
        <v>44</v>
      </c>
      <c r="F446">
        <v>0</v>
      </c>
      <c r="G446">
        <v>13</v>
      </c>
      <c r="H446" t="s">
        <v>43</v>
      </c>
      <c r="I446" t="s">
        <v>46</v>
      </c>
      <c r="J446">
        <v>1.1499999999999999</v>
      </c>
      <c r="K446" t="s">
        <v>12</v>
      </c>
      <c r="L446">
        <v>0</v>
      </c>
      <c r="M446">
        <v>4.05</v>
      </c>
      <c r="N446">
        <v>25</v>
      </c>
      <c r="O446" t="s">
        <v>22</v>
      </c>
      <c r="P446">
        <v>6</v>
      </c>
      <c r="Q446">
        <v>4.66</v>
      </c>
      <c r="R446">
        <v>47.3</v>
      </c>
      <c r="S446">
        <v>92.03</v>
      </c>
      <c r="T446">
        <v>30.57</v>
      </c>
      <c r="U446">
        <v>1</v>
      </c>
      <c r="V446">
        <v>0</v>
      </c>
      <c r="W446">
        <v>122.6</v>
      </c>
      <c r="X446">
        <v>35.299999999999997</v>
      </c>
      <c r="Y446">
        <v>109.78</v>
      </c>
      <c r="Z446">
        <v>14.48</v>
      </c>
      <c r="AA446">
        <v>11.63</v>
      </c>
      <c r="AB446">
        <v>96.49</v>
      </c>
      <c r="AC446">
        <v>122.39746300211416</v>
      </c>
      <c r="AD446">
        <v>20.706008583690984</v>
      </c>
      <c r="AE446">
        <v>74.069999999999993</v>
      </c>
      <c r="AF446">
        <v>17.93</v>
      </c>
      <c r="AG446">
        <v>0</v>
      </c>
      <c r="AH446">
        <v>-3.12</v>
      </c>
      <c r="AI446">
        <v>21.88</v>
      </c>
      <c r="AJ446">
        <v>108.71</v>
      </c>
      <c r="AK446">
        <v>67.790000000000006</v>
      </c>
      <c r="AL446" t="s">
        <v>14</v>
      </c>
      <c r="AM446" t="s">
        <v>15</v>
      </c>
      <c r="AN446" t="str">
        <f t="shared" si="24"/>
        <v>Afternoon</v>
      </c>
      <c r="AO446" t="str">
        <f t="shared" si="25"/>
        <v>Off-Peak</v>
      </c>
      <c r="AP446" t="str">
        <f t="shared" si="26"/>
        <v>Low</v>
      </c>
      <c r="AQ446" t="str">
        <f t="shared" si="27"/>
        <v>Low</v>
      </c>
    </row>
    <row r="447" spans="1:43" x14ac:dyDescent="0.3">
      <c r="A447">
        <v>446</v>
      </c>
      <c r="B447" t="s">
        <v>25</v>
      </c>
      <c r="C447" t="s">
        <v>17</v>
      </c>
      <c r="D447" s="1">
        <v>46140</v>
      </c>
      <c r="E447" t="s">
        <v>44</v>
      </c>
      <c r="F447">
        <v>0</v>
      </c>
      <c r="G447">
        <v>7</v>
      </c>
      <c r="H447" t="s">
        <v>27</v>
      </c>
      <c r="I447" t="s">
        <v>42</v>
      </c>
      <c r="J447">
        <v>1.08</v>
      </c>
      <c r="K447" t="s">
        <v>12</v>
      </c>
      <c r="L447">
        <v>0</v>
      </c>
      <c r="M447">
        <v>5</v>
      </c>
      <c r="N447">
        <v>51</v>
      </c>
      <c r="O447" t="s">
        <v>35</v>
      </c>
      <c r="P447">
        <v>6</v>
      </c>
      <c r="Q447">
        <v>2.5099999999999998</v>
      </c>
      <c r="R447">
        <v>47.5</v>
      </c>
      <c r="S447">
        <v>81.400000000000006</v>
      </c>
      <c r="T447">
        <v>58.28</v>
      </c>
      <c r="U447">
        <v>1.25</v>
      </c>
      <c r="V447">
        <v>20.350000000000001</v>
      </c>
      <c r="W447">
        <v>160.03</v>
      </c>
      <c r="X447">
        <v>48.3</v>
      </c>
      <c r="Y447">
        <v>109.93</v>
      </c>
      <c r="Z447">
        <v>5.71</v>
      </c>
      <c r="AA447">
        <v>4.95</v>
      </c>
      <c r="AB447">
        <v>149.37</v>
      </c>
      <c r="AC447">
        <v>188.67789473684212</v>
      </c>
      <c r="AD447">
        <v>59.509960159362556</v>
      </c>
      <c r="AE447">
        <v>72.41</v>
      </c>
      <c r="AF447">
        <v>19</v>
      </c>
      <c r="AG447">
        <v>1</v>
      </c>
      <c r="AH447">
        <v>-6.62</v>
      </c>
      <c r="AI447">
        <v>44.38</v>
      </c>
      <c r="AJ447">
        <v>200.81</v>
      </c>
      <c r="AK447">
        <v>71.19</v>
      </c>
      <c r="AL447" t="s">
        <v>23</v>
      </c>
      <c r="AM447" t="s">
        <v>24</v>
      </c>
      <c r="AN447" t="str">
        <f t="shared" si="24"/>
        <v>Morning</v>
      </c>
      <c r="AO447" t="str">
        <f t="shared" si="25"/>
        <v>Peak</v>
      </c>
      <c r="AP447" t="str">
        <f t="shared" si="26"/>
        <v>Medium</v>
      </c>
      <c r="AQ447" t="str">
        <f t="shared" si="27"/>
        <v>Medium</v>
      </c>
    </row>
    <row r="448" spans="1:43" x14ac:dyDescent="0.3">
      <c r="A448">
        <v>447</v>
      </c>
      <c r="B448" t="s">
        <v>48</v>
      </c>
      <c r="C448" t="s">
        <v>30</v>
      </c>
      <c r="D448" s="1">
        <v>46245</v>
      </c>
      <c r="E448" t="s">
        <v>44</v>
      </c>
      <c r="F448">
        <v>0</v>
      </c>
      <c r="G448">
        <v>14</v>
      </c>
      <c r="H448" t="s">
        <v>43</v>
      </c>
      <c r="I448" t="s">
        <v>50</v>
      </c>
      <c r="J448">
        <v>1.2</v>
      </c>
      <c r="K448" t="s">
        <v>12</v>
      </c>
      <c r="L448">
        <v>0</v>
      </c>
      <c r="M448">
        <v>3.41</v>
      </c>
      <c r="N448">
        <v>46</v>
      </c>
      <c r="O448" t="s">
        <v>35</v>
      </c>
      <c r="P448">
        <v>11</v>
      </c>
      <c r="Q448">
        <v>4.29</v>
      </c>
      <c r="R448">
        <v>49.4</v>
      </c>
      <c r="S448">
        <v>90.26</v>
      </c>
      <c r="T448">
        <v>48.25</v>
      </c>
      <c r="U448">
        <v>1</v>
      </c>
      <c r="V448">
        <v>0</v>
      </c>
      <c r="W448">
        <v>138.51</v>
      </c>
      <c r="X448">
        <v>37.6</v>
      </c>
      <c r="Y448">
        <v>100.76</v>
      </c>
      <c r="Z448">
        <v>11.5</v>
      </c>
      <c r="AA448">
        <v>8.27</v>
      </c>
      <c r="AB448">
        <v>118.74</v>
      </c>
      <c r="AC448">
        <v>144.21862348178138</v>
      </c>
      <c r="AD448">
        <v>27.678321678321677</v>
      </c>
      <c r="AE448">
        <v>71.55</v>
      </c>
      <c r="AF448">
        <v>14.09</v>
      </c>
      <c r="AG448">
        <v>0</v>
      </c>
      <c r="AH448">
        <v>14.48</v>
      </c>
      <c r="AI448">
        <v>60.48</v>
      </c>
      <c r="AJ448">
        <v>151.66999999999999</v>
      </c>
      <c r="AK448">
        <v>60.92</v>
      </c>
      <c r="AL448" t="s">
        <v>14</v>
      </c>
      <c r="AM448" t="s">
        <v>15</v>
      </c>
      <c r="AN448" t="str">
        <f t="shared" si="24"/>
        <v>Afternoon</v>
      </c>
      <c r="AO448" t="str">
        <f t="shared" si="25"/>
        <v>Off-Peak</v>
      </c>
      <c r="AP448" t="str">
        <f t="shared" si="26"/>
        <v>Low</v>
      </c>
      <c r="AQ448" t="str">
        <f t="shared" si="27"/>
        <v>Medium</v>
      </c>
    </row>
    <row r="449" spans="1:43" x14ac:dyDescent="0.3">
      <c r="A449">
        <v>448</v>
      </c>
      <c r="B449" t="s">
        <v>23</v>
      </c>
      <c r="C449" t="s">
        <v>17</v>
      </c>
      <c r="D449" s="1">
        <v>46122</v>
      </c>
      <c r="E449" t="s">
        <v>9</v>
      </c>
      <c r="F449">
        <v>0</v>
      </c>
      <c r="G449">
        <v>10</v>
      </c>
      <c r="H449" t="s">
        <v>19</v>
      </c>
      <c r="I449" t="s">
        <v>37</v>
      </c>
      <c r="J449">
        <v>1.02</v>
      </c>
      <c r="K449" t="s">
        <v>12</v>
      </c>
      <c r="L449">
        <v>0</v>
      </c>
      <c r="M449">
        <v>2.64</v>
      </c>
      <c r="N449">
        <v>25</v>
      </c>
      <c r="O449" t="s">
        <v>22</v>
      </c>
      <c r="P449">
        <v>3</v>
      </c>
      <c r="Q449">
        <v>3.52</v>
      </c>
      <c r="R449">
        <v>27.6</v>
      </c>
      <c r="S449">
        <v>88.32</v>
      </c>
      <c r="T449">
        <v>29.05</v>
      </c>
      <c r="U449">
        <v>1.1200000000000001</v>
      </c>
      <c r="V449">
        <v>10.6</v>
      </c>
      <c r="W449">
        <v>127.97</v>
      </c>
      <c r="X449">
        <v>44.4</v>
      </c>
      <c r="Y449">
        <v>106.58</v>
      </c>
      <c r="Z449">
        <v>8.4600000000000009</v>
      </c>
      <c r="AA449">
        <v>8.19</v>
      </c>
      <c r="AB449">
        <v>111.32</v>
      </c>
      <c r="AC449">
        <v>241.99999999999997</v>
      </c>
      <c r="AD449">
        <v>31.624999999999996</v>
      </c>
      <c r="AE449">
        <v>75.900000000000006</v>
      </c>
      <c r="AF449">
        <v>17.420000000000002</v>
      </c>
      <c r="AG449">
        <v>0</v>
      </c>
      <c r="AH449">
        <v>-8.3000000000000007</v>
      </c>
      <c r="AI449">
        <v>16.7</v>
      </c>
      <c r="AJ449">
        <v>235.08</v>
      </c>
      <c r="AK449">
        <v>71.59</v>
      </c>
      <c r="AL449" t="s">
        <v>23</v>
      </c>
      <c r="AM449" t="s">
        <v>24</v>
      </c>
      <c r="AN449" t="str">
        <f t="shared" si="24"/>
        <v>Morning</v>
      </c>
      <c r="AO449" t="str">
        <f t="shared" si="25"/>
        <v>Peak</v>
      </c>
      <c r="AP449" t="str">
        <f t="shared" si="26"/>
        <v>Medium</v>
      </c>
      <c r="AQ449" t="str">
        <f t="shared" si="27"/>
        <v>Low</v>
      </c>
    </row>
    <row r="450" spans="1:43" x14ac:dyDescent="0.3">
      <c r="A450">
        <v>449</v>
      </c>
      <c r="B450" t="s">
        <v>29</v>
      </c>
      <c r="C450" t="s">
        <v>30</v>
      </c>
      <c r="D450" s="1">
        <v>46095</v>
      </c>
      <c r="E450" t="s">
        <v>31</v>
      </c>
      <c r="F450">
        <v>1</v>
      </c>
      <c r="G450">
        <v>12</v>
      </c>
      <c r="H450" t="s">
        <v>43</v>
      </c>
      <c r="I450" t="s">
        <v>28</v>
      </c>
      <c r="J450">
        <v>1.03</v>
      </c>
      <c r="K450" t="s">
        <v>21</v>
      </c>
      <c r="L450">
        <v>0</v>
      </c>
      <c r="M450">
        <v>2.81</v>
      </c>
      <c r="N450">
        <v>32</v>
      </c>
      <c r="O450" t="s">
        <v>22</v>
      </c>
      <c r="P450">
        <v>9</v>
      </c>
      <c r="Q450">
        <v>15</v>
      </c>
      <c r="R450">
        <v>85</v>
      </c>
      <c r="S450">
        <v>169.02</v>
      </c>
      <c r="T450">
        <v>45.67</v>
      </c>
      <c r="U450">
        <v>1</v>
      </c>
      <c r="V450">
        <v>0</v>
      </c>
      <c r="W450">
        <v>214.69</v>
      </c>
      <c r="X450">
        <v>43.6</v>
      </c>
      <c r="Y450">
        <v>102.73</v>
      </c>
      <c r="Z450">
        <v>35.380000000000003</v>
      </c>
      <c r="AA450">
        <v>6.71</v>
      </c>
      <c r="AB450">
        <v>172.6</v>
      </c>
      <c r="AC450">
        <v>121.83529411764705</v>
      </c>
      <c r="AD450">
        <v>11.506666666666666</v>
      </c>
      <c r="AE450">
        <v>81.12</v>
      </c>
      <c r="AF450">
        <v>14.88</v>
      </c>
      <c r="AG450">
        <v>1</v>
      </c>
      <c r="AH450">
        <v>-30.69</v>
      </c>
      <c r="AI450">
        <v>5</v>
      </c>
      <c r="AJ450">
        <v>124.33</v>
      </c>
      <c r="AK450">
        <v>60</v>
      </c>
      <c r="AL450" t="s">
        <v>14</v>
      </c>
      <c r="AM450" t="s">
        <v>15</v>
      </c>
      <c r="AN450" t="str">
        <f t="shared" si="24"/>
        <v>Afternoon</v>
      </c>
      <c r="AO450" t="str">
        <f t="shared" si="25"/>
        <v>Off-Peak</v>
      </c>
      <c r="AP450" t="str">
        <f t="shared" si="26"/>
        <v>Low</v>
      </c>
      <c r="AQ450" t="str">
        <f t="shared" si="27"/>
        <v>Low</v>
      </c>
    </row>
    <row r="451" spans="1:43" x14ac:dyDescent="0.3">
      <c r="A451">
        <v>450</v>
      </c>
      <c r="B451" t="s">
        <v>48</v>
      </c>
      <c r="C451" t="s">
        <v>30</v>
      </c>
      <c r="D451" s="1">
        <v>46116</v>
      </c>
      <c r="E451" t="s">
        <v>31</v>
      </c>
      <c r="F451">
        <v>1</v>
      </c>
      <c r="G451">
        <v>14</v>
      </c>
      <c r="H451" t="s">
        <v>43</v>
      </c>
      <c r="I451" t="s">
        <v>11</v>
      </c>
      <c r="J451">
        <v>1.18</v>
      </c>
      <c r="K451" t="s">
        <v>12</v>
      </c>
      <c r="L451">
        <v>0</v>
      </c>
      <c r="M451">
        <v>2.36</v>
      </c>
      <c r="N451">
        <v>38</v>
      </c>
      <c r="O451" t="s">
        <v>35</v>
      </c>
      <c r="P451">
        <v>12</v>
      </c>
      <c r="Q451">
        <v>4.74</v>
      </c>
      <c r="R451">
        <v>30.9</v>
      </c>
      <c r="S451">
        <v>108.41</v>
      </c>
      <c r="T451">
        <v>52.19</v>
      </c>
      <c r="U451">
        <v>1</v>
      </c>
      <c r="V451">
        <v>0</v>
      </c>
      <c r="W451">
        <v>160.6</v>
      </c>
      <c r="X451">
        <v>44.4</v>
      </c>
      <c r="Y451">
        <v>101.26</v>
      </c>
      <c r="Z451">
        <v>10.82</v>
      </c>
      <c r="AA451">
        <v>8.5500000000000007</v>
      </c>
      <c r="AB451">
        <v>141.22999999999999</v>
      </c>
      <c r="AC451">
        <v>274.23300970873782</v>
      </c>
      <c r="AD451">
        <v>29.795358649789026</v>
      </c>
      <c r="AE451">
        <v>69.56</v>
      </c>
      <c r="AF451">
        <v>11.83</v>
      </c>
      <c r="AG451">
        <v>1</v>
      </c>
      <c r="AH451">
        <v>3.87</v>
      </c>
      <c r="AI451">
        <v>41.87</v>
      </c>
      <c r="AJ451">
        <v>255.18</v>
      </c>
      <c r="AK451">
        <v>75.760000000000005</v>
      </c>
      <c r="AL451" t="s">
        <v>14</v>
      </c>
      <c r="AM451" t="s">
        <v>15</v>
      </c>
      <c r="AN451" t="str">
        <f t="shared" ref="AN451:AN514" si="28">IF(G451&lt;11,"Morning",IF(G451&lt;15,"Afternoon",IF(G451&lt;18,"Evening","Night")))</f>
        <v>Afternoon</v>
      </c>
      <c r="AO451" t="str">
        <f t="shared" ref="AO451:AO514" si="29">IF(OR(AND(G451&gt;=7,G451&lt;=10),AND(G451&gt;=17,G451&lt;=20)),"Peak","Off-Peak")</f>
        <v>Off-Peak</v>
      </c>
      <c r="AP451" t="str">
        <f t="shared" ref="AP451:AP514" si="30">IF(AC451&lt;150,"Low",IF(AC451&lt;=250,"Medium","High"))</f>
        <v>High</v>
      </c>
      <c r="AQ451" t="str">
        <f t="shared" ref="AQ451:AQ514" si="31">IF(N451&lt;=35,"Low",IF(N451&lt;=70,"Medium","High"))</f>
        <v>Medium</v>
      </c>
    </row>
    <row r="452" spans="1:43" x14ac:dyDescent="0.3">
      <c r="A452">
        <v>451</v>
      </c>
      <c r="B452" t="s">
        <v>23</v>
      </c>
      <c r="C452" t="s">
        <v>17</v>
      </c>
      <c r="D452" s="1">
        <v>46073</v>
      </c>
      <c r="E452" t="s">
        <v>9</v>
      </c>
      <c r="F452">
        <v>0</v>
      </c>
      <c r="G452">
        <v>12</v>
      </c>
      <c r="H452" t="s">
        <v>19</v>
      </c>
      <c r="I452" t="s">
        <v>46</v>
      </c>
      <c r="J452">
        <v>1.1499999999999999</v>
      </c>
      <c r="K452" t="s">
        <v>12</v>
      </c>
      <c r="L452">
        <v>0</v>
      </c>
      <c r="M452">
        <v>2.2000000000000002</v>
      </c>
      <c r="N452">
        <v>5</v>
      </c>
      <c r="O452" t="s">
        <v>22</v>
      </c>
      <c r="P452">
        <v>1</v>
      </c>
      <c r="Q452">
        <v>1</v>
      </c>
      <c r="R452">
        <v>28.9</v>
      </c>
      <c r="S452">
        <v>75.53</v>
      </c>
      <c r="T452">
        <v>6.06</v>
      </c>
      <c r="U452">
        <v>1</v>
      </c>
      <c r="V452">
        <v>0</v>
      </c>
      <c r="W452">
        <v>81.59</v>
      </c>
      <c r="X452">
        <v>43.5</v>
      </c>
      <c r="Y452">
        <v>101.49</v>
      </c>
      <c r="Z452">
        <v>2.34</v>
      </c>
      <c r="AA452">
        <v>9.44</v>
      </c>
      <c r="AB452">
        <v>69.81</v>
      </c>
      <c r="AC452">
        <v>144.93425605536333</v>
      </c>
      <c r="AD452">
        <v>69.81</v>
      </c>
      <c r="AE452">
        <v>73.41</v>
      </c>
      <c r="AF452">
        <v>12.94</v>
      </c>
      <c r="AG452">
        <v>0</v>
      </c>
      <c r="AH452">
        <v>-1.19</v>
      </c>
      <c r="AI452">
        <v>5</v>
      </c>
      <c r="AJ452">
        <v>135.44</v>
      </c>
      <c r="AK452">
        <v>68.099999999999994</v>
      </c>
      <c r="AL452" t="s">
        <v>14</v>
      </c>
      <c r="AM452" t="s">
        <v>15</v>
      </c>
      <c r="AN452" t="str">
        <f t="shared" si="28"/>
        <v>Afternoon</v>
      </c>
      <c r="AO452" t="str">
        <f t="shared" si="29"/>
        <v>Off-Peak</v>
      </c>
      <c r="AP452" t="str">
        <f t="shared" si="30"/>
        <v>Low</v>
      </c>
      <c r="AQ452" t="str">
        <f t="shared" si="31"/>
        <v>Low</v>
      </c>
    </row>
    <row r="453" spans="1:43" x14ac:dyDescent="0.3">
      <c r="A453">
        <v>452</v>
      </c>
      <c r="B453" t="s">
        <v>23</v>
      </c>
      <c r="C453" t="s">
        <v>17</v>
      </c>
      <c r="D453" s="1">
        <v>46124</v>
      </c>
      <c r="E453" t="s">
        <v>26</v>
      </c>
      <c r="F453">
        <v>1</v>
      </c>
      <c r="G453">
        <v>13</v>
      </c>
      <c r="H453" t="s">
        <v>19</v>
      </c>
      <c r="I453" t="s">
        <v>45</v>
      </c>
      <c r="J453">
        <v>1</v>
      </c>
      <c r="K453" t="s">
        <v>12</v>
      </c>
      <c r="L453">
        <v>0</v>
      </c>
      <c r="M453">
        <v>2.16</v>
      </c>
      <c r="N453">
        <v>29</v>
      </c>
      <c r="O453" t="s">
        <v>22</v>
      </c>
      <c r="P453">
        <v>6</v>
      </c>
      <c r="Q453">
        <v>2.83</v>
      </c>
      <c r="R453">
        <v>34.5</v>
      </c>
      <c r="S453">
        <v>88.25</v>
      </c>
      <c r="T453">
        <v>40.94</v>
      </c>
      <c r="U453">
        <v>1.01</v>
      </c>
      <c r="V453">
        <v>0.88</v>
      </c>
      <c r="W453">
        <v>130.07</v>
      </c>
      <c r="X453">
        <v>45.7</v>
      </c>
      <c r="Y453">
        <v>109.36</v>
      </c>
      <c r="Z453">
        <v>6.77</v>
      </c>
      <c r="AA453">
        <v>8.19</v>
      </c>
      <c r="AB453">
        <v>115.11</v>
      </c>
      <c r="AC453">
        <v>200.1913043478261</v>
      </c>
      <c r="AD453">
        <v>40.674911660777383</v>
      </c>
      <c r="AE453">
        <v>75.790000000000006</v>
      </c>
      <c r="AF453">
        <v>14.48</v>
      </c>
      <c r="AG453">
        <v>1</v>
      </c>
      <c r="AH453">
        <v>-5.79</v>
      </c>
      <c r="AI453">
        <v>23.21</v>
      </c>
      <c r="AJ453">
        <v>205.97</v>
      </c>
      <c r="AK453">
        <v>70.55</v>
      </c>
      <c r="AL453" t="s">
        <v>14</v>
      </c>
      <c r="AM453" t="s">
        <v>15</v>
      </c>
      <c r="AN453" t="str">
        <f t="shared" si="28"/>
        <v>Afternoon</v>
      </c>
      <c r="AO453" t="str">
        <f t="shared" si="29"/>
        <v>Off-Peak</v>
      </c>
      <c r="AP453" t="str">
        <f t="shared" si="30"/>
        <v>Medium</v>
      </c>
      <c r="AQ453" t="str">
        <f t="shared" si="31"/>
        <v>Low</v>
      </c>
    </row>
    <row r="454" spans="1:43" x14ac:dyDescent="0.3">
      <c r="A454">
        <v>453</v>
      </c>
      <c r="B454" t="s">
        <v>29</v>
      </c>
      <c r="C454" t="s">
        <v>30</v>
      </c>
      <c r="D454" s="1">
        <v>46052</v>
      </c>
      <c r="E454" t="s">
        <v>9</v>
      </c>
      <c r="F454">
        <v>0</v>
      </c>
      <c r="G454">
        <v>19</v>
      </c>
      <c r="H454" t="s">
        <v>32</v>
      </c>
      <c r="I454" t="s">
        <v>45</v>
      </c>
      <c r="J454">
        <v>1</v>
      </c>
      <c r="K454" t="s">
        <v>21</v>
      </c>
      <c r="L454">
        <v>0</v>
      </c>
      <c r="M454">
        <v>3.61</v>
      </c>
      <c r="N454">
        <v>79</v>
      </c>
      <c r="O454" t="s">
        <v>13</v>
      </c>
      <c r="P454">
        <v>13</v>
      </c>
      <c r="Q454">
        <v>3.24</v>
      </c>
      <c r="R454">
        <v>38.700000000000003</v>
      </c>
      <c r="S454">
        <v>100.27</v>
      </c>
      <c r="T454">
        <v>90.46</v>
      </c>
      <c r="U454">
        <v>1</v>
      </c>
      <c r="V454">
        <v>0</v>
      </c>
      <c r="W454">
        <v>190.73</v>
      </c>
      <c r="X454">
        <v>44.4</v>
      </c>
      <c r="Y454">
        <v>106.84</v>
      </c>
      <c r="Z454">
        <v>7.79</v>
      </c>
      <c r="AA454">
        <v>7.6</v>
      </c>
      <c r="AB454">
        <v>175.34</v>
      </c>
      <c r="AC454">
        <v>271.84496124031006</v>
      </c>
      <c r="AD454">
        <v>54.117283950617285</v>
      </c>
      <c r="AE454">
        <v>81.19</v>
      </c>
      <c r="AF454">
        <v>11.45</v>
      </c>
      <c r="AG454">
        <v>1</v>
      </c>
      <c r="AH454">
        <v>16.670000000000002</v>
      </c>
      <c r="AI454">
        <v>95.67</v>
      </c>
      <c r="AJ454">
        <v>302.22000000000003</v>
      </c>
      <c r="AK454">
        <v>73.010000000000005</v>
      </c>
      <c r="AL454" t="s">
        <v>14</v>
      </c>
      <c r="AM454" t="s">
        <v>15</v>
      </c>
      <c r="AN454" t="str">
        <f t="shared" si="28"/>
        <v>Night</v>
      </c>
      <c r="AO454" t="str">
        <f t="shared" si="29"/>
        <v>Peak</v>
      </c>
      <c r="AP454" t="str">
        <f t="shared" si="30"/>
        <v>High</v>
      </c>
      <c r="AQ454" t="str">
        <f t="shared" si="31"/>
        <v>High</v>
      </c>
    </row>
    <row r="455" spans="1:43" x14ac:dyDescent="0.3">
      <c r="A455">
        <v>454</v>
      </c>
      <c r="B455" t="s">
        <v>7</v>
      </c>
      <c r="C455" t="s">
        <v>8</v>
      </c>
      <c r="D455" s="1">
        <v>46046</v>
      </c>
      <c r="E455" t="s">
        <v>31</v>
      </c>
      <c r="F455">
        <v>1</v>
      </c>
      <c r="G455">
        <v>19</v>
      </c>
      <c r="H455" t="s">
        <v>51</v>
      </c>
      <c r="I455" t="s">
        <v>39</v>
      </c>
      <c r="J455">
        <v>1.05</v>
      </c>
      <c r="K455" t="s">
        <v>12</v>
      </c>
      <c r="L455">
        <v>0</v>
      </c>
      <c r="M455">
        <v>3.27</v>
      </c>
      <c r="N455">
        <v>115</v>
      </c>
      <c r="O455" t="s">
        <v>13</v>
      </c>
      <c r="P455">
        <v>31</v>
      </c>
      <c r="Q455">
        <v>7.25</v>
      </c>
      <c r="R455">
        <v>54.5</v>
      </c>
      <c r="S455">
        <v>99.57</v>
      </c>
      <c r="T455">
        <v>100</v>
      </c>
      <c r="U455">
        <v>1</v>
      </c>
      <c r="V455">
        <v>0</v>
      </c>
      <c r="W455">
        <v>199.57</v>
      </c>
      <c r="X455">
        <v>36.4</v>
      </c>
      <c r="Y455">
        <v>100.5</v>
      </c>
      <c r="Z455">
        <v>20.04</v>
      </c>
      <c r="AA455">
        <v>8.07</v>
      </c>
      <c r="AB455">
        <v>171.46</v>
      </c>
      <c r="AC455">
        <v>188.76330275229358</v>
      </c>
      <c r="AD455">
        <v>23.649655172413794</v>
      </c>
      <c r="AE455">
        <v>67.540000000000006</v>
      </c>
      <c r="AF455">
        <v>16.48</v>
      </c>
      <c r="AG455">
        <v>1</v>
      </c>
      <c r="AH455">
        <v>-38</v>
      </c>
      <c r="AI455">
        <v>77</v>
      </c>
      <c r="AJ455">
        <v>213.92</v>
      </c>
      <c r="AK455">
        <v>75.59</v>
      </c>
      <c r="AL455" t="s">
        <v>14</v>
      </c>
      <c r="AM455" t="s">
        <v>15</v>
      </c>
      <c r="AN455" t="str">
        <f t="shared" si="28"/>
        <v>Night</v>
      </c>
      <c r="AO455" t="str">
        <f t="shared" si="29"/>
        <v>Peak</v>
      </c>
      <c r="AP455" t="str">
        <f t="shared" si="30"/>
        <v>Medium</v>
      </c>
      <c r="AQ455" t="str">
        <f t="shared" si="31"/>
        <v>High</v>
      </c>
    </row>
    <row r="456" spans="1:43" x14ac:dyDescent="0.3">
      <c r="A456">
        <v>455</v>
      </c>
      <c r="B456" t="s">
        <v>25</v>
      </c>
      <c r="C456" t="s">
        <v>17</v>
      </c>
      <c r="D456" s="1">
        <v>46209</v>
      </c>
      <c r="E456" t="s">
        <v>38</v>
      </c>
      <c r="F456">
        <v>0</v>
      </c>
      <c r="G456">
        <v>7</v>
      </c>
      <c r="H456" t="s">
        <v>27</v>
      </c>
      <c r="I456" t="s">
        <v>46</v>
      </c>
      <c r="J456">
        <v>1.1499999999999999</v>
      </c>
      <c r="K456" t="s">
        <v>21</v>
      </c>
      <c r="L456">
        <v>0</v>
      </c>
      <c r="M456">
        <v>2.85</v>
      </c>
      <c r="N456">
        <v>79</v>
      </c>
      <c r="O456" t="s">
        <v>13</v>
      </c>
      <c r="P456">
        <v>17</v>
      </c>
      <c r="Q456">
        <v>5.18</v>
      </c>
      <c r="R456">
        <v>49.6</v>
      </c>
      <c r="S456">
        <v>130.1</v>
      </c>
      <c r="T456">
        <v>94.57</v>
      </c>
      <c r="U456">
        <v>1.31</v>
      </c>
      <c r="V456">
        <v>40.33</v>
      </c>
      <c r="W456">
        <v>265</v>
      </c>
      <c r="X456">
        <v>40.5</v>
      </c>
      <c r="Y456">
        <v>109.84</v>
      </c>
      <c r="Z456">
        <v>14.04</v>
      </c>
      <c r="AA456">
        <v>6.02</v>
      </c>
      <c r="AB456">
        <v>244.94</v>
      </c>
      <c r="AC456">
        <v>296.29838709677421</v>
      </c>
      <c r="AD456">
        <v>47.285714285714285</v>
      </c>
      <c r="AE456">
        <v>70.92</v>
      </c>
      <c r="AF456">
        <v>15.61</v>
      </c>
      <c r="AG456">
        <v>1</v>
      </c>
      <c r="AH456">
        <v>26.64</v>
      </c>
      <c r="AI456">
        <v>105.64</v>
      </c>
      <c r="AJ456">
        <v>314.25</v>
      </c>
      <c r="AK456">
        <v>74.03</v>
      </c>
      <c r="AL456" t="s">
        <v>23</v>
      </c>
      <c r="AM456" t="s">
        <v>24</v>
      </c>
      <c r="AN456" t="str">
        <f t="shared" si="28"/>
        <v>Morning</v>
      </c>
      <c r="AO456" t="str">
        <f t="shared" si="29"/>
        <v>Peak</v>
      </c>
      <c r="AP456" t="str">
        <f t="shared" si="30"/>
        <v>High</v>
      </c>
      <c r="AQ456" t="str">
        <f t="shared" si="31"/>
        <v>High</v>
      </c>
    </row>
    <row r="457" spans="1:43" x14ac:dyDescent="0.3">
      <c r="A457">
        <v>456</v>
      </c>
      <c r="B457" t="s">
        <v>29</v>
      </c>
      <c r="C457" t="s">
        <v>30</v>
      </c>
      <c r="D457" s="1">
        <v>46042</v>
      </c>
      <c r="E457" t="s">
        <v>44</v>
      </c>
      <c r="F457">
        <v>0</v>
      </c>
      <c r="G457">
        <v>13</v>
      </c>
      <c r="H457" t="s">
        <v>43</v>
      </c>
      <c r="I457" t="s">
        <v>42</v>
      </c>
      <c r="J457">
        <v>1.08</v>
      </c>
      <c r="K457" t="s">
        <v>34</v>
      </c>
      <c r="L457">
        <v>1</v>
      </c>
      <c r="M457">
        <v>3.68</v>
      </c>
      <c r="N457">
        <v>41</v>
      </c>
      <c r="O457" t="s">
        <v>35</v>
      </c>
      <c r="P457">
        <v>13</v>
      </c>
      <c r="Q457">
        <v>4.99</v>
      </c>
      <c r="R457">
        <v>51.2</v>
      </c>
      <c r="S457">
        <v>81.22</v>
      </c>
      <c r="T457">
        <v>43.4</v>
      </c>
      <c r="U457">
        <v>1</v>
      </c>
      <c r="V457">
        <v>0</v>
      </c>
      <c r="W457">
        <v>124.62</v>
      </c>
      <c r="X457">
        <v>43.2</v>
      </c>
      <c r="Y457">
        <v>108.08</v>
      </c>
      <c r="Z457">
        <v>12.49</v>
      </c>
      <c r="AA457">
        <v>2.71</v>
      </c>
      <c r="AB457">
        <v>109.42</v>
      </c>
      <c r="AC457">
        <v>128.2265625</v>
      </c>
      <c r="AD457">
        <v>21.927855711422843</v>
      </c>
      <c r="AE457">
        <v>64.349999999999994</v>
      </c>
      <c r="AF457">
        <v>19.73</v>
      </c>
      <c r="AG457">
        <v>0</v>
      </c>
      <c r="AH457">
        <v>18.82</v>
      </c>
      <c r="AI457">
        <v>59.82</v>
      </c>
      <c r="AJ457">
        <v>134.35</v>
      </c>
      <c r="AK457">
        <v>66.510000000000005</v>
      </c>
      <c r="AL457" t="s">
        <v>14</v>
      </c>
      <c r="AM457" t="s">
        <v>15</v>
      </c>
      <c r="AN457" t="str">
        <f t="shared" si="28"/>
        <v>Afternoon</v>
      </c>
      <c r="AO457" t="str">
        <f t="shared" si="29"/>
        <v>Off-Peak</v>
      </c>
      <c r="AP457" t="str">
        <f t="shared" si="30"/>
        <v>Low</v>
      </c>
      <c r="AQ457" t="str">
        <f t="shared" si="31"/>
        <v>Medium</v>
      </c>
    </row>
    <row r="458" spans="1:43" x14ac:dyDescent="0.3">
      <c r="A458">
        <v>457</v>
      </c>
      <c r="B458" t="s">
        <v>14</v>
      </c>
      <c r="C458" t="s">
        <v>8</v>
      </c>
      <c r="D458" s="1">
        <v>46169</v>
      </c>
      <c r="E458" t="s">
        <v>18</v>
      </c>
      <c r="F458">
        <v>0</v>
      </c>
      <c r="G458">
        <v>20</v>
      </c>
      <c r="H458" t="s">
        <v>51</v>
      </c>
      <c r="I458" t="s">
        <v>11</v>
      </c>
      <c r="J458">
        <v>1.18</v>
      </c>
      <c r="K458" t="s">
        <v>21</v>
      </c>
      <c r="L458">
        <v>0</v>
      </c>
      <c r="M458">
        <v>4.29</v>
      </c>
      <c r="N458">
        <v>66</v>
      </c>
      <c r="O458" t="s">
        <v>35</v>
      </c>
      <c r="P458">
        <v>31</v>
      </c>
      <c r="Q458">
        <v>9.5</v>
      </c>
      <c r="R458">
        <v>73.7</v>
      </c>
      <c r="S458">
        <v>124.26</v>
      </c>
      <c r="T458">
        <v>82.04</v>
      </c>
      <c r="U458">
        <v>1</v>
      </c>
      <c r="V458">
        <v>0</v>
      </c>
      <c r="W458">
        <v>206.3</v>
      </c>
      <c r="X458">
        <v>39.9</v>
      </c>
      <c r="Y458">
        <v>103.09</v>
      </c>
      <c r="Z458">
        <v>24.55</v>
      </c>
      <c r="AA458">
        <v>3.6</v>
      </c>
      <c r="AB458">
        <v>178.15</v>
      </c>
      <c r="AC458">
        <v>145.03392130257802</v>
      </c>
      <c r="AD458">
        <v>18.752631578947369</v>
      </c>
      <c r="AE458">
        <v>77.540000000000006</v>
      </c>
      <c r="AF458">
        <v>19.559999999999999</v>
      </c>
      <c r="AG458">
        <v>1</v>
      </c>
      <c r="AH458">
        <v>-6.42</v>
      </c>
      <c r="AI458">
        <v>59.58</v>
      </c>
      <c r="AJ458">
        <v>151.94999999999999</v>
      </c>
      <c r="AK458">
        <v>71.739999999999995</v>
      </c>
      <c r="AL458" t="s">
        <v>14</v>
      </c>
      <c r="AM458" t="s">
        <v>15</v>
      </c>
      <c r="AN458" t="str">
        <f t="shared" si="28"/>
        <v>Night</v>
      </c>
      <c r="AO458" t="str">
        <f t="shared" si="29"/>
        <v>Peak</v>
      </c>
      <c r="AP458" t="str">
        <f t="shared" si="30"/>
        <v>Low</v>
      </c>
      <c r="AQ458" t="str">
        <f t="shared" si="31"/>
        <v>Medium</v>
      </c>
    </row>
    <row r="459" spans="1:43" x14ac:dyDescent="0.3">
      <c r="A459">
        <v>458</v>
      </c>
      <c r="B459" t="s">
        <v>25</v>
      </c>
      <c r="C459" t="s">
        <v>17</v>
      </c>
      <c r="D459" s="1">
        <v>46224</v>
      </c>
      <c r="E459" t="s">
        <v>44</v>
      </c>
      <c r="F459">
        <v>0</v>
      </c>
      <c r="G459">
        <v>15</v>
      </c>
      <c r="H459" t="s">
        <v>19</v>
      </c>
      <c r="I459" t="s">
        <v>11</v>
      </c>
      <c r="J459">
        <v>1.18</v>
      </c>
      <c r="K459" t="s">
        <v>12</v>
      </c>
      <c r="L459">
        <v>0</v>
      </c>
      <c r="M459">
        <v>4.3600000000000003</v>
      </c>
      <c r="N459">
        <v>14</v>
      </c>
      <c r="O459" t="s">
        <v>22</v>
      </c>
      <c r="P459">
        <v>3</v>
      </c>
      <c r="Q459">
        <v>11.73</v>
      </c>
      <c r="R459">
        <v>80.5</v>
      </c>
      <c r="S459">
        <v>184.54</v>
      </c>
      <c r="T459">
        <v>4.7300000000000004</v>
      </c>
      <c r="U459">
        <v>1.03</v>
      </c>
      <c r="V459">
        <v>5.54</v>
      </c>
      <c r="W459">
        <v>194.81</v>
      </c>
      <c r="X459">
        <v>46.4</v>
      </c>
      <c r="Y459">
        <v>104.71</v>
      </c>
      <c r="Z459">
        <v>26.46</v>
      </c>
      <c r="AA459">
        <v>8.07</v>
      </c>
      <c r="AB459">
        <v>160.28</v>
      </c>
      <c r="AC459">
        <v>119.4633540372671</v>
      </c>
      <c r="AD459">
        <v>13.664109121909632</v>
      </c>
      <c r="AE459">
        <v>65.91</v>
      </c>
      <c r="AF459">
        <v>17.350000000000001</v>
      </c>
      <c r="AG459">
        <v>0</v>
      </c>
      <c r="AH459">
        <v>-3.76</v>
      </c>
      <c r="AI459">
        <v>10.24</v>
      </c>
      <c r="AJ459">
        <v>97.77</v>
      </c>
      <c r="AK459">
        <v>72.290000000000006</v>
      </c>
      <c r="AL459" t="s">
        <v>23</v>
      </c>
      <c r="AM459" t="s">
        <v>24</v>
      </c>
      <c r="AN459" t="str">
        <f t="shared" si="28"/>
        <v>Evening</v>
      </c>
      <c r="AO459" t="str">
        <f t="shared" si="29"/>
        <v>Off-Peak</v>
      </c>
      <c r="AP459" t="str">
        <f t="shared" si="30"/>
        <v>Low</v>
      </c>
      <c r="AQ459" t="str">
        <f t="shared" si="31"/>
        <v>Low</v>
      </c>
    </row>
    <row r="460" spans="1:43" x14ac:dyDescent="0.3">
      <c r="A460">
        <v>459</v>
      </c>
      <c r="B460" t="s">
        <v>16</v>
      </c>
      <c r="C460" t="s">
        <v>17</v>
      </c>
      <c r="D460" s="1">
        <v>46209</v>
      </c>
      <c r="E460" t="s">
        <v>38</v>
      </c>
      <c r="F460">
        <v>0</v>
      </c>
      <c r="G460">
        <v>10</v>
      </c>
      <c r="H460" t="s">
        <v>19</v>
      </c>
      <c r="I460" t="s">
        <v>11</v>
      </c>
      <c r="J460">
        <v>1.18</v>
      </c>
      <c r="K460" t="s">
        <v>21</v>
      </c>
      <c r="L460">
        <v>0</v>
      </c>
      <c r="M460">
        <v>2.4700000000000002</v>
      </c>
      <c r="N460">
        <v>51</v>
      </c>
      <c r="O460" t="s">
        <v>35</v>
      </c>
      <c r="P460">
        <v>11</v>
      </c>
      <c r="Q460">
        <v>6.49</v>
      </c>
      <c r="R460">
        <v>45.3</v>
      </c>
      <c r="S460">
        <v>135.18</v>
      </c>
      <c r="T460">
        <v>47.74</v>
      </c>
      <c r="U460">
        <v>1.05</v>
      </c>
      <c r="V460">
        <v>6.76</v>
      </c>
      <c r="W460">
        <v>189.68</v>
      </c>
      <c r="X460">
        <v>39.799999999999997</v>
      </c>
      <c r="Y460">
        <v>107.27</v>
      </c>
      <c r="Z460">
        <v>17.5</v>
      </c>
      <c r="AA460">
        <v>11.27</v>
      </c>
      <c r="AB460">
        <v>160.91</v>
      </c>
      <c r="AC460">
        <v>213.12582781456953</v>
      </c>
      <c r="AD460">
        <v>24.79352850539291</v>
      </c>
      <c r="AE460">
        <v>72.11</v>
      </c>
      <c r="AF460">
        <v>12.17</v>
      </c>
      <c r="AG460">
        <v>0</v>
      </c>
      <c r="AH460">
        <v>10.57</v>
      </c>
      <c r="AI460">
        <v>61.57</v>
      </c>
      <c r="AJ460">
        <v>200.53</v>
      </c>
      <c r="AK460">
        <v>67.52</v>
      </c>
      <c r="AL460" t="s">
        <v>23</v>
      </c>
      <c r="AM460" t="s">
        <v>24</v>
      </c>
      <c r="AN460" t="str">
        <f t="shared" si="28"/>
        <v>Morning</v>
      </c>
      <c r="AO460" t="str">
        <f t="shared" si="29"/>
        <v>Peak</v>
      </c>
      <c r="AP460" t="str">
        <f t="shared" si="30"/>
        <v>Medium</v>
      </c>
      <c r="AQ460" t="str">
        <f t="shared" si="31"/>
        <v>Medium</v>
      </c>
    </row>
    <row r="461" spans="1:43" x14ac:dyDescent="0.3">
      <c r="A461">
        <v>460</v>
      </c>
      <c r="B461" t="s">
        <v>7</v>
      </c>
      <c r="C461" t="s">
        <v>8</v>
      </c>
      <c r="D461" s="1">
        <v>46138</v>
      </c>
      <c r="E461" t="s">
        <v>26</v>
      </c>
      <c r="F461">
        <v>1</v>
      </c>
      <c r="G461">
        <v>16</v>
      </c>
      <c r="H461" t="s">
        <v>32</v>
      </c>
      <c r="I461" t="s">
        <v>42</v>
      </c>
      <c r="J461">
        <v>1.08</v>
      </c>
      <c r="K461" t="s">
        <v>12</v>
      </c>
      <c r="L461">
        <v>0</v>
      </c>
      <c r="M461">
        <v>3.24</v>
      </c>
      <c r="N461">
        <v>41</v>
      </c>
      <c r="O461" t="s">
        <v>35</v>
      </c>
      <c r="P461">
        <v>19</v>
      </c>
      <c r="Q461">
        <v>3</v>
      </c>
      <c r="R461">
        <v>38.299999999999997</v>
      </c>
      <c r="S461">
        <v>72.430000000000007</v>
      </c>
      <c r="T461">
        <v>38.979999999999997</v>
      </c>
      <c r="U461">
        <v>1</v>
      </c>
      <c r="V461">
        <v>0</v>
      </c>
      <c r="W461">
        <v>111.41</v>
      </c>
      <c r="X461">
        <v>47.4</v>
      </c>
      <c r="Y461">
        <v>106.76</v>
      </c>
      <c r="Z461">
        <v>6.76</v>
      </c>
      <c r="AA461">
        <v>2.2599999999999998</v>
      </c>
      <c r="AB461">
        <v>102.39</v>
      </c>
      <c r="AC461">
        <v>160.40208877284596</v>
      </c>
      <c r="AD461">
        <v>34.130000000000003</v>
      </c>
      <c r="AE461">
        <v>65.73</v>
      </c>
      <c r="AF461">
        <v>10.06</v>
      </c>
      <c r="AG461">
        <v>1</v>
      </c>
      <c r="AH461">
        <v>10.97</v>
      </c>
      <c r="AI461">
        <v>51.97</v>
      </c>
      <c r="AJ461">
        <v>148.34</v>
      </c>
      <c r="AK461">
        <v>63.54</v>
      </c>
      <c r="AL461" t="s">
        <v>14</v>
      </c>
      <c r="AM461" t="s">
        <v>15</v>
      </c>
      <c r="AN461" t="str">
        <f t="shared" si="28"/>
        <v>Evening</v>
      </c>
      <c r="AO461" t="str">
        <f t="shared" si="29"/>
        <v>Off-Peak</v>
      </c>
      <c r="AP461" t="str">
        <f t="shared" si="30"/>
        <v>Medium</v>
      </c>
      <c r="AQ461" t="str">
        <f t="shared" si="31"/>
        <v>Medium</v>
      </c>
    </row>
    <row r="462" spans="1:43" x14ac:dyDescent="0.3">
      <c r="A462">
        <v>461</v>
      </c>
      <c r="B462" t="s">
        <v>16</v>
      </c>
      <c r="C462" t="s">
        <v>17</v>
      </c>
      <c r="D462" s="1">
        <v>46072</v>
      </c>
      <c r="E462" t="s">
        <v>41</v>
      </c>
      <c r="F462">
        <v>0</v>
      </c>
      <c r="G462">
        <v>9</v>
      </c>
      <c r="H462" t="s">
        <v>27</v>
      </c>
      <c r="I462" t="s">
        <v>37</v>
      </c>
      <c r="J462">
        <v>1.02</v>
      </c>
      <c r="K462" t="s">
        <v>12</v>
      </c>
      <c r="L462">
        <v>0</v>
      </c>
      <c r="M462">
        <v>4.3499999999999996</v>
      </c>
      <c r="N462">
        <v>93</v>
      </c>
      <c r="O462" t="s">
        <v>13</v>
      </c>
      <c r="P462">
        <v>21</v>
      </c>
      <c r="Q462">
        <v>3.08</v>
      </c>
      <c r="R462">
        <v>43.3</v>
      </c>
      <c r="S462">
        <v>93.68</v>
      </c>
      <c r="T462">
        <v>100</v>
      </c>
      <c r="U462">
        <v>1.37</v>
      </c>
      <c r="V462">
        <v>34.659999999999997</v>
      </c>
      <c r="W462">
        <v>228.34</v>
      </c>
      <c r="X462">
        <v>37.200000000000003</v>
      </c>
      <c r="Y462">
        <v>104.63</v>
      </c>
      <c r="Z462">
        <v>8.65</v>
      </c>
      <c r="AA462">
        <v>7.44</v>
      </c>
      <c r="AB462">
        <v>212.25</v>
      </c>
      <c r="AC462">
        <v>294.11085450346422</v>
      </c>
      <c r="AD462">
        <v>68.912337662337663</v>
      </c>
      <c r="AE462">
        <v>76.209999999999994</v>
      </c>
      <c r="AF462">
        <v>14.46</v>
      </c>
      <c r="AG462">
        <v>1</v>
      </c>
      <c r="AH462">
        <v>-6.51</v>
      </c>
      <c r="AI462">
        <v>86.49</v>
      </c>
      <c r="AJ462">
        <v>310.58</v>
      </c>
      <c r="AK462">
        <v>81.34</v>
      </c>
      <c r="AL462" t="s">
        <v>23</v>
      </c>
      <c r="AM462" t="s">
        <v>24</v>
      </c>
      <c r="AN462" t="str">
        <f t="shared" si="28"/>
        <v>Morning</v>
      </c>
      <c r="AO462" t="str">
        <f t="shared" si="29"/>
        <v>Peak</v>
      </c>
      <c r="AP462" t="str">
        <f t="shared" si="30"/>
        <v>High</v>
      </c>
      <c r="AQ462" t="str">
        <f t="shared" si="31"/>
        <v>High</v>
      </c>
    </row>
    <row r="463" spans="1:43" x14ac:dyDescent="0.3">
      <c r="A463">
        <v>462</v>
      </c>
      <c r="B463" t="s">
        <v>7</v>
      </c>
      <c r="C463" t="s">
        <v>8</v>
      </c>
      <c r="D463" s="1">
        <v>46263</v>
      </c>
      <c r="E463" t="s">
        <v>31</v>
      </c>
      <c r="F463">
        <v>1</v>
      </c>
      <c r="G463">
        <v>7</v>
      </c>
      <c r="H463" t="s">
        <v>49</v>
      </c>
      <c r="I463" t="s">
        <v>37</v>
      </c>
      <c r="J463">
        <v>1.02</v>
      </c>
      <c r="K463" t="s">
        <v>12</v>
      </c>
      <c r="L463">
        <v>0</v>
      </c>
      <c r="M463">
        <v>2.8</v>
      </c>
      <c r="N463">
        <v>59</v>
      </c>
      <c r="O463" t="s">
        <v>35</v>
      </c>
      <c r="P463">
        <v>28</v>
      </c>
      <c r="Q463">
        <v>8.7100000000000009</v>
      </c>
      <c r="R463">
        <v>57.4</v>
      </c>
      <c r="S463">
        <v>125.31</v>
      </c>
      <c r="T463">
        <v>52.05</v>
      </c>
      <c r="U463">
        <v>1</v>
      </c>
      <c r="V463">
        <v>0</v>
      </c>
      <c r="W463">
        <v>177.36</v>
      </c>
      <c r="X463">
        <v>46.5</v>
      </c>
      <c r="Y463">
        <v>105.12</v>
      </c>
      <c r="Z463">
        <v>19.670000000000002</v>
      </c>
      <c r="AA463">
        <v>4.5199999999999996</v>
      </c>
      <c r="AB463">
        <v>153.16999999999999</v>
      </c>
      <c r="AC463">
        <v>160.10801393728221</v>
      </c>
      <c r="AD463">
        <v>17.585533869115956</v>
      </c>
      <c r="AE463">
        <v>67.73</v>
      </c>
      <c r="AF463">
        <v>17.66</v>
      </c>
      <c r="AG463">
        <v>1</v>
      </c>
      <c r="AH463">
        <v>-21.25</v>
      </c>
      <c r="AI463">
        <v>37.75</v>
      </c>
      <c r="AJ463">
        <v>174.22</v>
      </c>
      <c r="AK463">
        <v>73.22</v>
      </c>
      <c r="AL463" t="s">
        <v>14</v>
      </c>
      <c r="AM463" t="s">
        <v>15</v>
      </c>
      <c r="AN463" t="str">
        <f t="shared" si="28"/>
        <v>Morning</v>
      </c>
      <c r="AO463" t="str">
        <f t="shared" si="29"/>
        <v>Peak</v>
      </c>
      <c r="AP463" t="str">
        <f t="shared" si="30"/>
        <v>Medium</v>
      </c>
      <c r="AQ463" t="str">
        <f t="shared" si="31"/>
        <v>Medium</v>
      </c>
    </row>
    <row r="464" spans="1:43" x14ac:dyDescent="0.3">
      <c r="A464">
        <v>463</v>
      </c>
      <c r="B464" t="s">
        <v>16</v>
      </c>
      <c r="C464" t="s">
        <v>17</v>
      </c>
      <c r="D464" s="1">
        <v>46238</v>
      </c>
      <c r="E464" t="s">
        <v>44</v>
      </c>
      <c r="F464">
        <v>0</v>
      </c>
      <c r="G464">
        <v>17</v>
      </c>
      <c r="H464" t="s">
        <v>40</v>
      </c>
      <c r="I464" t="s">
        <v>46</v>
      </c>
      <c r="J464">
        <v>1.1499999999999999</v>
      </c>
      <c r="K464" t="s">
        <v>12</v>
      </c>
      <c r="L464">
        <v>0</v>
      </c>
      <c r="M464">
        <v>4.7</v>
      </c>
      <c r="N464">
        <v>49</v>
      </c>
      <c r="O464" t="s">
        <v>35</v>
      </c>
      <c r="P464">
        <v>6</v>
      </c>
      <c r="Q464">
        <v>3.07</v>
      </c>
      <c r="R464">
        <v>38.799999999999997</v>
      </c>
      <c r="S464">
        <v>91.78</v>
      </c>
      <c r="T464">
        <v>51.81</v>
      </c>
      <c r="U464">
        <v>1.31</v>
      </c>
      <c r="V464">
        <v>28.45</v>
      </c>
      <c r="W464">
        <v>172.04</v>
      </c>
      <c r="X464">
        <v>37.799999999999997</v>
      </c>
      <c r="Y464">
        <v>100.43</v>
      </c>
      <c r="Z464">
        <v>8.16</v>
      </c>
      <c r="AA464">
        <v>7.62</v>
      </c>
      <c r="AB464">
        <v>156.26</v>
      </c>
      <c r="AC464">
        <v>241.63917525773198</v>
      </c>
      <c r="AD464">
        <v>50.899022801302934</v>
      </c>
      <c r="AE464">
        <v>81.98</v>
      </c>
      <c r="AF464">
        <v>15.67</v>
      </c>
      <c r="AG464">
        <v>1</v>
      </c>
      <c r="AH464">
        <v>34.71</v>
      </c>
      <c r="AI464">
        <v>83.71</v>
      </c>
      <c r="AJ464">
        <v>260.48</v>
      </c>
      <c r="AK464">
        <v>60</v>
      </c>
      <c r="AL464" t="s">
        <v>23</v>
      </c>
      <c r="AM464" t="s">
        <v>24</v>
      </c>
      <c r="AN464" t="str">
        <f t="shared" si="28"/>
        <v>Evening</v>
      </c>
      <c r="AO464" t="str">
        <f t="shared" si="29"/>
        <v>Peak</v>
      </c>
      <c r="AP464" t="str">
        <f t="shared" si="30"/>
        <v>Medium</v>
      </c>
      <c r="AQ464" t="str">
        <f t="shared" si="31"/>
        <v>Medium</v>
      </c>
    </row>
    <row r="465" spans="1:43" x14ac:dyDescent="0.3">
      <c r="A465">
        <v>464</v>
      </c>
      <c r="B465" t="s">
        <v>48</v>
      </c>
      <c r="C465" t="s">
        <v>30</v>
      </c>
      <c r="D465" s="1">
        <v>46180</v>
      </c>
      <c r="E465" t="s">
        <v>26</v>
      </c>
      <c r="F465">
        <v>1</v>
      </c>
      <c r="G465">
        <v>15</v>
      </c>
      <c r="H465" t="s">
        <v>43</v>
      </c>
      <c r="I465" t="s">
        <v>39</v>
      </c>
      <c r="J465">
        <v>1.05</v>
      </c>
      <c r="K465" t="s">
        <v>12</v>
      </c>
      <c r="L465">
        <v>0</v>
      </c>
      <c r="M465">
        <v>3.62</v>
      </c>
      <c r="N465">
        <v>35</v>
      </c>
      <c r="O465" t="s">
        <v>22</v>
      </c>
      <c r="P465">
        <v>6</v>
      </c>
      <c r="Q465">
        <v>3.84</v>
      </c>
      <c r="R465">
        <v>45.4</v>
      </c>
      <c r="S465">
        <v>87.97</v>
      </c>
      <c r="T465">
        <v>49.84</v>
      </c>
      <c r="U465">
        <v>1</v>
      </c>
      <c r="V465">
        <v>0</v>
      </c>
      <c r="W465">
        <v>137.81</v>
      </c>
      <c r="X465">
        <v>42.9</v>
      </c>
      <c r="Y465">
        <v>105.01</v>
      </c>
      <c r="Z465">
        <v>9.3800000000000008</v>
      </c>
      <c r="AA465">
        <v>9.5</v>
      </c>
      <c r="AB465">
        <v>118.93</v>
      </c>
      <c r="AC465">
        <v>157.17621145374451</v>
      </c>
      <c r="AD465">
        <v>30.971354166666668</v>
      </c>
      <c r="AE465">
        <v>78.63</v>
      </c>
      <c r="AF465">
        <v>15.79</v>
      </c>
      <c r="AG465">
        <v>1</v>
      </c>
      <c r="AH465">
        <v>17.34</v>
      </c>
      <c r="AI465">
        <v>52.34</v>
      </c>
      <c r="AJ465">
        <v>174.89</v>
      </c>
      <c r="AK465">
        <v>67.930000000000007</v>
      </c>
      <c r="AL465" t="s">
        <v>14</v>
      </c>
      <c r="AM465" t="s">
        <v>15</v>
      </c>
      <c r="AN465" t="str">
        <f t="shared" si="28"/>
        <v>Evening</v>
      </c>
      <c r="AO465" t="str">
        <f t="shared" si="29"/>
        <v>Off-Peak</v>
      </c>
      <c r="AP465" t="str">
        <f t="shared" si="30"/>
        <v>Medium</v>
      </c>
      <c r="AQ465" t="str">
        <f t="shared" si="31"/>
        <v>Low</v>
      </c>
    </row>
    <row r="466" spans="1:43" x14ac:dyDescent="0.3">
      <c r="A466">
        <v>465</v>
      </c>
      <c r="B466" t="s">
        <v>7</v>
      </c>
      <c r="C466" t="s">
        <v>8</v>
      </c>
      <c r="D466" s="1">
        <v>46045</v>
      </c>
      <c r="E466" t="s">
        <v>9</v>
      </c>
      <c r="F466">
        <v>0</v>
      </c>
      <c r="G466">
        <v>19</v>
      </c>
      <c r="H466" t="s">
        <v>51</v>
      </c>
      <c r="I466" t="s">
        <v>39</v>
      </c>
      <c r="J466">
        <v>1.05</v>
      </c>
      <c r="K466" t="s">
        <v>12</v>
      </c>
      <c r="L466">
        <v>0</v>
      </c>
      <c r="M466">
        <v>4.3600000000000003</v>
      </c>
      <c r="N466">
        <v>60</v>
      </c>
      <c r="O466" t="s">
        <v>35</v>
      </c>
      <c r="P466">
        <v>21</v>
      </c>
      <c r="Q466">
        <v>2.78</v>
      </c>
      <c r="R466">
        <v>46.3</v>
      </c>
      <c r="S466">
        <v>76.02</v>
      </c>
      <c r="T466">
        <v>64.709999999999994</v>
      </c>
      <c r="U466">
        <v>1</v>
      </c>
      <c r="V466">
        <v>0</v>
      </c>
      <c r="W466">
        <v>140.72999999999999</v>
      </c>
      <c r="X466">
        <v>39.799999999999997</v>
      </c>
      <c r="Y466">
        <v>103.4</v>
      </c>
      <c r="Z466">
        <v>7.23</v>
      </c>
      <c r="AA466">
        <v>9.35</v>
      </c>
      <c r="AB466">
        <v>124.15</v>
      </c>
      <c r="AC466">
        <v>160.88552915766741</v>
      </c>
      <c r="AD466">
        <v>44.658273381294968</v>
      </c>
      <c r="AE466">
        <v>78</v>
      </c>
      <c r="AF466">
        <v>15.33</v>
      </c>
      <c r="AG466">
        <v>1</v>
      </c>
      <c r="AH466">
        <v>5.35</v>
      </c>
      <c r="AI466">
        <v>65.349999999999994</v>
      </c>
      <c r="AJ466">
        <v>169.97</v>
      </c>
      <c r="AK466">
        <v>73.2</v>
      </c>
      <c r="AL466" t="s">
        <v>14</v>
      </c>
      <c r="AM466" t="s">
        <v>15</v>
      </c>
      <c r="AN466" t="str">
        <f t="shared" si="28"/>
        <v>Night</v>
      </c>
      <c r="AO466" t="str">
        <f t="shared" si="29"/>
        <v>Peak</v>
      </c>
      <c r="AP466" t="str">
        <f t="shared" si="30"/>
        <v>Medium</v>
      </c>
      <c r="AQ466" t="str">
        <f t="shared" si="31"/>
        <v>Medium</v>
      </c>
    </row>
    <row r="467" spans="1:43" x14ac:dyDescent="0.3">
      <c r="A467">
        <v>466</v>
      </c>
      <c r="B467" t="s">
        <v>23</v>
      </c>
      <c r="C467" t="s">
        <v>17</v>
      </c>
      <c r="D467" s="1">
        <v>46032</v>
      </c>
      <c r="E467" t="s">
        <v>31</v>
      </c>
      <c r="F467">
        <v>1</v>
      </c>
      <c r="G467">
        <v>12</v>
      </c>
      <c r="H467" t="s">
        <v>19</v>
      </c>
      <c r="I467" t="s">
        <v>50</v>
      </c>
      <c r="J467">
        <v>1.2</v>
      </c>
      <c r="K467" t="s">
        <v>12</v>
      </c>
      <c r="L467">
        <v>0</v>
      </c>
      <c r="M467">
        <v>2.8</v>
      </c>
      <c r="N467">
        <v>45</v>
      </c>
      <c r="O467" t="s">
        <v>35</v>
      </c>
      <c r="P467">
        <v>9</v>
      </c>
      <c r="Q467">
        <v>1.62</v>
      </c>
      <c r="R467">
        <v>22.7</v>
      </c>
      <c r="S467">
        <v>65.47</v>
      </c>
      <c r="T467">
        <v>44.22</v>
      </c>
      <c r="U467">
        <v>1.1200000000000001</v>
      </c>
      <c r="V467">
        <v>7.86</v>
      </c>
      <c r="W467">
        <v>117.55</v>
      </c>
      <c r="X467">
        <v>44.6</v>
      </c>
      <c r="Y467">
        <v>102.85</v>
      </c>
      <c r="Z467">
        <v>3.75</v>
      </c>
      <c r="AA467">
        <v>9.25</v>
      </c>
      <c r="AB467">
        <v>104.55</v>
      </c>
      <c r="AC467">
        <v>276.34361233480178</v>
      </c>
      <c r="AD467">
        <v>64.537037037037038</v>
      </c>
      <c r="AE467">
        <v>73.180000000000007</v>
      </c>
      <c r="AF467">
        <v>15.37</v>
      </c>
      <c r="AG467">
        <v>1</v>
      </c>
      <c r="AH467">
        <v>5.64</v>
      </c>
      <c r="AI467">
        <v>50.64</v>
      </c>
      <c r="AJ467">
        <v>261.13</v>
      </c>
      <c r="AK467">
        <v>75.38</v>
      </c>
      <c r="AL467" t="s">
        <v>14</v>
      </c>
      <c r="AM467" t="s">
        <v>15</v>
      </c>
      <c r="AN467" t="str">
        <f t="shared" si="28"/>
        <v>Afternoon</v>
      </c>
      <c r="AO467" t="str">
        <f t="shared" si="29"/>
        <v>Off-Peak</v>
      </c>
      <c r="AP467" t="str">
        <f t="shared" si="30"/>
        <v>High</v>
      </c>
      <c r="AQ467" t="str">
        <f t="shared" si="31"/>
        <v>Medium</v>
      </c>
    </row>
    <row r="468" spans="1:43" x14ac:dyDescent="0.3">
      <c r="A468">
        <v>467</v>
      </c>
      <c r="B468" t="s">
        <v>14</v>
      </c>
      <c r="C468" t="s">
        <v>8</v>
      </c>
      <c r="D468" s="1">
        <v>46104</v>
      </c>
      <c r="E468" t="s">
        <v>38</v>
      </c>
      <c r="F468">
        <v>0</v>
      </c>
      <c r="G468">
        <v>20</v>
      </c>
      <c r="H468" t="s">
        <v>51</v>
      </c>
      <c r="I468" t="s">
        <v>33</v>
      </c>
      <c r="J468">
        <v>1</v>
      </c>
      <c r="K468" t="s">
        <v>12</v>
      </c>
      <c r="L468">
        <v>0</v>
      </c>
      <c r="M468">
        <v>3.81</v>
      </c>
      <c r="N468">
        <v>66</v>
      </c>
      <c r="O468" t="s">
        <v>35</v>
      </c>
      <c r="P468">
        <v>31</v>
      </c>
      <c r="Q468">
        <v>14.8</v>
      </c>
      <c r="R468">
        <v>88.5</v>
      </c>
      <c r="S468">
        <v>163.18</v>
      </c>
      <c r="T468">
        <v>85.47</v>
      </c>
      <c r="U468">
        <v>1</v>
      </c>
      <c r="V468">
        <v>0</v>
      </c>
      <c r="W468">
        <v>248.65</v>
      </c>
      <c r="X468">
        <v>38.200000000000003</v>
      </c>
      <c r="Y468">
        <v>102.7</v>
      </c>
      <c r="Z468">
        <v>39.799999999999997</v>
      </c>
      <c r="AA468">
        <v>9.7899999999999991</v>
      </c>
      <c r="AB468">
        <v>199.06</v>
      </c>
      <c r="AC468">
        <v>134.95593220338984</v>
      </c>
      <c r="AD468">
        <v>13.45</v>
      </c>
      <c r="AE468">
        <v>60.98</v>
      </c>
      <c r="AF468">
        <v>17.98</v>
      </c>
      <c r="AG468">
        <v>1</v>
      </c>
      <c r="AH468">
        <v>12.32</v>
      </c>
      <c r="AI468">
        <v>78.319999999999993</v>
      </c>
      <c r="AJ468">
        <v>142.13</v>
      </c>
      <c r="AK468">
        <v>77.349999999999994</v>
      </c>
      <c r="AL468" t="s">
        <v>14</v>
      </c>
      <c r="AM468" t="s">
        <v>15</v>
      </c>
      <c r="AN468" t="str">
        <f t="shared" si="28"/>
        <v>Night</v>
      </c>
      <c r="AO468" t="str">
        <f t="shared" si="29"/>
        <v>Peak</v>
      </c>
      <c r="AP468" t="str">
        <f t="shared" si="30"/>
        <v>Low</v>
      </c>
      <c r="AQ468" t="str">
        <f t="shared" si="31"/>
        <v>Medium</v>
      </c>
    </row>
    <row r="469" spans="1:43" x14ac:dyDescent="0.3">
      <c r="A469">
        <v>468</v>
      </c>
      <c r="B469" t="s">
        <v>25</v>
      </c>
      <c r="C469" t="s">
        <v>17</v>
      </c>
      <c r="D469" s="1">
        <v>46063</v>
      </c>
      <c r="E469" t="s">
        <v>44</v>
      </c>
      <c r="F469">
        <v>0</v>
      </c>
      <c r="G469">
        <v>13</v>
      </c>
      <c r="H469" t="s">
        <v>19</v>
      </c>
      <c r="I469" t="s">
        <v>37</v>
      </c>
      <c r="J469">
        <v>1.02</v>
      </c>
      <c r="K469" t="s">
        <v>12</v>
      </c>
      <c r="L469">
        <v>0</v>
      </c>
      <c r="M469">
        <v>1.91</v>
      </c>
      <c r="N469">
        <v>58</v>
      </c>
      <c r="O469" t="s">
        <v>35</v>
      </c>
      <c r="P469">
        <v>10</v>
      </c>
      <c r="Q469">
        <v>3.85</v>
      </c>
      <c r="R469">
        <v>34.700000000000003</v>
      </c>
      <c r="S469">
        <v>107.78</v>
      </c>
      <c r="T469">
        <v>66.680000000000007</v>
      </c>
      <c r="U469">
        <v>1.05</v>
      </c>
      <c r="V469">
        <v>5.39</v>
      </c>
      <c r="W469">
        <v>179.85</v>
      </c>
      <c r="X469">
        <v>46.9</v>
      </c>
      <c r="Y469">
        <v>106.49</v>
      </c>
      <c r="Z469">
        <v>8.75</v>
      </c>
      <c r="AA469">
        <v>2.73</v>
      </c>
      <c r="AB469">
        <v>168.37</v>
      </c>
      <c r="AC469">
        <v>291.12968299711815</v>
      </c>
      <c r="AD469">
        <v>43.732467532467531</v>
      </c>
      <c r="AE469">
        <v>72.97</v>
      </c>
      <c r="AF469">
        <v>9.75</v>
      </c>
      <c r="AG469">
        <v>0</v>
      </c>
      <c r="AH469">
        <v>14.12</v>
      </c>
      <c r="AI469">
        <v>72.12</v>
      </c>
      <c r="AJ469">
        <v>280.05</v>
      </c>
      <c r="AK469">
        <v>70</v>
      </c>
      <c r="AL469" t="s">
        <v>14</v>
      </c>
      <c r="AM469" t="s">
        <v>15</v>
      </c>
      <c r="AN469" t="str">
        <f t="shared" si="28"/>
        <v>Afternoon</v>
      </c>
      <c r="AO469" t="str">
        <f t="shared" si="29"/>
        <v>Off-Peak</v>
      </c>
      <c r="AP469" t="str">
        <f t="shared" si="30"/>
        <v>High</v>
      </c>
      <c r="AQ469" t="str">
        <f t="shared" si="31"/>
        <v>Medium</v>
      </c>
    </row>
    <row r="470" spans="1:43" x14ac:dyDescent="0.3">
      <c r="A470">
        <v>469</v>
      </c>
      <c r="B470" t="s">
        <v>14</v>
      </c>
      <c r="C470" t="s">
        <v>8</v>
      </c>
      <c r="D470" s="1">
        <v>46244</v>
      </c>
      <c r="E470" t="s">
        <v>38</v>
      </c>
      <c r="F470">
        <v>0</v>
      </c>
      <c r="G470">
        <v>18</v>
      </c>
      <c r="H470" t="s">
        <v>51</v>
      </c>
      <c r="I470" t="s">
        <v>39</v>
      </c>
      <c r="J470">
        <v>1.05</v>
      </c>
      <c r="K470" t="s">
        <v>34</v>
      </c>
      <c r="L470">
        <v>1</v>
      </c>
      <c r="M470">
        <v>3.96</v>
      </c>
      <c r="N470">
        <v>73</v>
      </c>
      <c r="O470" t="s">
        <v>13</v>
      </c>
      <c r="P470">
        <v>24</v>
      </c>
      <c r="Q470">
        <v>10.39</v>
      </c>
      <c r="R470">
        <v>73</v>
      </c>
      <c r="S470">
        <v>137.52000000000001</v>
      </c>
      <c r="T470">
        <v>89.92</v>
      </c>
      <c r="U470">
        <v>1</v>
      </c>
      <c r="V470">
        <v>0</v>
      </c>
      <c r="W470">
        <v>227.44</v>
      </c>
      <c r="X470">
        <v>43.6</v>
      </c>
      <c r="Y470">
        <v>104.29</v>
      </c>
      <c r="Z470">
        <v>24.85</v>
      </c>
      <c r="AA470">
        <v>7.1</v>
      </c>
      <c r="AB470">
        <v>195.49</v>
      </c>
      <c r="AC470">
        <v>160.67671232876714</v>
      </c>
      <c r="AD470">
        <v>18.815206929740135</v>
      </c>
      <c r="AE470">
        <v>71.75</v>
      </c>
      <c r="AF470">
        <v>12.68</v>
      </c>
      <c r="AG470">
        <v>1</v>
      </c>
      <c r="AH470">
        <v>-28.3</v>
      </c>
      <c r="AI470">
        <v>44.7</v>
      </c>
      <c r="AJ470">
        <v>183.54</v>
      </c>
      <c r="AK470">
        <v>63.52</v>
      </c>
      <c r="AL470" t="s">
        <v>14</v>
      </c>
      <c r="AM470" t="s">
        <v>15</v>
      </c>
      <c r="AN470" t="str">
        <f t="shared" si="28"/>
        <v>Night</v>
      </c>
      <c r="AO470" t="str">
        <f t="shared" si="29"/>
        <v>Peak</v>
      </c>
      <c r="AP470" t="str">
        <f t="shared" si="30"/>
        <v>Medium</v>
      </c>
      <c r="AQ470" t="str">
        <f t="shared" si="31"/>
        <v>High</v>
      </c>
    </row>
    <row r="471" spans="1:43" x14ac:dyDescent="0.3">
      <c r="A471">
        <v>470</v>
      </c>
      <c r="B471" t="s">
        <v>23</v>
      </c>
      <c r="C471" t="s">
        <v>17</v>
      </c>
      <c r="D471" s="1">
        <v>46076</v>
      </c>
      <c r="E471" t="s">
        <v>38</v>
      </c>
      <c r="F471">
        <v>0</v>
      </c>
      <c r="G471">
        <v>8</v>
      </c>
      <c r="H471" t="s">
        <v>27</v>
      </c>
      <c r="I471" t="s">
        <v>33</v>
      </c>
      <c r="J471">
        <v>1</v>
      </c>
      <c r="K471" t="s">
        <v>12</v>
      </c>
      <c r="L471">
        <v>0</v>
      </c>
      <c r="M471">
        <v>3.6</v>
      </c>
      <c r="N471">
        <v>70</v>
      </c>
      <c r="O471" t="s">
        <v>35</v>
      </c>
      <c r="P471">
        <v>16</v>
      </c>
      <c r="Q471">
        <v>3.1</v>
      </c>
      <c r="R471">
        <v>33.799999999999997</v>
      </c>
      <c r="S471">
        <v>102.06</v>
      </c>
      <c r="T471">
        <v>88.49</v>
      </c>
      <c r="U471">
        <v>1.32</v>
      </c>
      <c r="V471">
        <v>32.659999999999997</v>
      </c>
      <c r="W471">
        <v>223.21</v>
      </c>
      <c r="X471">
        <v>49.4</v>
      </c>
      <c r="Y471">
        <v>104.26</v>
      </c>
      <c r="Z471">
        <v>6.55</v>
      </c>
      <c r="AA471">
        <v>4.62</v>
      </c>
      <c r="AB471">
        <v>212.04</v>
      </c>
      <c r="AC471">
        <v>376.4023668639054</v>
      </c>
      <c r="AD471">
        <v>68.399999999999991</v>
      </c>
      <c r="AE471">
        <v>79.58</v>
      </c>
      <c r="AF471">
        <v>17.93</v>
      </c>
      <c r="AG471">
        <v>1</v>
      </c>
      <c r="AH471">
        <v>-2.2599999999999998</v>
      </c>
      <c r="AI471">
        <v>67.739999999999995</v>
      </c>
      <c r="AJ471">
        <v>379.55</v>
      </c>
      <c r="AK471">
        <v>71.77</v>
      </c>
      <c r="AL471" t="s">
        <v>23</v>
      </c>
      <c r="AM471" t="s">
        <v>24</v>
      </c>
      <c r="AN471" t="str">
        <f t="shared" si="28"/>
        <v>Morning</v>
      </c>
      <c r="AO471" t="str">
        <f t="shared" si="29"/>
        <v>Peak</v>
      </c>
      <c r="AP471" t="str">
        <f t="shared" si="30"/>
        <v>High</v>
      </c>
      <c r="AQ471" t="str">
        <f t="shared" si="31"/>
        <v>Medium</v>
      </c>
    </row>
    <row r="472" spans="1:43" x14ac:dyDescent="0.3">
      <c r="A472">
        <v>471</v>
      </c>
      <c r="B472" t="s">
        <v>16</v>
      </c>
      <c r="C472" t="s">
        <v>17</v>
      </c>
      <c r="D472" s="1">
        <v>46095</v>
      </c>
      <c r="E472" t="s">
        <v>31</v>
      </c>
      <c r="F472">
        <v>1</v>
      </c>
      <c r="G472">
        <v>8</v>
      </c>
      <c r="H472" t="s">
        <v>27</v>
      </c>
      <c r="I472" t="s">
        <v>33</v>
      </c>
      <c r="J472">
        <v>1</v>
      </c>
      <c r="K472" t="s">
        <v>21</v>
      </c>
      <c r="L472">
        <v>0</v>
      </c>
      <c r="M472">
        <v>3.2</v>
      </c>
      <c r="N472">
        <v>94</v>
      </c>
      <c r="O472" t="s">
        <v>13</v>
      </c>
      <c r="P472">
        <v>15</v>
      </c>
      <c r="Q472">
        <v>2.41</v>
      </c>
      <c r="R472">
        <v>41.1</v>
      </c>
      <c r="S472">
        <v>87.03</v>
      </c>
      <c r="T472">
        <v>100</v>
      </c>
      <c r="U472">
        <v>1.25</v>
      </c>
      <c r="V472">
        <v>21.76</v>
      </c>
      <c r="W472">
        <v>208.79</v>
      </c>
      <c r="X472">
        <v>45.7</v>
      </c>
      <c r="Y472">
        <v>101.59</v>
      </c>
      <c r="Z472">
        <v>5.37</v>
      </c>
      <c r="AA472">
        <v>11.21</v>
      </c>
      <c r="AB472">
        <v>192.21</v>
      </c>
      <c r="AC472">
        <v>280.5985401459854</v>
      </c>
      <c r="AD472">
        <v>79.755186721991706</v>
      </c>
      <c r="AE472">
        <v>84.48</v>
      </c>
      <c r="AF472">
        <v>14.98</v>
      </c>
      <c r="AG472">
        <v>1</v>
      </c>
      <c r="AH472">
        <v>-3.82</v>
      </c>
      <c r="AI472">
        <v>90.18</v>
      </c>
      <c r="AJ472">
        <v>287.25</v>
      </c>
      <c r="AK472">
        <v>84.27</v>
      </c>
      <c r="AL472" t="s">
        <v>23</v>
      </c>
      <c r="AM472" t="s">
        <v>24</v>
      </c>
      <c r="AN472" t="str">
        <f t="shared" si="28"/>
        <v>Morning</v>
      </c>
      <c r="AO472" t="str">
        <f t="shared" si="29"/>
        <v>Peak</v>
      </c>
      <c r="AP472" t="str">
        <f t="shared" si="30"/>
        <v>High</v>
      </c>
      <c r="AQ472" t="str">
        <f t="shared" si="31"/>
        <v>High</v>
      </c>
    </row>
    <row r="473" spans="1:43" x14ac:dyDescent="0.3">
      <c r="A473">
        <v>472</v>
      </c>
      <c r="B473" t="s">
        <v>16</v>
      </c>
      <c r="C473" t="s">
        <v>17</v>
      </c>
      <c r="D473" s="1">
        <v>46274</v>
      </c>
      <c r="E473" t="s">
        <v>18</v>
      </c>
      <c r="F473">
        <v>0</v>
      </c>
      <c r="G473">
        <v>19</v>
      </c>
      <c r="H473" t="s">
        <v>40</v>
      </c>
      <c r="I473" t="s">
        <v>39</v>
      </c>
      <c r="J473">
        <v>1.05</v>
      </c>
      <c r="K473" t="s">
        <v>12</v>
      </c>
      <c r="L473">
        <v>0</v>
      </c>
      <c r="M473">
        <v>4.45</v>
      </c>
      <c r="N473">
        <v>68</v>
      </c>
      <c r="O473" t="s">
        <v>35</v>
      </c>
      <c r="P473">
        <v>16</v>
      </c>
      <c r="Q473">
        <v>6.12</v>
      </c>
      <c r="R473">
        <v>55.5</v>
      </c>
      <c r="S473">
        <v>127.09</v>
      </c>
      <c r="T473">
        <v>76.150000000000006</v>
      </c>
      <c r="U473">
        <v>1.24</v>
      </c>
      <c r="V473">
        <v>30.5</v>
      </c>
      <c r="W473">
        <v>233.74</v>
      </c>
      <c r="X473">
        <v>44.1</v>
      </c>
      <c r="Y473">
        <v>109.62</v>
      </c>
      <c r="Z473">
        <v>15.2</v>
      </c>
      <c r="AA473">
        <v>9.83</v>
      </c>
      <c r="AB473">
        <v>208.71</v>
      </c>
      <c r="AC473">
        <v>225.63243243243244</v>
      </c>
      <c r="AD473">
        <v>34.102941176470587</v>
      </c>
      <c r="AE473">
        <v>80.040000000000006</v>
      </c>
      <c r="AF473">
        <v>15.78</v>
      </c>
      <c r="AG473">
        <v>1</v>
      </c>
      <c r="AH473">
        <v>0.57999999999999996</v>
      </c>
      <c r="AI473">
        <v>68.58</v>
      </c>
      <c r="AJ473">
        <v>244.23</v>
      </c>
      <c r="AK473">
        <v>73.42</v>
      </c>
      <c r="AL473" t="s">
        <v>23</v>
      </c>
      <c r="AM473" t="s">
        <v>24</v>
      </c>
      <c r="AN473" t="str">
        <f t="shared" si="28"/>
        <v>Night</v>
      </c>
      <c r="AO473" t="str">
        <f t="shared" si="29"/>
        <v>Peak</v>
      </c>
      <c r="AP473" t="str">
        <f t="shared" si="30"/>
        <v>Medium</v>
      </c>
      <c r="AQ473" t="str">
        <f t="shared" si="31"/>
        <v>Medium</v>
      </c>
    </row>
    <row r="474" spans="1:43" x14ac:dyDescent="0.3">
      <c r="A474">
        <v>473</v>
      </c>
      <c r="B474" t="s">
        <v>29</v>
      </c>
      <c r="C474" t="s">
        <v>30</v>
      </c>
      <c r="D474" s="1">
        <v>46234</v>
      </c>
      <c r="E474" t="s">
        <v>9</v>
      </c>
      <c r="F474">
        <v>0</v>
      </c>
      <c r="G474">
        <v>20</v>
      </c>
      <c r="H474" t="s">
        <v>32</v>
      </c>
      <c r="I474" t="s">
        <v>42</v>
      </c>
      <c r="J474">
        <v>1.08</v>
      </c>
      <c r="K474" t="s">
        <v>12</v>
      </c>
      <c r="L474">
        <v>0</v>
      </c>
      <c r="M474">
        <v>5</v>
      </c>
      <c r="N474">
        <v>70</v>
      </c>
      <c r="O474" t="s">
        <v>35</v>
      </c>
      <c r="P474">
        <v>14</v>
      </c>
      <c r="Q474">
        <v>8.01</v>
      </c>
      <c r="R474">
        <v>66.7</v>
      </c>
      <c r="S474">
        <v>109.98</v>
      </c>
      <c r="T474">
        <v>73.52</v>
      </c>
      <c r="U474">
        <v>1</v>
      </c>
      <c r="V474">
        <v>0</v>
      </c>
      <c r="W474">
        <v>183.5</v>
      </c>
      <c r="X474">
        <v>47.4</v>
      </c>
      <c r="Y474">
        <v>102.24</v>
      </c>
      <c r="Z474">
        <v>17.27</v>
      </c>
      <c r="AA474">
        <v>3.08</v>
      </c>
      <c r="AB474">
        <v>163.15</v>
      </c>
      <c r="AC474">
        <v>146.76161919040479</v>
      </c>
      <c r="AD474">
        <v>20.368289637952561</v>
      </c>
      <c r="AE474">
        <v>87.7</v>
      </c>
      <c r="AF474">
        <v>20</v>
      </c>
      <c r="AG474">
        <v>1</v>
      </c>
      <c r="AH474">
        <v>14.56</v>
      </c>
      <c r="AI474">
        <v>84.56</v>
      </c>
      <c r="AJ474">
        <v>143.63</v>
      </c>
      <c r="AK474">
        <v>74.16</v>
      </c>
      <c r="AL474" t="s">
        <v>14</v>
      </c>
      <c r="AM474" t="s">
        <v>15</v>
      </c>
      <c r="AN474" t="str">
        <f t="shared" si="28"/>
        <v>Night</v>
      </c>
      <c r="AO474" t="str">
        <f t="shared" si="29"/>
        <v>Peak</v>
      </c>
      <c r="AP474" t="str">
        <f t="shared" si="30"/>
        <v>Low</v>
      </c>
      <c r="AQ474" t="str">
        <f t="shared" si="31"/>
        <v>Medium</v>
      </c>
    </row>
    <row r="475" spans="1:43" x14ac:dyDescent="0.3">
      <c r="A475">
        <v>474</v>
      </c>
      <c r="B475" t="s">
        <v>29</v>
      </c>
      <c r="C475" t="s">
        <v>30</v>
      </c>
      <c r="D475" s="1">
        <v>46079</v>
      </c>
      <c r="E475" t="s">
        <v>41</v>
      </c>
      <c r="F475">
        <v>0</v>
      </c>
      <c r="G475">
        <v>22</v>
      </c>
      <c r="H475" t="s">
        <v>36</v>
      </c>
      <c r="I475" t="s">
        <v>33</v>
      </c>
      <c r="J475">
        <v>1</v>
      </c>
      <c r="K475" t="s">
        <v>12</v>
      </c>
      <c r="L475">
        <v>0</v>
      </c>
      <c r="M475">
        <v>2.27</v>
      </c>
      <c r="N475">
        <v>9</v>
      </c>
      <c r="O475" t="s">
        <v>22</v>
      </c>
      <c r="P475">
        <v>2</v>
      </c>
      <c r="Q475">
        <v>8.36</v>
      </c>
      <c r="R475">
        <v>63.5</v>
      </c>
      <c r="S475">
        <v>121.15</v>
      </c>
      <c r="T475">
        <v>14.78</v>
      </c>
      <c r="U475">
        <v>1</v>
      </c>
      <c r="V475">
        <v>0</v>
      </c>
      <c r="W475">
        <v>135.93</v>
      </c>
      <c r="X475">
        <v>38.299999999999997</v>
      </c>
      <c r="Y475">
        <v>104.06</v>
      </c>
      <c r="Z475">
        <v>22.7</v>
      </c>
      <c r="AA475">
        <v>4.43</v>
      </c>
      <c r="AB475">
        <v>108.8</v>
      </c>
      <c r="AC475">
        <v>102.80314960629921</v>
      </c>
      <c r="AD475">
        <v>13.014354066985646</v>
      </c>
      <c r="AE475">
        <v>68.17</v>
      </c>
      <c r="AF475">
        <v>12.37</v>
      </c>
      <c r="AG475">
        <v>0</v>
      </c>
      <c r="AH475">
        <v>-23.85</v>
      </c>
      <c r="AI475">
        <v>5</v>
      </c>
      <c r="AJ475">
        <v>117.28</v>
      </c>
      <c r="AK475">
        <v>62.92</v>
      </c>
      <c r="AL475" t="s">
        <v>14</v>
      </c>
      <c r="AM475" t="s">
        <v>15</v>
      </c>
      <c r="AN475" t="str">
        <f t="shared" si="28"/>
        <v>Night</v>
      </c>
      <c r="AO475" t="str">
        <f t="shared" si="29"/>
        <v>Off-Peak</v>
      </c>
      <c r="AP475" t="str">
        <f t="shared" si="30"/>
        <v>Low</v>
      </c>
      <c r="AQ475" t="str">
        <f t="shared" si="31"/>
        <v>Low</v>
      </c>
    </row>
    <row r="476" spans="1:43" x14ac:dyDescent="0.3">
      <c r="A476">
        <v>475</v>
      </c>
      <c r="B476" t="s">
        <v>25</v>
      </c>
      <c r="C476" t="s">
        <v>17</v>
      </c>
      <c r="D476" s="1">
        <v>46121</v>
      </c>
      <c r="E476" t="s">
        <v>41</v>
      </c>
      <c r="F476">
        <v>0</v>
      </c>
      <c r="G476">
        <v>12</v>
      </c>
      <c r="H476" t="s">
        <v>19</v>
      </c>
      <c r="I476" t="s">
        <v>33</v>
      </c>
      <c r="J476">
        <v>1</v>
      </c>
      <c r="K476" t="s">
        <v>12</v>
      </c>
      <c r="L476">
        <v>0</v>
      </c>
      <c r="M476">
        <v>3.23</v>
      </c>
      <c r="N476">
        <v>23</v>
      </c>
      <c r="O476" t="s">
        <v>22</v>
      </c>
      <c r="P476">
        <v>4</v>
      </c>
      <c r="Q476">
        <v>3.5</v>
      </c>
      <c r="R476">
        <v>34.4</v>
      </c>
      <c r="S476">
        <v>101.44</v>
      </c>
      <c r="T476">
        <v>20.420000000000002</v>
      </c>
      <c r="U476">
        <v>1.02</v>
      </c>
      <c r="V476">
        <v>2.0299999999999998</v>
      </c>
      <c r="W476">
        <v>123.89</v>
      </c>
      <c r="X476">
        <v>44.5</v>
      </c>
      <c r="Y476">
        <v>101.9</v>
      </c>
      <c r="Z476">
        <v>8.02</v>
      </c>
      <c r="AA476">
        <v>6.55</v>
      </c>
      <c r="AB476">
        <v>109.32</v>
      </c>
      <c r="AC476">
        <v>190.67441860465115</v>
      </c>
      <c r="AD476">
        <v>31.234285714285711</v>
      </c>
      <c r="AE476">
        <v>68.959999999999994</v>
      </c>
      <c r="AF476">
        <v>17.899999999999999</v>
      </c>
      <c r="AG476">
        <v>0</v>
      </c>
      <c r="AH476">
        <v>-17.239999999999998</v>
      </c>
      <c r="AI476">
        <v>5.76</v>
      </c>
      <c r="AJ476">
        <v>170.35</v>
      </c>
      <c r="AK476">
        <v>62.55</v>
      </c>
      <c r="AL476" t="s">
        <v>14</v>
      </c>
      <c r="AM476" t="s">
        <v>15</v>
      </c>
      <c r="AN476" t="str">
        <f t="shared" si="28"/>
        <v>Afternoon</v>
      </c>
      <c r="AO476" t="str">
        <f t="shared" si="29"/>
        <v>Off-Peak</v>
      </c>
      <c r="AP476" t="str">
        <f t="shared" si="30"/>
        <v>Medium</v>
      </c>
      <c r="AQ476" t="str">
        <f t="shared" si="31"/>
        <v>Low</v>
      </c>
    </row>
    <row r="477" spans="1:43" x14ac:dyDescent="0.3">
      <c r="A477">
        <v>476</v>
      </c>
      <c r="B477" t="s">
        <v>16</v>
      </c>
      <c r="C477" t="s">
        <v>17</v>
      </c>
      <c r="D477" s="1">
        <v>46156</v>
      </c>
      <c r="E477" t="s">
        <v>41</v>
      </c>
      <c r="F477">
        <v>0</v>
      </c>
      <c r="G477">
        <v>7</v>
      </c>
      <c r="H477" t="s">
        <v>27</v>
      </c>
      <c r="I477" t="s">
        <v>28</v>
      </c>
      <c r="J477">
        <v>1.03</v>
      </c>
      <c r="K477" t="s">
        <v>12</v>
      </c>
      <c r="L477">
        <v>0</v>
      </c>
      <c r="M477">
        <v>3.27</v>
      </c>
      <c r="N477">
        <v>74</v>
      </c>
      <c r="O477" t="s">
        <v>13</v>
      </c>
      <c r="P477">
        <v>12</v>
      </c>
      <c r="Q477">
        <v>6.56</v>
      </c>
      <c r="R477">
        <v>50.2</v>
      </c>
      <c r="S477">
        <v>132.22999999999999</v>
      </c>
      <c r="T477">
        <v>79.27</v>
      </c>
      <c r="U477">
        <v>1.31</v>
      </c>
      <c r="V477">
        <v>40.99</v>
      </c>
      <c r="W477">
        <v>252.49</v>
      </c>
      <c r="X477">
        <v>40.9</v>
      </c>
      <c r="Y477">
        <v>107.03</v>
      </c>
      <c r="Z477">
        <v>17.18</v>
      </c>
      <c r="AA477">
        <v>11.63</v>
      </c>
      <c r="AB477">
        <v>223.68</v>
      </c>
      <c r="AC477">
        <v>267.34661354581675</v>
      </c>
      <c r="AD477">
        <v>34.09756097560976</v>
      </c>
      <c r="AE477">
        <v>86.22</v>
      </c>
      <c r="AF477">
        <v>14.18</v>
      </c>
      <c r="AG477">
        <v>1</v>
      </c>
      <c r="AH477">
        <v>-7.23</v>
      </c>
      <c r="AI477">
        <v>66.77</v>
      </c>
      <c r="AJ477">
        <v>280.14999999999998</v>
      </c>
      <c r="AK477">
        <v>75.540000000000006</v>
      </c>
      <c r="AL477" t="s">
        <v>23</v>
      </c>
      <c r="AM477" t="s">
        <v>24</v>
      </c>
      <c r="AN477" t="str">
        <f t="shared" si="28"/>
        <v>Morning</v>
      </c>
      <c r="AO477" t="str">
        <f t="shared" si="29"/>
        <v>Peak</v>
      </c>
      <c r="AP477" t="str">
        <f t="shared" si="30"/>
        <v>High</v>
      </c>
      <c r="AQ477" t="str">
        <f t="shared" si="31"/>
        <v>High</v>
      </c>
    </row>
    <row r="478" spans="1:43" x14ac:dyDescent="0.3">
      <c r="A478">
        <v>477</v>
      </c>
      <c r="B478" t="s">
        <v>16</v>
      </c>
      <c r="C478" t="s">
        <v>17</v>
      </c>
      <c r="D478" s="1">
        <v>46194</v>
      </c>
      <c r="E478" t="s">
        <v>26</v>
      </c>
      <c r="F478">
        <v>1</v>
      </c>
      <c r="G478">
        <v>22</v>
      </c>
      <c r="H478" t="s">
        <v>19</v>
      </c>
      <c r="I478" t="s">
        <v>46</v>
      </c>
      <c r="J478">
        <v>1.1499999999999999</v>
      </c>
      <c r="K478" t="s">
        <v>12</v>
      </c>
      <c r="L478">
        <v>0</v>
      </c>
      <c r="M478">
        <v>2.76</v>
      </c>
      <c r="N478">
        <v>49</v>
      </c>
      <c r="O478" t="s">
        <v>35</v>
      </c>
      <c r="P478">
        <v>6</v>
      </c>
      <c r="Q478">
        <v>2.63</v>
      </c>
      <c r="R478">
        <v>24.6</v>
      </c>
      <c r="S478">
        <v>90.28</v>
      </c>
      <c r="T478">
        <v>63.1</v>
      </c>
      <c r="U478">
        <v>1.07</v>
      </c>
      <c r="V478">
        <v>6.32</v>
      </c>
      <c r="W478">
        <v>159.69999999999999</v>
      </c>
      <c r="X478">
        <v>46.2</v>
      </c>
      <c r="Y478">
        <v>104.36</v>
      </c>
      <c r="Z478">
        <v>5.95</v>
      </c>
      <c r="AA478">
        <v>3.1</v>
      </c>
      <c r="AB478">
        <v>150.65</v>
      </c>
      <c r="AC478">
        <v>367.4390243902439</v>
      </c>
      <c r="AD478">
        <v>57.28136882129278</v>
      </c>
      <c r="AE478">
        <v>77.25</v>
      </c>
      <c r="AF478">
        <v>15.63</v>
      </c>
      <c r="AG478">
        <v>1</v>
      </c>
      <c r="AH478">
        <v>5.32</v>
      </c>
      <c r="AI478">
        <v>54.32</v>
      </c>
      <c r="AJ478">
        <v>366.14</v>
      </c>
      <c r="AK478">
        <v>77.22</v>
      </c>
      <c r="AL478" t="s">
        <v>23</v>
      </c>
      <c r="AM478" t="s">
        <v>24</v>
      </c>
      <c r="AN478" t="str">
        <f t="shared" si="28"/>
        <v>Night</v>
      </c>
      <c r="AO478" t="str">
        <f t="shared" si="29"/>
        <v>Off-Peak</v>
      </c>
      <c r="AP478" t="str">
        <f t="shared" si="30"/>
        <v>High</v>
      </c>
      <c r="AQ478" t="str">
        <f t="shared" si="31"/>
        <v>Medium</v>
      </c>
    </row>
    <row r="479" spans="1:43" x14ac:dyDescent="0.3">
      <c r="A479">
        <v>478</v>
      </c>
      <c r="B479" t="s">
        <v>7</v>
      </c>
      <c r="C479" t="s">
        <v>8</v>
      </c>
      <c r="D479" s="1">
        <v>46264</v>
      </c>
      <c r="E479" t="s">
        <v>26</v>
      </c>
      <c r="F479">
        <v>1</v>
      </c>
      <c r="G479">
        <v>16</v>
      </c>
      <c r="H479" t="s">
        <v>32</v>
      </c>
      <c r="I479" t="s">
        <v>20</v>
      </c>
      <c r="J479">
        <v>1.25</v>
      </c>
      <c r="K479" t="s">
        <v>12</v>
      </c>
      <c r="L479">
        <v>0</v>
      </c>
      <c r="M479">
        <v>2.4500000000000002</v>
      </c>
      <c r="N479">
        <v>54</v>
      </c>
      <c r="O479" t="s">
        <v>35</v>
      </c>
      <c r="P479">
        <v>17</v>
      </c>
      <c r="Q479">
        <v>4.25</v>
      </c>
      <c r="R479">
        <v>36.1</v>
      </c>
      <c r="S479">
        <v>85.88</v>
      </c>
      <c r="T479">
        <v>73.45</v>
      </c>
      <c r="U479">
        <v>1</v>
      </c>
      <c r="V479">
        <v>0</v>
      </c>
      <c r="W479">
        <v>159.33000000000001</v>
      </c>
      <c r="X479">
        <v>35.4</v>
      </c>
      <c r="Y479">
        <v>104.14</v>
      </c>
      <c r="Z479">
        <v>12.52</v>
      </c>
      <c r="AA479">
        <v>7.68</v>
      </c>
      <c r="AB479">
        <v>139.13</v>
      </c>
      <c r="AC479">
        <v>231.24099722991687</v>
      </c>
      <c r="AD479">
        <v>32.736470588235292</v>
      </c>
      <c r="AE479">
        <v>74.34</v>
      </c>
      <c r="AF479">
        <v>9.01</v>
      </c>
      <c r="AG479">
        <v>1</v>
      </c>
      <c r="AH479">
        <v>15.48</v>
      </c>
      <c r="AI479">
        <v>69.48</v>
      </c>
      <c r="AJ479">
        <v>243.89</v>
      </c>
      <c r="AK479">
        <v>66.680000000000007</v>
      </c>
      <c r="AL479" t="s">
        <v>14</v>
      </c>
      <c r="AM479" t="s">
        <v>15</v>
      </c>
      <c r="AN479" t="str">
        <f t="shared" si="28"/>
        <v>Evening</v>
      </c>
      <c r="AO479" t="str">
        <f t="shared" si="29"/>
        <v>Off-Peak</v>
      </c>
      <c r="AP479" t="str">
        <f t="shared" si="30"/>
        <v>Medium</v>
      </c>
      <c r="AQ479" t="str">
        <f t="shared" si="31"/>
        <v>Medium</v>
      </c>
    </row>
    <row r="480" spans="1:43" x14ac:dyDescent="0.3">
      <c r="A480">
        <v>479</v>
      </c>
      <c r="B480" t="s">
        <v>25</v>
      </c>
      <c r="C480" t="s">
        <v>17</v>
      </c>
      <c r="D480" s="1">
        <v>46247</v>
      </c>
      <c r="E480" t="s">
        <v>41</v>
      </c>
      <c r="F480">
        <v>0</v>
      </c>
      <c r="G480">
        <v>10</v>
      </c>
      <c r="H480" t="s">
        <v>19</v>
      </c>
      <c r="I480" t="s">
        <v>28</v>
      </c>
      <c r="J480">
        <v>1.03</v>
      </c>
      <c r="K480" t="s">
        <v>12</v>
      </c>
      <c r="L480">
        <v>0</v>
      </c>
      <c r="M480">
        <v>3.48</v>
      </c>
      <c r="N480">
        <v>40</v>
      </c>
      <c r="O480" t="s">
        <v>35</v>
      </c>
      <c r="P480">
        <v>7</v>
      </c>
      <c r="Q480">
        <v>3.25</v>
      </c>
      <c r="R480">
        <v>29.1</v>
      </c>
      <c r="S480">
        <v>96.8</v>
      </c>
      <c r="T480">
        <v>44.98</v>
      </c>
      <c r="U480">
        <v>1</v>
      </c>
      <c r="V480">
        <v>0</v>
      </c>
      <c r="W480">
        <v>141.78</v>
      </c>
      <c r="X480">
        <v>41.4</v>
      </c>
      <c r="Y480">
        <v>108.75</v>
      </c>
      <c r="Z480">
        <v>8.5299999999999994</v>
      </c>
      <c r="AA480">
        <v>5.41</v>
      </c>
      <c r="AB480">
        <v>127.84</v>
      </c>
      <c r="AC480">
        <v>263.58762886597935</v>
      </c>
      <c r="AD480">
        <v>39.335384615384619</v>
      </c>
      <c r="AE480">
        <v>89.97</v>
      </c>
      <c r="AF480">
        <v>15.3</v>
      </c>
      <c r="AG480">
        <v>0</v>
      </c>
      <c r="AH480">
        <v>27.47</v>
      </c>
      <c r="AI480">
        <v>67.47</v>
      </c>
      <c r="AJ480">
        <v>242.91</v>
      </c>
      <c r="AK480">
        <v>60</v>
      </c>
      <c r="AL480" t="s">
        <v>23</v>
      </c>
      <c r="AM480" t="s">
        <v>24</v>
      </c>
      <c r="AN480" t="str">
        <f t="shared" si="28"/>
        <v>Morning</v>
      </c>
      <c r="AO480" t="str">
        <f t="shared" si="29"/>
        <v>Peak</v>
      </c>
      <c r="AP480" t="str">
        <f t="shared" si="30"/>
        <v>High</v>
      </c>
      <c r="AQ480" t="str">
        <f t="shared" si="31"/>
        <v>Medium</v>
      </c>
    </row>
    <row r="481" spans="1:43" x14ac:dyDescent="0.3">
      <c r="A481">
        <v>480</v>
      </c>
      <c r="B481" t="s">
        <v>7</v>
      </c>
      <c r="C481" t="s">
        <v>8</v>
      </c>
      <c r="D481" s="1">
        <v>46275</v>
      </c>
      <c r="E481" t="s">
        <v>41</v>
      </c>
      <c r="F481">
        <v>0</v>
      </c>
      <c r="G481">
        <v>19</v>
      </c>
      <c r="H481" t="s">
        <v>51</v>
      </c>
      <c r="I481" t="s">
        <v>39</v>
      </c>
      <c r="J481">
        <v>1.05</v>
      </c>
      <c r="K481" t="s">
        <v>12</v>
      </c>
      <c r="L481">
        <v>0</v>
      </c>
      <c r="M481">
        <v>3.56</v>
      </c>
      <c r="N481">
        <v>79</v>
      </c>
      <c r="O481" t="s">
        <v>13</v>
      </c>
      <c r="P481">
        <v>27</v>
      </c>
      <c r="Q481">
        <v>2.88</v>
      </c>
      <c r="R481">
        <v>38.9</v>
      </c>
      <c r="S481">
        <v>65.650000000000006</v>
      </c>
      <c r="T481">
        <v>100</v>
      </c>
      <c r="U481">
        <v>1</v>
      </c>
      <c r="V481">
        <v>0</v>
      </c>
      <c r="W481">
        <v>165.65</v>
      </c>
      <c r="X481">
        <v>44.8</v>
      </c>
      <c r="Y481">
        <v>107.59</v>
      </c>
      <c r="Z481">
        <v>6.93</v>
      </c>
      <c r="AA481">
        <v>8.4600000000000009</v>
      </c>
      <c r="AB481">
        <v>150.26</v>
      </c>
      <c r="AC481">
        <v>231.76349614395886</v>
      </c>
      <c r="AD481">
        <v>52.173611111111107</v>
      </c>
      <c r="AE481">
        <v>82.94</v>
      </c>
      <c r="AF481">
        <v>16.04</v>
      </c>
      <c r="AG481">
        <v>1</v>
      </c>
      <c r="AH481">
        <v>-1.3</v>
      </c>
      <c r="AI481">
        <v>77.7</v>
      </c>
      <c r="AJ481">
        <v>216.59</v>
      </c>
      <c r="AK481">
        <v>78.39</v>
      </c>
      <c r="AL481" t="s">
        <v>14</v>
      </c>
      <c r="AM481" t="s">
        <v>15</v>
      </c>
      <c r="AN481" t="str">
        <f t="shared" si="28"/>
        <v>Night</v>
      </c>
      <c r="AO481" t="str">
        <f t="shared" si="29"/>
        <v>Peak</v>
      </c>
      <c r="AP481" t="str">
        <f t="shared" si="30"/>
        <v>Medium</v>
      </c>
      <c r="AQ481" t="str">
        <f t="shared" si="31"/>
        <v>High</v>
      </c>
    </row>
    <row r="482" spans="1:43" x14ac:dyDescent="0.3">
      <c r="A482">
        <v>481</v>
      </c>
      <c r="B482" t="s">
        <v>48</v>
      </c>
      <c r="C482" t="s">
        <v>30</v>
      </c>
      <c r="D482" s="1">
        <v>46033</v>
      </c>
      <c r="E482" t="s">
        <v>26</v>
      </c>
      <c r="F482">
        <v>1</v>
      </c>
      <c r="G482">
        <v>21</v>
      </c>
      <c r="H482" t="s">
        <v>36</v>
      </c>
      <c r="I482" t="s">
        <v>28</v>
      </c>
      <c r="J482">
        <v>1.03</v>
      </c>
      <c r="K482" t="s">
        <v>12</v>
      </c>
      <c r="L482">
        <v>0</v>
      </c>
      <c r="M482">
        <v>3.81</v>
      </c>
      <c r="N482">
        <v>44</v>
      </c>
      <c r="O482" t="s">
        <v>35</v>
      </c>
      <c r="P482">
        <v>14</v>
      </c>
      <c r="Q482">
        <v>4.38</v>
      </c>
      <c r="R482">
        <v>45.1</v>
      </c>
      <c r="S482">
        <v>93.07</v>
      </c>
      <c r="T482">
        <v>45.54</v>
      </c>
      <c r="U482">
        <v>1</v>
      </c>
      <c r="V482">
        <v>0</v>
      </c>
      <c r="W482">
        <v>138.61000000000001</v>
      </c>
      <c r="X482">
        <v>41.9</v>
      </c>
      <c r="Y482">
        <v>105.2</v>
      </c>
      <c r="Z482">
        <v>11</v>
      </c>
      <c r="AA482">
        <v>8.49</v>
      </c>
      <c r="AB482">
        <v>119.12</v>
      </c>
      <c r="AC482">
        <v>158.47450110864744</v>
      </c>
      <c r="AD482">
        <v>27.196347031963473</v>
      </c>
      <c r="AE482">
        <v>74</v>
      </c>
      <c r="AF482">
        <v>16.05</v>
      </c>
      <c r="AG482">
        <v>1</v>
      </c>
      <c r="AH482">
        <v>15.46</v>
      </c>
      <c r="AI482">
        <v>59.46</v>
      </c>
      <c r="AJ482">
        <v>169.89</v>
      </c>
      <c r="AK482">
        <v>73.53</v>
      </c>
      <c r="AL482" t="s">
        <v>14</v>
      </c>
      <c r="AM482" t="s">
        <v>15</v>
      </c>
      <c r="AN482" t="str">
        <f t="shared" si="28"/>
        <v>Night</v>
      </c>
      <c r="AO482" t="str">
        <f t="shared" si="29"/>
        <v>Off-Peak</v>
      </c>
      <c r="AP482" t="str">
        <f t="shared" si="30"/>
        <v>Medium</v>
      </c>
      <c r="AQ482" t="str">
        <f t="shared" si="31"/>
        <v>Medium</v>
      </c>
    </row>
    <row r="483" spans="1:43" x14ac:dyDescent="0.3">
      <c r="A483">
        <v>482</v>
      </c>
      <c r="B483" t="s">
        <v>16</v>
      </c>
      <c r="C483" t="s">
        <v>17</v>
      </c>
      <c r="D483" s="1">
        <v>46083</v>
      </c>
      <c r="E483" t="s">
        <v>38</v>
      </c>
      <c r="F483">
        <v>0</v>
      </c>
      <c r="G483">
        <v>11</v>
      </c>
      <c r="H483" t="s">
        <v>19</v>
      </c>
      <c r="I483" t="s">
        <v>45</v>
      </c>
      <c r="J483">
        <v>1</v>
      </c>
      <c r="K483" t="s">
        <v>12</v>
      </c>
      <c r="L483">
        <v>0</v>
      </c>
      <c r="M483">
        <v>2.8</v>
      </c>
      <c r="N483">
        <v>8</v>
      </c>
      <c r="O483" t="s">
        <v>22</v>
      </c>
      <c r="P483">
        <v>1</v>
      </c>
      <c r="Q483">
        <v>1.58</v>
      </c>
      <c r="R483">
        <v>25</v>
      </c>
      <c r="S483">
        <v>58.25</v>
      </c>
      <c r="T483">
        <v>0</v>
      </c>
      <c r="U483">
        <v>1.04</v>
      </c>
      <c r="V483">
        <v>2.33</v>
      </c>
      <c r="W483">
        <v>60.58</v>
      </c>
      <c r="X483">
        <v>38.6</v>
      </c>
      <c r="Y483">
        <v>104.69</v>
      </c>
      <c r="Z483">
        <v>4.3</v>
      </c>
      <c r="AA483">
        <v>4.41</v>
      </c>
      <c r="AB483">
        <v>51.87</v>
      </c>
      <c r="AC483">
        <v>124.48799999999999</v>
      </c>
      <c r="AD483">
        <v>32.829113924050631</v>
      </c>
      <c r="AE483">
        <v>67.150000000000006</v>
      </c>
      <c r="AF483">
        <v>18.440000000000001</v>
      </c>
      <c r="AG483">
        <v>0</v>
      </c>
      <c r="AH483">
        <v>13.65</v>
      </c>
      <c r="AI483">
        <v>21.65</v>
      </c>
      <c r="AJ483">
        <v>118.82</v>
      </c>
      <c r="AK483">
        <v>70.180000000000007</v>
      </c>
      <c r="AL483" t="s">
        <v>23</v>
      </c>
      <c r="AM483" t="s">
        <v>24</v>
      </c>
      <c r="AN483" t="str">
        <f t="shared" si="28"/>
        <v>Afternoon</v>
      </c>
      <c r="AO483" t="str">
        <f t="shared" si="29"/>
        <v>Off-Peak</v>
      </c>
      <c r="AP483" t="str">
        <f t="shared" si="30"/>
        <v>Low</v>
      </c>
      <c r="AQ483" t="str">
        <f t="shared" si="31"/>
        <v>Low</v>
      </c>
    </row>
    <row r="484" spans="1:43" x14ac:dyDescent="0.3">
      <c r="A484">
        <v>483</v>
      </c>
      <c r="B484" t="s">
        <v>14</v>
      </c>
      <c r="C484" t="s">
        <v>8</v>
      </c>
      <c r="D484" s="1">
        <v>46168</v>
      </c>
      <c r="E484" t="s">
        <v>44</v>
      </c>
      <c r="F484">
        <v>0</v>
      </c>
      <c r="G484">
        <v>19</v>
      </c>
      <c r="H484" t="s">
        <v>51</v>
      </c>
      <c r="I484" t="s">
        <v>45</v>
      </c>
      <c r="J484">
        <v>1</v>
      </c>
      <c r="K484" t="s">
        <v>12</v>
      </c>
      <c r="L484">
        <v>0</v>
      </c>
      <c r="M484">
        <v>3.58</v>
      </c>
      <c r="N484">
        <v>60</v>
      </c>
      <c r="O484" t="s">
        <v>35</v>
      </c>
      <c r="P484">
        <v>22</v>
      </c>
      <c r="Q484">
        <v>7.58</v>
      </c>
      <c r="R484">
        <v>55.9</v>
      </c>
      <c r="S484">
        <v>106.4</v>
      </c>
      <c r="T484">
        <v>78.150000000000006</v>
      </c>
      <c r="U484">
        <v>1</v>
      </c>
      <c r="V484">
        <v>0</v>
      </c>
      <c r="W484">
        <v>184.55</v>
      </c>
      <c r="X484">
        <v>42</v>
      </c>
      <c r="Y484">
        <v>109.6</v>
      </c>
      <c r="Z484">
        <v>19.79</v>
      </c>
      <c r="AA484">
        <v>9.86</v>
      </c>
      <c r="AB484">
        <v>154.9</v>
      </c>
      <c r="AC484">
        <v>166.26118067978535</v>
      </c>
      <c r="AD484">
        <v>20.435356200527703</v>
      </c>
      <c r="AE484">
        <v>87.41</v>
      </c>
      <c r="AF484">
        <v>17.71</v>
      </c>
      <c r="AG484">
        <v>1</v>
      </c>
      <c r="AH484">
        <v>11.13</v>
      </c>
      <c r="AI484">
        <v>71.13</v>
      </c>
      <c r="AJ484">
        <v>172.84</v>
      </c>
      <c r="AK484">
        <v>72.150000000000006</v>
      </c>
      <c r="AL484" t="s">
        <v>14</v>
      </c>
      <c r="AM484" t="s">
        <v>15</v>
      </c>
      <c r="AN484" t="str">
        <f t="shared" si="28"/>
        <v>Night</v>
      </c>
      <c r="AO484" t="str">
        <f t="shared" si="29"/>
        <v>Peak</v>
      </c>
      <c r="AP484" t="str">
        <f t="shared" si="30"/>
        <v>Medium</v>
      </c>
      <c r="AQ484" t="str">
        <f t="shared" si="31"/>
        <v>Medium</v>
      </c>
    </row>
    <row r="485" spans="1:43" x14ac:dyDescent="0.3">
      <c r="A485">
        <v>484</v>
      </c>
      <c r="B485" t="s">
        <v>16</v>
      </c>
      <c r="C485" t="s">
        <v>17</v>
      </c>
      <c r="D485" s="1">
        <v>46035</v>
      </c>
      <c r="E485" t="s">
        <v>44</v>
      </c>
      <c r="F485">
        <v>0</v>
      </c>
      <c r="G485">
        <v>19</v>
      </c>
      <c r="H485" t="s">
        <v>40</v>
      </c>
      <c r="I485" t="s">
        <v>33</v>
      </c>
      <c r="J485">
        <v>1</v>
      </c>
      <c r="K485" t="s">
        <v>12</v>
      </c>
      <c r="L485">
        <v>0</v>
      </c>
      <c r="M485">
        <v>3.1</v>
      </c>
      <c r="N485">
        <v>64</v>
      </c>
      <c r="O485" t="s">
        <v>35</v>
      </c>
      <c r="P485">
        <v>8</v>
      </c>
      <c r="Q485">
        <v>2.89</v>
      </c>
      <c r="R485">
        <v>37.200000000000003</v>
      </c>
      <c r="S485">
        <v>85.74</v>
      </c>
      <c r="T485">
        <v>66.88</v>
      </c>
      <c r="U485">
        <v>1.24</v>
      </c>
      <c r="V485">
        <v>20.58</v>
      </c>
      <c r="W485">
        <v>173.2</v>
      </c>
      <c r="X485">
        <v>47.7</v>
      </c>
      <c r="Y485">
        <v>109.56</v>
      </c>
      <c r="Z485">
        <v>6.63</v>
      </c>
      <c r="AA485">
        <v>2.91</v>
      </c>
      <c r="AB485">
        <v>163.66</v>
      </c>
      <c r="AC485">
        <v>263.96774193548384</v>
      </c>
      <c r="AD485">
        <v>56.629757785467127</v>
      </c>
      <c r="AE485">
        <v>78.78</v>
      </c>
      <c r="AF485">
        <v>12.49</v>
      </c>
      <c r="AG485">
        <v>1</v>
      </c>
      <c r="AH485">
        <v>2.64</v>
      </c>
      <c r="AI485">
        <v>66.64</v>
      </c>
      <c r="AJ485">
        <v>262.02</v>
      </c>
      <c r="AK485">
        <v>73.7</v>
      </c>
      <c r="AL485" t="s">
        <v>23</v>
      </c>
      <c r="AM485" t="s">
        <v>24</v>
      </c>
      <c r="AN485" t="str">
        <f t="shared" si="28"/>
        <v>Night</v>
      </c>
      <c r="AO485" t="str">
        <f t="shared" si="29"/>
        <v>Peak</v>
      </c>
      <c r="AP485" t="str">
        <f t="shared" si="30"/>
        <v>High</v>
      </c>
      <c r="AQ485" t="str">
        <f t="shared" si="31"/>
        <v>Medium</v>
      </c>
    </row>
    <row r="486" spans="1:43" x14ac:dyDescent="0.3">
      <c r="A486">
        <v>485</v>
      </c>
      <c r="B486" t="s">
        <v>29</v>
      </c>
      <c r="C486" t="s">
        <v>30</v>
      </c>
      <c r="D486" s="1">
        <v>46114</v>
      </c>
      <c r="E486" t="s">
        <v>41</v>
      </c>
      <c r="F486">
        <v>0</v>
      </c>
      <c r="G486">
        <v>15</v>
      </c>
      <c r="H486" t="s">
        <v>43</v>
      </c>
      <c r="I486" t="s">
        <v>50</v>
      </c>
      <c r="J486">
        <v>1.2</v>
      </c>
      <c r="K486" t="s">
        <v>12</v>
      </c>
      <c r="L486">
        <v>0</v>
      </c>
      <c r="M486">
        <v>3.2</v>
      </c>
      <c r="N486">
        <v>29</v>
      </c>
      <c r="O486" t="s">
        <v>22</v>
      </c>
      <c r="P486">
        <v>10</v>
      </c>
      <c r="Q486">
        <v>7.34</v>
      </c>
      <c r="R486">
        <v>48.2</v>
      </c>
      <c r="S486">
        <v>119.15</v>
      </c>
      <c r="T486">
        <v>28.36</v>
      </c>
      <c r="U486">
        <v>1</v>
      </c>
      <c r="V486">
        <v>0</v>
      </c>
      <c r="W486">
        <v>147.51</v>
      </c>
      <c r="X486">
        <v>38.1</v>
      </c>
      <c r="Y486">
        <v>107.05</v>
      </c>
      <c r="Z486">
        <v>20.62</v>
      </c>
      <c r="AA486">
        <v>10.18</v>
      </c>
      <c r="AB486">
        <v>116.71</v>
      </c>
      <c r="AC486">
        <v>145.28215767634853</v>
      </c>
      <c r="AD486">
        <v>15.900544959128064</v>
      </c>
      <c r="AE486">
        <v>74.52</v>
      </c>
      <c r="AF486">
        <v>17.440000000000001</v>
      </c>
      <c r="AG486">
        <v>0</v>
      </c>
      <c r="AH486">
        <v>-2.99</v>
      </c>
      <c r="AI486">
        <v>26.01</v>
      </c>
      <c r="AJ486">
        <v>159.08000000000001</v>
      </c>
      <c r="AK486">
        <v>75.41</v>
      </c>
      <c r="AL486" t="s">
        <v>14</v>
      </c>
      <c r="AM486" t="s">
        <v>15</v>
      </c>
      <c r="AN486" t="str">
        <f t="shared" si="28"/>
        <v>Evening</v>
      </c>
      <c r="AO486" t="str">
        <f t="shared" si="29"/>
        <v>Off-Peak</v>
      </c>
      <c r="AP486" t="str">
        <f t="shared" si="30"/>
        <v>Low</v>
      </c>
      <c r="AQ486" t="str">
        <f t="shared" si="31"/>
        <v>Low</v>
      </c>
    </row>
    <row r="487" spans="1:43" x14ac:dyDescent="0.3">
      <c r="A487">
        <v>486</v>
      </c>
      <c r="B487" t="s">
        <v>14</v>
      </c>
      <c r="C487" t="s">
        <v>8</v>
      </c>
      <c r="D487" s="1">
        <v>46062</v>
      </c>
      <c r="E487" t="s">
        <v>38</v>
      </c>
      <c r="F487">
        <v>0</v>
      </c>
      <c r="G487">
        <v>17</v>
      </c>
      <c r="H487" t="s">
        <v>32</v>
      </c>
      <c r="I487" t="s">
        <v>39</v>
      </c>
      <c r="J487">
        <v>1.05</v>
      </c>
      <c r="K487" t="s">
        <v>12</v>
      </c>
      <c r="L487">
        <v>0</v>
      </c>
      <c r="M487">
        <v>3.72</v>
      </c>
      <c r="N487">
        <v>17</v>
      </c>
      <c r="O487" t="s">
        <v>22</v>
      </c>
      <c r="P487">
        <v>8</v>
      </c>
      <c r="Q487">
        <v>1.89</v>
      </c>
      <c r="R487">
        <v>32.4</v>
      </c>
      <c r="S487">
        <v>62.06</v>
      </c>
      <c r="T487">
        <v>2.6</v>
      </c>
      <c r="U487">
        <v>1</v>
      </c>
      <c r="V487">
        <v>0</v>
      </c>
      <c r="W487">
        <v>64.66</v>
      </c>
      <c r="X487">
        <v>40.5</v>
      </c>
      <c r="Y487">
        <v>107.6</v>
      </c>
      <c r="Z487">
        <v>5.03</v>
      </c>
      <c r="AA487">
        <v>4.12</v>
      </c>
      <c r="AB487">
        <v>55.51</v>
      </c>
      <c r="AC487">
        <v>102.7962962962963</v>
      </c>
      <c r="AD487">
        <v>29.37037037037037</v>
      </c>
      <c r="AE487">
        <v>78.77</v>
      </c>
      <c r="AF487">
        <v>14.99</v>
      </c>
      <c r="AG487">
        <v>0</v>
      </c>
      <c r="AH487">
        <v>-12.98</v>
      </c>
      <c r="AI487">
        <v>5</v>
      </c>
      <c r="AJ487">
        <v>107.27</v>
      </c>
      <c r="AK487">
        <v>60</v>
      </c>
      <c r="AL487" t="s">
        <v>14</v>
      </c>
      <c r="AM487" t="s">
        <v>15</v>
      </c>
      <c r="AN487" t="str">
        <f t="shared" si="28"/>
        <v>Evening</v>
      </c>
      <c r="AO487" t="str">
        <f t="shared" si="29"/>
        <v>Peak</v>
      </c>
      <c r="AP487" t="str">
        <f t="shared" si="30"/>
        <v>Low</v>
      </c>
      <c r="AQ487" t="str">
        <f t="shared" si="31"/>
        <v>Low</v>
      </c>
    </row>
    <row r="488" spans="1:43" x14ac:dyDescent="0.3">
      <c r="A488">
        <v>487</v>
      </c>
      <c r="B488" t="s">
        <v>48</v>
      </c>
      <c r="C488" t="s">
        <v>30</v>
      </c>
      <c r="D488" s="1">
        <v>46263</v>
      </c>
      <c r="E488" t="s">
        <v>31</v>
      </c>
      <c r="F488">
        <v>1</v>
      </c>
      <c r="G488">
        <v>11</v>
      </c>
      <c r="H488" t="s">
        <v>43</v>
      </c>
      <c r="I488" t="s">
        <v>20</v>
      </c>
      <c r="J488">
        <v>1.25</v>
      </c>
      <c r="K488" t="s">
        <v>12</v>
      </c>
      <c r="L488">
        <v>0</v>
      </c>
      <c r="M488">
        <v>3.22</v>
      </c>
      <c r="N488">
        <v>36</v>
      </c>
      <c r="O488" t="s">
        <v>35</v>
      </c>
      <c r="P488">
        <v>13</v>
      </c>
      <c r="Q488">
        <v>2.88</v>
      </c>
      <c r="R488">
        <v>37.299999999999997</v>
      </c>
      <c r="S488">
        <v>74.14</v>
      </c>
      <c r="T488">
        <v>36.409999999999997</v>
      </c>
      <c r="U488">
        <v>1</v>
      </c>
      <c r="V488">
        <v>0</v>
      </c>
      <c r="W488">
        <v>110.55</v>
      </c>
      <c r="X488">
        <v>49.9</v>
      </c>
      <c r="Y488">
        <v>108.99</v>
      </c>
      <c r="Z488">
        <v>6.3</v>
      </c>
      <c r="AA488">
        <v>7.9</v>
      </c>
      <c r="AB488">
        <v>96.35</v>
      </c>
      <c r="AC488">
        <v>154.98659517426273</v>
      </c>
      <c r="AD488">
        <v>33.454861111111107</v>
      </c>
      <c r="AE488">
        <v>81.92</v>
      </c>
      <c r="AF488">
        <v>15.68</v>
      </c>
      <c r="AG488">
        <v>1</v>
      </c>
      <c r="AH488">
        <v>-13.97</v>
      </c>
      <c r="AI488">
        <v>22.03</v>
      </c>
      <c r="AJ488">
        <v>158.4</v>
      </c>
      <c r="AK488">
        <v>68.8</v>
      </c>
      <c r="AL488" t="s">
        <v>14</v>
      </c>
      <c r="AM488" t="s">
        <v>15</v>
      </c>
      <c r="AN488" t="str">
        <f t="shared" si="28"/>
        <v>Afternoon</v>
      </c>
      <c r="AO488" t="str">
        <f t="shared" si="29"/>
        <v>Off-Peak</v>
      </c>
      <c r="AP488" t="str">
        <f t="shared" si="30"/>
        <v>Medium</v>
      </c>
      <c r="AQ488" t="str">
        <f t="shared" si="31"/>
        <v>Medium</v>
      </c>
    </row>
    <row r="489" spans="1:43" x14ac:dyDescent="0.3">
      <c r="A489">
        <v>488</v>
      </c>
      <c r="B489" t="s">
        <v>29</v>
      </c>
      <c r="C489" t="s">
        <v>30</v>
      </c>
      <c r="D489" s="1">
        <v>46039</v>
      </c>
      <c r="E489" t="s">
        <v>31</v>
      </c>
      <c r="F489">
        <v>1</v>
      </c>
      <c r="G489">
        <v>21</v>
      </c>
      <c r="H489" t="s">
        <v>36</v>
      </c>
      <c r="I489" t="s">
        <v>20</v>
      </c>
      <c r="J489">
        <v>1.25</v>
      </c>
      <c r="K489" t="s">
        <v>34</v>
      </c>
      <c r="L489">
        <v>1</v>
      </c>
      <c r="M489">
        <v>5</v>
      </c>
      <c r="N489">
        <v>51</v>
      </c>
      <c r="O489" t="s">
        <v>35</v>
      </c>
      <c r="P489">
        <v>18</v>
      </c>
      <c r="Q489">
        <v>1.58</v>
      </c>
      <c r="R489">
        <v>26.2</v>
      </c>
      <c r="S489">
        <v>64.3</v>
      </c>
      <c r="T489">
        <v>43.88</v>
      </c>
      <c r="U489">
        <v>1</v>
      </c>
      <c r="V489">
        <v>0</v>
      </c>
      <c r="W489">
        <v>108.18</v>
      </c>
      <c r="X489">
        <v>48.7</v>
      </c>
      <c r="Y489">
        <v>109.64</v>
      </c>
      <c r="Z489">
        <v>3.56</v>
      </c>
      <c r="AA489">
        <v>5.47</v>
      </c>
      <c r="AB489">
        <v>99.15</v>
      </c>
      <c r="AC489">
        <v>227.0610687022901</v>
      </c>
      <c r="AD489">
        <v>62.753164556962027</v>
      </c>
      <c r="AE489">
        <v>80.48</v>
      </c>
      <c r="AF489">
        <v>19.03</v>
      </c>
      <c r="AG489">
        <v>1</v>
      </c>
      <c r="AH489">
        <v>8.2100000000000009</v>
      </c>
      <c r="AI489">
        <v>59.21</v>
      </c>
      <c r="AJ489">
        <v>214.53</v>
      </c>
      <c r="AK489">
        <v>72.19</v>
      </c>
      <c r="AL489" t="s">
        <v>14</v>
      </c>
      <c r="AM489" t="s">
        <v>15</v>
      </c>
      <c r="AN489" t="str">
        <f t="shared" si="28"/>
        <v>Night</v>
      </c>
      <c r="AO489" t="str">
        <f t="shared" si="29"/>
        <v>Off-Peak</v>
      </c>
      <c r="AP489" t="str">
        <f t="shared" si="30"/>
        <v>Medium</v>
      </c>
      <c r="AQ489" t="str">
        <f t="shared" si="31"/>
        <v>Medium</v>
      </c>
    </row>
    <row r="490" spans="1:43" x14ac:dyDescent="0.3">
      <c r="A490">
        <v>489</v>
      </c>
      <c r="B490" t="s">
        <v>16</v>
      </c>
      <c r="C490" t="s">
        <v>17</v>
      </c>
      <c r="D490" s="1">
        <v>46061</v>
      </c>
      <c r="E490" t="s">
        <v>26</v>
      </c>
      <c r="F490">
        <v>1</v>
      </c>
      <c r="G490">
        <v>22</v>
      </c>
      <c r="H490" t="s">
        <v>19</v>
      </c>
      <c r="I490" t="s">
        <v>28</v>
      </c>
      <c r="J490">
        <v>1.03</v>
      </c>
      <c r="K490" t="s">
        <v>12</v>
      </c>
      <c r="L490">
        <v>0</v>
      </c>
      <c r="M490">
        <v>4.1399999999999997</v>
      </c>
      <c r="N490">
        <v>23</v>
      </c>
      <c r="O490" t="s">
        <v>22</v>
      </c>
      <c r="P490">
        <v>4</v>
      </c>
      <c r="Q490">
        <v>1.53</v>
      </c>
      <c r="R490">
        <v>34.9</v>
      </c>
      <c r="S490">
        <v>74.63</v>
      </c>
      <c r="T490">
        <v>29.36</v>
      </c>
      <c r="U490">
        <v>1.1299999999999999</v>
      </c>
      <c r="V490">
        <v>9.6999999999999993</v>
      </c>
      <c r="W490">
        <v>113.69</v>
      </c>
      <c r="X490">
        <v>35.5</v>
      </c>
      <c r="Y490">
        <v>100.82</v>
      </c>
      <c r="Z490">
        <v>4.34</v>
      </c>
      <c r="AA490">
        <v>8.1</v>
      </c>
      <c r="AB490">
        <v>101.25</v>
      </c>
      <c r="AC490">
        <v>174.06876790830947</v>
      </c>
      <c r="AD490">
        <v>66.17647058823529</v>
      </c>
      <c r="AE490">
        <v>80.91</v>
      </c>
      <c r="AF490">
        <v>15.74</v>
      </c>
      <c r="AG490">
        <v>1</v>
      </c>
      <c r="AH490">
        <v>2.1800000000000002</v>
      </c>
      <c r="AI490">
        <v>25.18</v>
      </c>
      <c r="AJ490">
        <v>181.72</v>
      </c>
      <c r="AK490">
        <v>75.75</v>
      </c>
      <c r="AL490" t="s">
        <v>23</v>
      </c>
      <c r="AM490" t="s">
        <v>24</v>
      </c>
      <c r="AN490" t="str">
        <f t="shared" si="28"/>
        <v>Night</v>
      </c>
      <c r="AO490" t="str">
        <f t="shared" si="29"/>
        <v>Off-Peak</v>
      </c>
      <c r="AP490" t="str">
        <f t="shared" si="30"/>
        <v>Medium</v>
      </c>
      <c r="AQ490" t="str">
        <f t="shared" si="31"/>
        <v>Low</v>
      </c>
    </row>
    <row r="491" spans="1:43" x14ac:dyDescent="0.3">
      <c r="A491">
        <v>490</v>
      </c>
      <c r="B491" t="s">
        <v>25</v>
      </c>
      <c r="C491" t="s">
        <v>17</v>
      </c>
      <c r="D491" s="1">
        <v>46073</v>
      </c>
      <c r="E491" t="s">
        <v>9</v>
      </c>
      <c r="F491">
        <v>0</v>
      </c>
      <c r="G491">
        <v>22</v>
      </c>
      <c r="H491" t="s">
        <v>19</v>
      </c>
      <c r="I491" t="s">
        <v>45</v>
      </c>
      <c r="J491">
        <v>1</v>
      </c>
      <c r="K491" t="s">
        <v>12</v>
      </c>
      <c r="L491">
        <v>0</v>
      </c>
      <c r="M491">
        <v>2.75</v>
      </c>
      <c r="N491">
        <v>19</v>
      </c>
      <c r="O491" t="s">
        <v>22</v>
      </c>
      <c r="P491">
        <v>4</v>
      </c>
      <c r="Q491">
        <v>2.11</v>
      </c>
      <c r="R491">
        <v>20.2</v>
      </c>
      <c r="S491">
        <v>85.42</v>
      </c>
      <c r="T491">
        <v>18.149999999999999</v>
      </c>
      <c r="U491">
        <v>1.07</v>
      </c>
      <c r="V491">
        <v>5.98</v>
      </c>
      <c r="W491">
        <v>109.55</v>
      </c>
      <c r="X491">
        <v>43</v>
      </c>
      <c r="Y491">
        <v>109.97</v>
      </c>
      <c r="Z491">
        <v>5.41</v>
      </c>
      <c r="AA491">
        <v>4.67</v>
      </c>
      <c r="AB491">
        <v>99.47</v>
      </c>
      <c r="AC491">
        <v>295.45544554455444</v>
      </c>
      <c r="AD491">
        <v>47.142180094786731</v>
      </c>
      <c r="AE491">
        <v>77.13</v>
      </c>
      <c r="AF491">
        <v>17.04</v>
      </c>
      <c r="AG491">
        <v>0</v>
      </c>
      <c r="AH491">
        <v>-3.23</v>
      </c>
      <c r="AI491">
        <v>15.77</v>
      </c>
      <c r="AJ491">
        <v>281.25</v>
      </c>
      <c r="AK491">
        <v>75.14</v>
      </c>
      <c r="AL491" t="s">
        <v>23</v>
      </c>
      <c r="AM491" t="s">
        <v>24</v>
      </c>
      <c r="AN491" t="str">
        <f t="shared" si="28"/>
        <v>Night</v>
      </c>
      <c r="AO491" t="str">
        <f t="shared" si="29"/>
        <v>Off-Peak</v>
      </c>
      <c r="AP491" t="str">
        <f t="shared" si="30"/>
        <v>High</v>
      </c>
      <c r="AQ491" t="str">
        <f t="shared" si="31"/>
        <v>Low</v>
      </c>
    </row>
    <row r="492" spans="1:43" x14ac:dyDescent="0.3">
      <c r="A492">
        <v>491</v>
      </c>
      <c r="B492" t="s">
        <v>23</v>
      </c>
      <c r="C492" t="s">
        <v>17</v>
      </c>
      <c r="D492" s="1">
        <v>46061</v>
      </c>
      <c r="E492" t="s">
        <v>26</v>
      </c>
      <c r="F492">
        <v>1</v>
      </c>
      <c r="G492">
        <v>18</v>
      </c>
      <c r="H492" t="s">
        <v>40</v>
      </c>
      <c r="I492" t="s">
        <v>33</v>
      </c>
      <c r="J492">
        <v>1</v>
      </c>
      <c r="K492" t="s">
        <v>12</v>
      </c>
      <c r="L492">
        <v>0</v>
      </c>
      <c r="M492">
        <v>3.85</v>
      </c>
      <c r="N492">
        <v>69</v>
      </c>
      <c r="O492" t="s">
        <v>35</v>
      </c>
      <c r="P492">
        <v>11</v>
      </c>
      <c r="Q492">
        <v>1.92</v>
      </c>
      <c r="R492">
        <v>31.4</v>
      </c>
      <c r="S492">
        <v>79.78</v>
      </c>
      <c r="T492">
        <v>88</v>
      </c>
      <c r="U492">
        <v>1.18</v>
      </c>
      <c r="V492">
        <v>14.36</v>
      </c>
      <c r="W492">
        <v>182.14</v>
      </c>
      <c r="X492">
        <v>36</v>
      </c>
      <c r="Y492">
        <v>107.03</v>
      </c>
      <c r="Z492">
        <v>5.71</v>
      </c>
      <c r="AA492">
        <v>7.69</v>
      </c>
      <c r="AB492">
        <v>168.74</v>
      </c>
      <c r="AC492">
        <v>322.43312101910828</v>
      </c>
      <c r="AD492">
        <v>87.885416666666671</v>
      </c>
      <c r="AE492">
        <v>81.96</v>
      </c>
      <c r="AF492">
        <v>14.34</v>
      </c>
      <c r="AG492">
        <v>1</v>
      </c>
      <c r="AH492">
        <v>12.97</v>
      </c>
      <c r="AI492">
        <v>81.97</v>
      </c>
      <c r="AJ492">
        <v>320.27999999999997</v>
      </c>
      <c r="AK492">
        <v>69.39</v>
      </c>
      <c r="AL492" t="s">
        <v>23</v>
      </c>
      <c r="AM492" t="s">
        <v>24</v>
      </c>
      <c r="AN492" t="str">
        <f t="shared" si="28"/>
        <v>Night</v>
      </c>
      <c r="AO492" t="str">
        <f t="shared" si="29"/>
        <v>Peak</v>
      </c>
      <c r="AP492" t="str">
        <f t="shared" si="30"/>
        <v>High</v>
      </c>
      <c r="AQ492" t="str">
        <f t="shared" si="31"/>
        <v>Medium</v>
      </c>
    </row>
    <row r="493" spans="1:43" x14ac:dyDescent="0.3">
      <c r="A493">
        <v>492</v>
      </c>
      <c r="B493" t="s">
        <v>23</v>
      </c>
      <c r="C493" t="s">
        <v>17</v>
      </c>
      <c r="D493" s="1">
        <v>46169</v>
      </c>
      <c r="E493" t="s">
        <v>18</v>
      </c>
      <c r="F493">
        <v>0</v>
      </c>
      <c r="G493">
        <v>7</v>
      </c>
      <c r="H493" t="s">
        <v>27</v>
      </c>
      <c r="I493" t="s">
        <v>11</v>
      </c>
      <c r="J493">
        <v>1.18</v>
      </c>
      <c r="K493" t="s">
        <v>34</v>
      </c>
      <c r="L493">
        <v>1</v>
      </c>
      <c r="M493">
        <v>4.9800000000000004</v>
      </c>
      <c r="N493">
        <v>77</v>
      </c>
      <c r="O493" t="s">
        <v>13</v>
      </c>
      <c r="P493">
        <v>19</v>
      </c>
      <c r="Q493">
        <v>1.59</v>
      </c>
      <c r="R493">
        <v>29.3</v>
      </c>
      <c r="S493">
        <v>72.56</v>
      </c>
      <c r="T493">
        <v>98.7</v>
      </c>
      <c r="U493">
        <v>1.38</v>
      </c>
      <c r="V493">
        <v>27.57</v>
      </c>
      <c r="W493">
        <v>198.83</v>
      </c>
      <c r="X493">
        <v>48.9</v>
      </c>
      <c r="Y493">
        <v>105.93</v>
      </c>
      <c r="Z493">
        <v>3.45</v>
      </c>
      <c r="AA493">
        <v>2.08</v>
      </c>
      <c r="AB493">
        <v>193.3</v>
      </c>
      <c r="AC493">
        <v>395.83617747440275</v>
      </c>
      <c r="AD493">
        <v>121.57232704402516</v>
      </c>
      <c r="AE493">
        <v>72.31</v>
      </c>
      <c r="AF493">
        <v>15.61</v>
      </c>
      <c r="AG493">
        <v>1</v>
      </c>
      <c r="AH493">
        <v>-0.01</v>
      </c>
      <c r="AI493">
        <v>76.989999999999995</v>
      </c>
      <c r="AJ493">
        <v>389.03</v>
      </c>
      <c r="AK493">
        <v>80.22</v>
      </c>
      <c r="AL493" t="s">
        <v>23</v>
      </c>
      <c r="AM493" t="s">
        <v>24</v>
      </c>
      <c r="AN493" t="str">
        <f t="shared" si="28"/>
        <v>Morning</v>
      </c>
      <c r="AO493" t="str">
        <f t="shared" si="29"/>
        <v>Peak</v>
      </c>
      <c r="AP493" t="str">
        <f t="shared" si="30"/>
        <v>High</v>
      </c>
      <c r="AQ493" t="str">
        <f t="shared" si="31"/>
        <v>High</v>
      </c>
    </row>
    <row r="494" spans="1:43" x14ac:dyDescent="0.3">
      <c r="A494">
        <v>493</v>
      </c>
      <c r="B494" t="s">
        <v>16</v>
      </c>
      <c r="C494" t="s">
        <v>17</v>
      </c>
      <c r="D494" s="1">
        <v>46117</v>
      </c>
      <c r="E494" t="s">
        <v>26</v>
      </c>
      <c r="F494">
        <v>1</v>
      </c>
      <c r="G494">
        <v>12</v>
      </c>
      <c r="H494" t="s">
        <v>19</v>
      </c>
      <c r="I494" t="s">
        <v>37</v>
      </c>
      <c r="J494">
        <v>1.02</v>
      </c>
      <c r="K494" t="s">
        <v>12</v>
      </c>
      <c r="L494">
        <v>0</v>
      </c>
      <c r="M494">
        <v>2.33</v>
      </c>
      <c r="N494">
        <v>38</v>
      </c>
      <c r="O494" t="s">
        <v>35</v>
      </c>
      <c r="P494">
        <v>7</v>
      </c>
      <c r="Q494">
        <v>4.04</v>
      </c>
      <c r="R494">
        <v>42.7</v>
      </c>
      <c r="S494">
        <v>103.47</v>
      </c>
      <c r="T494">
        <v>53.97</v>
      </c>
      <c r="U494">
        <v>1.02</v>
      </c>
      <c r="V494">
        <v>2.0699999999999998</v>
      </c>
      <c r="W494">
        <v>159.51</v>
      </c>
      <c r="X494">
        <v>41.6</v>
      </c>
      <c r="Y494">
        <v>104.13</v>
      </c>
      <c r="Z494">
        <v>10.119999999999999</v>
      </c>
      <c r="AA494">
        <v>5.74</v>
      </c>
      <c r="AB494">
        <v>143.65</v>
      </c>
      <c r="AC494">
        <v>201.85011709601875</v>
      </c>
      <c r="AD494">
        <v>35.556930693069305</v>
      </c>
      <c r="AE494">
        <v>89.52</v>
      </c>
      <c r="AF494">
        <v>15.58</v>
      </c>
      <c r="AG494">
        <v>1</v>
      </c>
      <c r="AH494">
        <v>-10.7</v>
      </c>
      <c r="AI494">
        <v>27.3</v>
      </c>
      <c r="AJ494">
        <v>199.65</v>
      </c>
      <c r="AK494">
        <v>67.14</v>
      </c>
      <c r="AL494" t="s">
        <v>14</v>
      </c>
      <c r="AM494" t="s">
        <v>15</v>
      </c>
      <c r="AN494" t="str">
        <f t="shared" si="28"/>
        <v>Afternoon</v>
      </c>
      <c r="AO494" t="str">
        <f t="shared" si="29"/>
        <v>Off-Peak</v>
      </c>
      <c r="AP494" t="str">
        <f t="shared" si="30"/>
        <v>Medium</v>
      </c>
      <c r="AQ494" t="str">
        <f t="shared" si="31"/>
        <v>Medium</v>
      </c>
    </row>
    <row r="495" spans="1:43" x14ac:dyDescent="0.3">
      <c r="A495">
        <v>494</v>
      </c>
      <c r="B495" t="s">
        <v>25</v>
      </c>
      <c r="C495" t="s">
        <v>17</v>
      </c>
      <c r="D495" s="1">
        <v>46258</v>
      </c>
      <c r="E495" t="s">
        <v>38</v>
      </c>
      <c r="F495">
        <v>0</v>
      </c>
      <c r="G495">
        <v>14</v>
      </c>
      <c r="H495" t="s">
        <v>19</v>
      </c>
      <c r="I495" t="s">
        <v>50</v>
      </c>
      <c r="J495">
        <v>1.2</v>
      </c>
      <c r="K495" t="s">
        <v>12</v>
      </c>
      <c r="L495">
        <v>0</v>
      </c>
      <c r="M495">
        <v>3.93</v>
      </c>
      <c r="N495">
        <v>10</v>
      </c>
      <c r="O495" t="s">
        <v>22</v>
      </c>
      <c r="P495">
        <v>2</v>
      </c>
      <c r="Q495">
        <v>6.04</v>
      </c>
      <c r="R495">
        <v>45.1</v>
      </c>
      <c r="S495">
        <v>124.34</v>
      </c>
      <c r="T495">
        <v>0</v>
      </c>
      <c r="U495">
        <v>1.1299999999999999</v>
      </c>
      <c r="V495">
        <v>16.16</v>
      </c>
      <c r="W495">
        <v>140.5</v>
      </c>
      <c r="X495">
        <v>41.3</v>
      </c>
      <c r="Y495">
        <v>103.36</v>
      </c>
      <c r="Z495">
        <v>15.12</v>
      </c>
      <c r="AA495">
        <v>10.26</v>
      </c>
      <c r="AB495">
        <v>115.12</v>
      </c>
      <c r="AC495">
        <v>153.1529933481153</v>
      </c>
      <c r="AD495">
        <v>19.059602649006624</v>
      </c>
      <c r="AE495">
        <v>62.93</v>
      </c>
      <c r="AF495">
        <v>15.88</v>
      </c>
      <c r="AG495">
        <v>0</v>
      </c>
      <c r="AH495">
        <v>-1</v>
      </c>
      <c r="AI495">
        <v>9</v>
      </c>
      <c r="AJ495">
        <v>169.08</v>
      </c>
      <c r="AK495">
        <v>67.930000000000007</v>
      </c>
      <c r="AL495" t="s">
        <v>14</v>
      </c>
      <c r="AM495" t="s">
        <v>15</v>
      </c>
      <c r="AN495" t="str">
        <f t="shared" si="28"/>
        <v>Afternoon</v>
      </c>
      <c r="AO495" t="str">
        <f t="shared" si="29"/>
        <v>Off-Peak</v>
      </c>
      <c r="AP495" t="str">
        <f t="shared" si="30"/>
        <v>Medium</v>
      </c>
      <c r="AQ495" t="str">
        <f t="shared" si="31"/>
        <v>Low</v>
      </c>
    </row>
    <row r="496" spans="1:43" x14ac:dyDescent="0.3">
      <c r="A496">
        <v>495</v>
      </c>
      <c r="B496" t="s">
        <v>48</v>
      </c>
      <c r="C496" t="s">
        <v>30</v>
      </c>
      <c r="D496" s="1">
        <v>46090</v>
      </c>
      <c r="E496" t="s">
        <v>38</v>
      </c>
      <c r="F496">
        <v>0</v>
      </c>
      <c r="G496">
        <v>22</v>
      </c>
      <c r="H496" t="s">
        <v>36</v>
      </c>
      <c r="I496" t="s">
        <v>46</v>
      </c>
      <c r="J496">
        <v>1.1499999999999999</v>
      </c>
      <c r="K496" t="s">
        <v>34</v>
      </c>
      <c r="L496">
        <v>1</v>
      </c>
      <c r="M496">
        <v>3.79</v>
      </c>
      <c r="N496">
        <v>48</v>
      </c>
      <c r="O496" t="s">
        <v>35</v>
      </c>
      <c r="P496">
        <v>17</v>
      </c>
      <c r="Q496">
        <v>6.25</v>
      </c>
      <c r="R496">
        <v>43</v>
      </c>
      <c r="S496">
        <v>96.95</v>
      </c>
      <c r="T496">
        <v>54.28</v>
      </c>
      <c r="U496">
        <v>1</v>
      </c>
      <c r="V496">
        <v>0</v>
      </c>
      <c r="W496">
        <v>151.22999999999999</v>
      </c>
      <c r="X496">
        <v>39.1</v>
      </c>
      <c r="Y496">
        <v>108.04</v>
      </c>
      <c r="Z496">
        <v>17.28</v>
      </c>
      <c r="AA496">
        <v>6.63</v>
      </c>
      <c r="AB496">
        <v>127.32</v>
      </c>
      <c r="AC496">
        <v>177.65581395348835</v>
      </c>
      <c r="AD496">
        <v>20.371199999999998</v>
      </c>
      <c r="AE496">
        <v>78.319999999999993</v>
      </c>
      <c r="AF496">
        <v>14.23</v>
      </c>
      <c r="AG496">
        <v>0</v>
      </c>
      <c r="AH496">
        <v>15.31</v>
      </c>
      <c r="AI496">
        <v>63.31</v>
      </c>
      <c r="AJ496">
        <v>185.86</v>
      </c>
      <c r="AK496">
        <v>71.55</v>
      </c>
      <c r="AL496" t="s">
        <v>23</v>
      </c>
      <c r="AM496" t="s">
        <v>24</v>
      </c>
      <c r="AN496" t="str">
        <f t="shared" si="28"/>
        <v>Night</v>
      </c>
      <c r="AO496" t="str">
        <f t="shared" si="29"/>
        <v>Off-Peak</v>
      </c>
      <c r="AP496" t="str">
        <f t="shared" si="30"/>
        <v>Medium</v>
      </c>
      <c r="AQ496" t="str">
        <f t="shared" si="31"/>
        <v>Medium</v>
      </c>
    </row>
    <row r="497" spans="1:43" x14ac:dyDescent="0.3">
      <c r="A497">
        <v>496</v>
      </c>
      <c r="B497" t="s">
        <v>48</v>
      </c>
      <c r="C497" t="s">
        <v>30</v>
      </c>
      <c r="D497" s="1">
        <v>46161</v>
      </c>
      <c r="E497" t="s">
        <v>44</v>
      </c>
      <c r="F497">
        <v>0</v>
      </c>
      <c r="G497">
        <v>15</v>
      </c>
      <c r="H497" t="s">
        <v>43</v>
      </c>
      <c r="I497" t="s">
        <v>37</v>
      </c>
      <c r="J497">
        <v>1.02</v>
      </c>
      <c r="K497" t="s">
        <v>12</v>
      </c>
      <c r="L497">
        <v>0</v>
      </c>
      <c r="M497">
        <v>3.21</v>
      </c>
      <c r="N497">
        <v>31</v>
      </c>
      <c r="O497" t="s">
        <v>22</v>
      </c>
      <c r="P497">
        <v>10</v>
      </c>
      <c r="Q497">
        <v>1</v>
      </c>
      <c r="R497">
        <v>26</v>
      </c>
      <c r="S497">
        <v>63.42</v>
      </c>
      <c r="T497">
        <v>34.020000000000003</v>
      </c>
      <c r="U497">
        <v>1</v>
      </c>
      <c r="V497">
        <v>0</v>
      </c>
      <c r="W497">
        <v>97.44</v>
      </c>
      <c r="X497">
        <v>43.5</v>
      </c>
      <c r="Y497">
        <v>106.54</v>
      </c>
      <c r="Z497">
        <v>2.4500000000000002</v>
      </c>
      <c r="AA497">
        <v>6.99</v>
      </c>
      <c r="AB497">
        <v>88</v>
      </c>
      <c r="AC497">
        <v>203.07692307692307</v>
      </c>
      <c r="AD497">
        <v>88</v>
      </c>
      <c r="AE497">
        <v>63.79</v>
      </c>
      <c r="AF497">
        <v>17.809999999999999</v>
      </c>
      <c r="AG497">
        <v>0</v>
      </c>
      <c r="AH497">
        <v>-12.35</v>
      </c>
      <c r="AI497">
        <v>18.649999999999999</v>
      </c>
      <c r="AJ497">
        <v>196.55</v>
      </c>
      <c r="AK497">
        <v>66.37</v>
      </c>
      <c r="AL497" t="s">
        <v>14</v>
      </c>
      <c r="AM497" t="s">
        <v>15</v>
      </c>
      <c r="AN497" t="str">
        <f t="shared" si="28"/>
        <v>Evening</v>
      </c>
      <c r="AO497" t="str">
        <f t="shared" si="29"/>
        <v>Off-Peak</v>
      </c>
      <c r="AP497" t="str">
        <f t="shared" si="30"/>
        <v>Medium</v>
      </c>
      <c r="AQ497" t="str">
        <f t="shared" si="31"/>
        <v>Low</v>
      </c>
    </row>
    <row r="498" spans="1:43" x14ac:dyDescent="0.3">
      <c r="A498">
        <v>497</v>
      </c>
      <c r="B498" t="s">
        <v>7</v>
      </c>
      <c r="C498" t="s">
        <v>8</v>
      </c>
      <c r="D498" s="1">
        <v>46193</v>
      </c>
      <c r="E498" t="s">
        <v>31</v>
      </c>
      <c r="F498">
        <v>1</v>
      </c>
      <c r="G498">
        <v>15</v>
      </c>
      <c r="H498" t="s">
        <v>32</v>
      </c>
      <c r="I498" t="s">
        <v>20</v>
      </c>
      <c r="J498">
        <v>1.25</v>
      </c>
      <c r="K498" t="s">
        <v>34</v>
      </c>
      <c r="L498">
        <v>1</v>
      </c>
      <c r="M498">
        <v>4.05</v>
      </c>
      <c r="N498">
        <v>59</v>
      </c>
      <c r="O498" t="s">
        <v>35</v>
      </c>
      <c r="P498">
        <v>32</v>
      </c>
      <c r="Q498">
        <v>3.23</v>
      </c>
      <c r="R498">
        <v>36.700000000000003</v>
      </c>
      <c r="S498">
        <v>76.02</v>
      </c>
      <c r="T498">
        <v>65.12</v>
      </c>
      <c r="U498">
        <v>1</v>
      </c>
      <c r="V498">
        <v>0</v>
      </c>
      <c r="W498">
        <v>141.13999999999999</v>
      </c>
      <c r="X498">
        <v>37.200000000000003</v>
      </c>
      <c r="Y498">
        <v>102.01</v>
      </c>
      <c r="Z498">
        <v>8.8699999999999992</v>
      </c>
      <c r="AA498">
        <v>8.2200000000000006</v>
      </c>
      <c r="AB498">
        <v>124.05</v>
      </c>
      <c r="AC498">
        <v>202.80653950953678</v>
      </c>
      <c r="AD498">
        <v>38.405572755417957</v>
      </c>
      <c r="AE498">
        <v>75.930000000000007</v>
      </c>
      <c r="AF498">
        <v>16.23</v>
      </c>
      <c r="AG498">
        <v>1</v>
      </c>
      <c r="AH498">
        <v>6.14</v>
      </c>
      <c r="AI498">
        <v>65.14</v>
      </c>
      <c r="AJ498">
        <v>209.53</v>
      </c>
      <c r="AK498">
        <v>75.17</v>
      </c>
      <c r="AL498" t="s">
        <v>14</v>
      </c>
      <c r="AM498" t="s">
        <v>15</v>
      </c>
      <c r="AN498" t="str">
        <f t="shared" si="28"/>
        <v>Evening</v>
      </c>
      <c r="AO498" t="str">
        <f t="shared" si="29"/>
        <v>Off-Peak</v>
      </c>
      <c r="AP498" t="str">
        <f t="shared" si="30"/>
        <v>Medium</v>
      </c>
      <c r="AQ498" t="str">
        <f t="shared" si="31"/>
        <v>Medium</v>
      </c>
    </row>
    <row r="499" spans="1:43" x14ac:dyDescent="0.3">
      <c r="A499">
        <v>498</v>
      </c>
      <c r="B499" t="s">
        <v>48</v>
      </c>
      <c r="C499" t="s">
        <v>30</v>
      </c>
      <c r="D499" s="1">
        <v>46184</v>
      </c>
      <c r="E499" t="s">
        <v>41</v>
      </c>
      <c r="F499">
        <v>0</v>
      </c>
      <c r="G499">
        <v>9</v>
      </c>
      <c r="H499" t="s">
        <v>47</v>
      </c>
      <c r="I499" t="s">
        <v>46</v>
      </c>
      <c r="J499">
        <v>1.1499999999999999</v>
      </c>
      <c r="K499" t="s">
        <v>12</v>
      </c>
      <c r="L499">
        <v>0</v>
      </c>
      <c r="M499">
        <v>4.38</v>
      </c>
      <c r="N499">
        <v>20</v>
      </c>
      <c r="O499" t="s">
        <v>22</v>
      </c>
      <c r="P499">
        <v>4</v>
      </c>
      <c r="Q499">
        <v>2.99</v>
      </c>
      <c r="R499">
        <v>31.5</v>
      </c>
      <c r="S499">
        <v>68.94</v>
      </c>
      <c r="T499">
        <v>22.77</v>
      </c>
      <c r="U499">
        <v>1</v>
      </c>
      <c r="V499">
        <v>0</v>
      </c>
      <c r="W499">
        <v>91.71</v>
      </c>
      <c r="X499">
        <v>47</v>
      </c>
      <c r="Y499">
        <v>106.1</v>
      </c>
      <c r="Z499">
        <v>6.76</v>
      </c>
      <c r="AA499">
        <v>6.34</v>
      </c>
      <c r="AB499">
        <v>78.61</v>
      </c>
      <c r="AC499">
        <v>149.73333333333332</v>
      </c>
      <c r="AD499">
        <v>26.290969899665551</v>
      </c>
      <c r="AE499">
        <v>69.03</v>
      </c>
      <c r="AF499">
        <v>14.96</v>
      </c>
      <c r="AG499">
        <v>0</v>
      </c>
      <c r="AH499">
        <v>2.17</v>
      </c>
      <c r="AI499">
        <v>22.17</v>
      </c>
      <c r="AJ499">
        <v>151.49</v>
      </c>
      <c r="AK499">
        <v>73.959999999999994</v>
      </c>
      <c r="AL499" t="s">
        <v>23</v>
      </c>
      <c r="AM499" t="s">
        <v>24</v>
      </c>
      <c r="AN499" t="str">
        <f t="shared" si="28"/>
        <v>Morning</v>
      </c>
      <c r="AO499" t="str">
        <f t="shared" si="29"/>
        <v>Peak</v>
      </c>
      <c r="AP499" t="str">
        <f t="shared" si="30"/>
        <v>Low</v>
      </c>
      <c r="AQ499" t="str">
        <f t="shared" si="31"/>
        <v>Low</v>
      </c>
    </row>
    <row r="500" spans="1:43" x14ac:dyDescent="0.3">
      <c r="A500">
        <v>499</v>
      </c>
      <c r="B500" t="s">
        <v>23</v>
      </c>
      <c r="C500" t="s">
        <v>17</v>
      </c>
      <c r="D500" s="1">
        <v>46228</v>
      </c>
      <c r="E500" t="s">
        <v>31</v>
      </c>
      <c r="F500">
        <v>1</v>
      </c>
      <c r="G500">
        <v>19</v>
      </c>
      <c r="H500" t="s">
        <v>40</v>
      </c>
      <c r="I500" t="s">
        <v>50</v>
      </c>
      <c r="J500">
        <v>1.2</v>
      </c>
      <c r="K500" t="s">
        <v>21</v>
      </c>
      <c r="L500">
        <v>0</v>
      </c>
      <c r="M500">
        <v>4.24</v>
      </c>
      <c r="N500">
        <v>98</v>
      </c>
      <c r="O500" t="s">
        <v>13</v>
      </c>
      <c r="P500">
        <v>15</v>
      </c>
      <c r="Q500">
        <v>9.61</v>
      </c>
      <c r="R500">
        <v>70.8</v>
      </c>
      <c r="S500">
        <v>169</v>
      </c>
      <c r="T500">
        <v>100</v>
      </c>
      <c r="U500">
        <v>1.3</v>
      </c>
      <c r="V500">
        <v>50.7</v>
      </c>
      <c r="W500">
        <v>319.7</v>
      </c>
      <c r="X500">
        <v>42.4</v>
      </c>
      <c r="Y500">
        <v>101.41</v>
      </c>
      <c r="Z500">
        <v>23</v>
      </c>
      <c r="AA500">
        <v>10.67</v>
      </c>
      <c r="AB500">
        <v>286.02999999999997</v>
      </c>
      <c r="AC500">
        <v>242.39830508474574</v>
      </c>
      <c r="AD500">
        <v>29.76378772112383</v>
      </c>
      <c r="AE500">
        <v>80.930000000000007</v>
      </c>
      <c r="AF500">
        <v>16.64</v>
      </c>
      <c r="AG500">
        <v>1</v>
      </c>
      <c r="AH500">
        <v>-8.41</v>
      </c>
      <c r="AI500">
        <v>89.59</v>
      </c>
      <c r="AJ500">
        <v>251.36</v>
      </c>
      <c r="AK500">
        <v>85.4</v>
      </c>
      <c r="AL500" t="s">
        <v>23</v>
      </c>
      <c r="AM500" t="s">
        <v>24</v>
      </c>
      <c r="AN500" t="str">
        <f t="shared" si="28"/>
        <v>Night</v>
      </c>
      <c r="AO500" t="str">
        <f t="shared" si="29"/>
        <v>Peak</v>
      </c>
      <c r="AP500" t="str">
        <f t="shared" si="30"/>
        <v>Medium</v>
      </c>
      <c r="AQ500" t="str">
        <f t="shared" si="31"/>
        <v>High</v>
      </c>
    </row>
    <row r="501" spans="1:43" x14ac:dyDescent="0.3">
      <c r="A501">
        <v>500</v>
      </c>
      <c r="B501" t="s">
        <v>48</v>
      </c>
      <c r="C501" t="s">
        <v>30</v>
      </c>
      <c r="D501" s="1">
        <v>46075</v>
      </c>
      <c r="E501" t="s">
        <v>26</v>
      </c>
      <c r="F501">
        <v>1</v>
      </c>
      <c r="G501">
        <v>12</v>
      </c>
      <c r="H501" t="s">
        <v>43</v>
      </c>
      <c r="I501" t="s">
        <v>28</v>
      </c>
      <c r="J501">
        <v>1.03</v>
      </c>
      <c r="K501" t="s">
        <v>12</v>
      </c>
      <c r="L501">
        <v>0</v>
      </c>
      <c r="M501">
        <v>2.91</v>
      </c>
      <c r="N501">
        <v>34</v>
      </c>
      <c r="O501" t="s">
        <v>22</v>
      </c>
      <c r="P501">
        <v>8</v>
      </c>
      <c r="Q501">
        <v>3.33</v>
      </c>
      <c r="R501">
        <v>24.7</v>
      </c>
      <c r="S501">
        <v>86.99</v>
      </c>
      <c r="T501">
        <v>36.68</v>
      </c>
      <c r="U501">
        <v>1</v>
      </c>
      <c r="V501">
        <v>0</v>
      </c>
      <c r="W501">
        <v>123.67</v>
      </c>
      <c r="X501">
        <v>43.5</v>
      </c>
      <c r="Y501">
        <v>104.97</v>
      </c>
      <c r="Z501">
        <v>8.0399999999999991</v>
      </c>
      <c r="AA501">
        <v>6.03</v>
      </c>
      <c r="AB501">
        <v>109.6</v>
      </c>
      <c r="AC501">
        <v>266.23481781376518</v>
      </c>
      <c r="AD501">
        <v>32.912912912912908</v>
      </c>
      <c r="AE501">
        <v>77.45</v>
      </c>
      <c r="AF501">
        <v>14.36</v>
      </c>
      <c r="AG501">
        <v>1</v>
      </c>
      <c r="AH501">
        <v>-1.4</v>
      </c>
      <c r="AI501">
        <v>32.6</v>
      </c>
      <c r="AJ501">
        <v>269.26</v>
      </c>
      <c r="AK501">
        <v>73.69</v>
      </c>
      <c r="AL501" t="s">
        <v>14</v>
      </c>
      <c r="AM501" t="s">
        <v>15</v>
      </c>
      <c r="AN501" t="str">
        <f t="shared" si="28"/>
        <v>Afternoon</v>
      </c>
      <c r="AO501" t="str">
        <f t="shared" si="29"/>
        <v>Off-Peak</v>
      </c>
      <c r="AP501" t="str">
        <f t="shared" si="30"/>
        <v>High</v>
      </c>
      <c r="AQ501" t="str">
        <f t="shared" si="31"/>
        <v>Low</v>
      </c>
    </row>
    <row r="502" spans="1:43" x14ac:dyDescent="0.3">
      <c r="A502">
        <v>501</v>
      </c>
      <c r="B502" t="s">
        <v>7</v>
      </c>
      <c r="C502" t="s">
        <v>8</v>
      </c>
      <c r="D502" s="1">
        <v>46153</v>
      </c>
      <c r="E502" t="s">
        <v>38</v>
      </c>
      <c r="F502">
        <v>0</v>
      </c>
      <c r="G502">
        <v>8</v>
      </c>
      <c r="H502" t="s">
        <v>49</v>
      </c>
      <c r="I502" t="s">
        <v>42</v>
      </c>
      <c r="J502">
        <v>1.08</v>
      </c>
      <c r="K502" t="s">
        <v>12</v>
      </c>
      <c r="L502">
        <v>0</v>
      </c>
      <c r="M502">
        <v>4.21</v>
      </c>
      <c r="N502">
        <v>14</v>
      </c>
      <c r="O502" t="s">
        <v>22</v>
      </c>
      <c r="P502">
        <v>5</v>
      </c>
      <c r="Q502">
        <v>3.8</v>
      </c>
      <c r="R502">
        <v>36.700000000000003</v>
      </c>
      <c r="S502">
        <v>85.22</v>
      </c>
      <c r="T502">
        <v>15.78</v>
      </c>
      <c r="U502">
        <v>1</v>
      </c>
      <c r="V502">
        <v>0</v>
      </c>
      <c r="W502">
        <v>101</v>
      </c>
      <c r="X502">
        <v>47.6</v>
      </c>
      <c r="Y502">
        <v>105.83</v>
      </c>
      <c r="Z502">
        <v>8.44</v>
      </c>
      <c r="AA502">
        <v>11.43</v>
      </c>
      <c r="AB502">
        <v>81.13</v>
      </c>
      <c r="AC502">
        <v>132.63760217983651</v>
      </c>
      <c r="AD502">
        <v>21.35</v>
      </c>
      <c r="AE502">
        <v>65.47</v>
      </c>
      <c r="AF502">
        <v>15.01</v>
      </c>
      <c r="AG502">
        <v>0</v>
      </c>
      <c r="AH502">
        <v>-20.58</v>
      </c>
      <c r="AI502">
        <v>5</v>
      </c>
      <c r="AJ502">
        <v>116.88</v>
      </c>
      <c r="AK502">
        <v>62.34</v>
      </c>
      <c r="AL502" t="s">
        <v>14</v>
      </c>
      <c r="AM502" t="s">
        <v>15</v>
      </c>
      <c r="AN502" t="str">
        <f t="shared" si="28"/>
        <v>Morning</v>
      </c>
      <c r="AO502" t="str">
        <f t="shared" si="29"/>
        <v>Peak</v>
      </c>
      <c r="AP502" t="str">
        <f t="shared" si="30"/>
        <v>Low</v>
      </c>
      <c r="AQ502" t="str">
        <f t="shared" si="31"/>
        <v>Low</v>
      </c>
    </row>
    <row r="503" spans="1:43" x14ac:dyDescent="0.3">
      <c r="A503">
        <v>502</v>
      </c>
      <c r="B503" t="s">
        <v>25</v>
      </c>
      <c r="C503" t="s">
        <v>17</v>
      </c>
      <c r="D503" s="1">
        <v>46229</v>
      </c>
      <c r="E503" t="s">
        <v>26</v>
      </c>
      <c r="F503">
        <v>1</v>
      </c>
      <c r="G503">
        <v>22</v>
      </c>
      <c r="H503" t="s">
        <v>19</v>
      </c>
      <c r="I503" t="s">
        <v>46</v>
      </c>
      <c r="J503">
        <v>1.1499999999999999</v>
      </c>
      <c r="K503" t="s">
        <v>34</v>
      </c>
      <c r="L503">
        <v>1</v>
      </c>
      <c r="M503">
        <v>4.2699999999999996</v>
      </c>
      <c r="N503">
        <v>78</v>
      </c>
      <c r="O503" t="s">
        <v>13</v>
      </c>
      <c r="P503">
        <v>15</v>
      </c>
      <c r="Q503">
        <v>1.1299999999999999</v>
      </c>
      <c r="R503">
        <v>27.3</v>
      </c>
      <c r="S503">
        <v>79.489999999999995</v>
      </c>
      <c r="T503">
        <v>95.04</v>
      </c>
      <c r="U503">
        <v>1.1200000000000001</v>
      </c>
      <c r="V503">
        <v>9.5399999999999991</v>
      </c>
      <c r="W503">
        <v>184.07</v>
      </c>
      <c r="X503">
        <v>37.799999999999997</v>
      </c>
      <c r="Y503">
        <v>106.36</v>
      </c>
      <c r="Z503">
        <v>3.17</v>
      </c>
      <c r="AA503">
        <v>10.77</v>
      </c>
      <c r="AB503">
        <v>170.13</v>
      </c>
      <c r="AC503">
        <v>373.91208791208788</v>
      </c>
      <c r="AD503">
        <v>150.55752212389382</v>
      </c>
      <c r="AE503">
        <v>78</v>
      </c>
      <c r="AF503">
        <v>10.67</v>
      </c>
      <c r="AG503">
        <v>1</v>
      </c>
      <c r="AH503">
        <v>4.6399999999999997</v>
      </c>
      <c r="AI503">
        <v>82.64</v>
      </c>
      <c r="AJ503">
        <v>380.66</v>
      </c>
      <c r="AK503">
        <v>73.41</v>
      </c>
      <c r="AL503" t="s">
        <v>23</v>
      </c>
      <c r="AM503" t="s">
        <v>24</v>
      </c>
      <c r="AN503" t="str">
        <f t="shared" si="28"/>
        <v>Night</v>
      </c>
      <c r="AO503" t="str">
        <f t="shared" si="29"/>
        <v>Off-Peak</v>
      </c>
      <c r="AP503" t="str">
        <f t="shared" si="30"/>
        <v>High</v>
      </c>
      <c r="AQ503" t="str">
        <f t="shared" si="31"/>
        <v>High</v>
      </c>
    </row>
    <row r="504" spans="1:43" x14ac:dyDescent="0.3">
      <c r="A504">
        <v>503</v>
      </c>
      <c r="B504" t="s">
        <v>23</v>
      </c>
      <c r="C504" t="s">
        <v>17</v>
      </c>
      <c r="D504" s="1">
        <v>46245</v>
      </c>
      <c r="E504" t="s">
        <v>44</v>
      </c>
      <c r="F504">
        <v>0</v>
      </c>
      <c r="G504">
        <v>10</v>
      </c>
      <c r="H504" t="s">
        <v>19</v>
      </c>
      <c r="I504" t="s">
        <v>37</v>
      </c>
      <c r="J504">
        <v>1.02</v>
      </c>
      <c r="K504" t="s">
        <v>12</v>
      </c>
      <c r="L504">
        <v>0</v>
      </c>
      <c r="M504">
        <v>2.74</v>
      </c>
      <c r="N504">
        <v>33</v>
      </c>
      <c r="O504" t="s">
        <v>22</v>
      </c>
      <c r="P504">
        <v>5</v>
      </c>
      <c r="Q504">
        <v>2.0699999999999998</v>
      </c>
      <c r="R504">
        <v>32.299999999999997</v>
      </c>
      <c r="S504">
        <v>85.19</v>
      </c>
      <c r="T504">
        <v>27.66</v>
      </c>
      <c r="U504">
        <v>1.08</v>
      </c>
      <c r="V504">
        <v>6.82</v>
      </c>
      <c r="W504">
        <v>119.67</v>
      </c>
      <c r="X504">
        <v>37.6</v>
      </c>
      <c r="Y504">
        <v>101.45</v>
      </c>
      <c r="Z504">
        <v>5.57</v>
      </c>
      <c r="AA504">
        <v>6.21</v>
      </c>
      <c r="AB504">
        <v>107.89</v>
      </c>
      <c r="AC504">
        <v>200.41486068111456</v>
      </c>
      <c r="AD504">
        <v>52.120772946859908</v>
      </c>
      <c r="AE504">
        <v>85.79</v>
      </c>
      <c r="AF504">
        <v>16.77</v>
      </c>
      <c r="AG504">
        <v>0</v>
      </c>
      <c r="AH504">
        <v>-17.47</v>
      </c>
      <c r="AI504">
        <v>15.53</v>
      </c>
      <c r="AJ504">
        <v>174.18</v>
      </c>
      <c r="AK504">
        <v>72.31</v>
      </c>
      <c r="AL504" t="s">
        <v>23</v>
      </c>
      <c r="AM504" t="s">
        <v>24</v>
      </c>
      <c r="AN504" t="str">
        <f t="shared" si="28"/>
        <v>Morning</v>
      </c>
      <c r="AO504" t="str">
        <f t="shared" si="29"/>
        <v>Peak</v>
      </c>
      <c r="AP504" t="str">
        <f t="shared" si="30"/>
        <v>Medium</v>
      </c>
      <c r="AQ504" t="str">
        <f t="shared" si="31"/>
        <v>Low</v>
      </c>
    </row>
    <row r="505" spans="1:43" x14ac:dyDescent="0.3">
      <c r="A505">
        <v>504</v>
      </c>
      <c r="B505" t="s">
        <v>23</v>
      </c>
      <c r="C505" t="s">
        <v>17</v>
      </c>
      <c r="D505" s="1">
        <v>46182</v>
      </c>
      <c r="E505" t="s">
        <v>44</v>
      </c>
      <c r="F505">
        <v>0</v>
      </c>
      <c r="G505">
        <v>7</v>
      </c>
      <c r="H505" t="s">
        <v>27</v>
      </c>
      <c r="I505" t="s">
        <v>46</v>
      </c>
      <c r="J505">
        <v>1.1499999999999999</v>
      </c>
      <c r="K505" t="s">
        <v>34</v>
      </c>
      <c r="L505">
        <v>1</v>
      </c>
      <c r="M505">
        <v>4.5999999999999996</v>
      </c>
      <c r="N505">
        <v>96</v>
      </c>
      <c r="O505" t="s">
        <v>13</v>
      </c>
      <c r="P505">
        <v>22</v>
      </c>
      <c r="Q505">
        <v>1.06</v>
      </c>
      <c r="R505">
        <v>37.700000000000003</v>
      </c>
      <c r="S505">
        <v>84.96</v>
      </c>
      <c r="T505">
        <v>93.1</v>
      </c>
      <c r="U505">
        <v>1.39</v>
      </c>
      <c r="V505">
        <v>33.130000000000003</v>
      </c>
      <c r="W505">
        <v>211.19</v>
      </c>
      <c r="X505">
        <v>41.3</v>
      </c>
      <c r="Y505">
        <v>100.96</v>
      </c>
      <c r="Z505">
        <v>2.59</v>
      </c>
      <c r="AA505">
        <v>5.66</v>
      </c>
      <c r="AB505">
        <v>202.94</v>
      </c>
      <c r="AC505">
        <v>322.98143236074264</v>
      </c>
      <c r="AD505">
        <v>191.45283018867923</v>
      </c>
      <c r="AE505">
        <v>69.180000000000007</v>
      </c>
      <c r="AF505">
        <v>13.83</v>
      </c>
      <c r="AG505">
        <v>1</v>
      </c>
      <c r="AH505">
        <v>19.09</v>
      </c>
      <c r="AI505">
        <v>115.09</v>
      </c>
      <c r="AJ505">
        <v>344.91</v>
      </c>
      <c r="AK505">
        <v>76.75</v>
      </c>
      <c r="AL505" t="s">
        <v>23</v>
      </c>
      <c r="AM505" t="s">
        <v>24</v>
      </c>
      <c r="AN505" t="str">
        <f t="shared" si="28"/>
        <v>Morning</v>
      </c>
      <c r="AO505" t="str">
        <f t="shared" si="29"/>
        <v>Peak</v>
      </c>
      <c r="AP505" t="str">
        <f t="shared" si="30"/>
        <v>High</v>
      </c>
      <c r="AQ505" t="str">
        <f t="shared" si="31"/>
        <v>High</v>
      </c>
    </row>
    <row r="506" spans="1:43" x14ac:dyDescent="0.3">
      <c r="A506">
        <v>505</v>
      </c>
      <c r="B506" t="s">
        <v>14</v>
      </c>
      <c r="C506" t="s">
        <v>8</v>
      </c>
      <c r="D506" s="1">
        <v>46191</v>
      </c>
      <c r="E506" t="s">
        <v>41</v>
      </c>
      <c r="F506">
        <v>0</v>
      </c>
      <c r="G506">
        <v>8</v>
      </c>
      <c r="H506" t="s">
        <v>49</v>
      </c>
      <c r="I506" t="s">
        <v>28</v>
      </c>
      <c r="J506">
        <v>1.03</v>
      </c>
      <c r="K506" t="s">
        <v>12</v>
      </c>
      <c r="L506">
        <v>0</v>
      </c>
      <c r="M506">
        <v>3.16</v>
      </c>
      <c r="N506">
        <v>34</v>
      </c>
      <c r="O506" t="s">
        <v>22</v>
      </c>
      <c r="P506">
        <v>11</v>
      </c>
      <c r="Q506">
        <v>4.2300000000000004</v>
      </c>
      <c r="R506">
        <v>45.2</v>
      </c>
      <c r="S506">
        <v>81.760000000000005</v>
      </c>
      <c r="T506">
        <v>34.979999999999997</v>
      </c>
      <c r="U506">
        <v>1</v>
      </c>
      <c r="V506">
        <v>0</v>
      </c>
      <c r="W506">
        <v>116.74</v>
      </c>
      <c r="X506">
        <v>46.8</v>
      </c>
      <c r="Y506">
        <v>102.59</v>
      </c>
      <c r="Z506">
        <v>9.2799999999999994</v>
      </c>
      <c r="AA506">
        <v>8.77</v>
      </c>
      <c r="AB506">
        <v>98.69</v>
      </c>
      <c r="AC506">
        <v>131.00442477876103</v>
      </c>
      <c r="AD506">
        <v>23.330969267139476</v>
      </c>
      <c r="AE506">
        <v>67.89</v>
      </c>
      <c r="AF506">
        <v>13.06</v>
      </c>
      <c r="AG506">
        <v>0</v>
      </c>
      <c r="AH506">
        <v>1.62</v>
      </c>
      <c r="AI506">
        <v>35.619999999999997</v>
      </c>
      <c r="AJ506">
        <v>114.48</v>
      </c>
      <c r="AK506">
        <v>73</v>
      </c>
      <c r="AL506" t="s">
        <v>14</v>
      </c>
      <c r="AM506" t="s">
        <v>15</v>
      </c>
      <c r="AN506" t="str">
        <f t="shared" si="28"/>
        <v>Morning</v>
      </c>
      <c r="AO506" t="str">
        <f t="shared" si="29"/>
        <v>Peak</v>
      </c>
      <c r="AP506" t="str">
        <f t="shared" si="30"/>
        <v>Low</v>
      </c>
      <c r="AQ506" t="str">
        <f t="shared" si="31"/>
        <v>Low</v>
      </c>
    </row>
    <row r="507" spans="1:43" x14ac:dyDescent="0.3">
      <c r="A507">
        <v>506</v>
      </c>
      <c r="B507" t="s">
        <v>29</v>
      </c>
      <c r="C507" t="s">
        <v>30</v>
      </c>
      <c r="D507" s="1">
        <v>46245</v>
      </c>
      <c r="E507" t="s">
        <v>44</v>
      </c>
      <c r="F507">
        <v>0</v>
      </c>
      <c r="G507">
        <v>14</v>
      </c>
      <c r="H507" t="s">
        <v>43</v>
      </c>
      <c r="I507" t="s">
        <v>11</v>
      </c>
      <c r="J507">
        <v>1.18</v>
      </c>
      <c r="K507" t="s">
        <v>21</v>
      </c>
      <c r="L507">
        <v>0</v>
      </c>
      <c r="M507">
        <v>3.29</v>
      </c>
      <c r="N507">
        <v>5</v>
      </c>
      <c r="O507" t="s">
        <v>22</v>
      </c>
      <c r="P507">
        <v>2</v>
      </c>
      <c r="Q507">
        <v>9.81</v>
      </c>
      <c r="R507">
        <v>64.5</v>
      </c>
      <c r="S507">
        <v>123.14</v>
      </c>
      <c r="T507">
        <v>0</v>
      </c>
      <c r="U507">
        <v>1</v>
      </c>
      <c r="V507">
        <v>0</v>
      </c>
      <c r="W507">
        <v>123.14</v>
      </c>
      <c r="X507">
        <v>35.9</v>
      </c>
      <c r="Y507">
        <v>106.07</v>
      </c>
      <c r="Z507">
        <v>28.99</v>
      </c>
      <c r="AA507">
        <v>9.5500000000000007</v>
      </c>
      <c r="AB507">
        <v>84.6</v>
      </c>
      <c r="AC507">
        <v>78.697674418604649</v>
      </c>
      <c r="AD507">
        <v>8.6238532110091732</v>
      </c>
      <c r="AE507">
        <v>79.290000000000006</v>
      </c>
      <c r="AF507">
        <v>18.04</v>
      </c>
      <c r="AG507">
        <v>0</v>
      </c>
      <c r="AH507">
        <v>-5.58</v>
      </c>
      <c r="AI507">
        <v>5</v>
      </c>
      <c r="AJ507">
        <v>96.33</v>
      </c>
      <c r="AK507">
        <v>66.86</v>
      </c>
      <c r="AL507" t="s">
        <v>14</v>
      </c>
      <c r="AM507" t="s">
        <v>15</v>
      </c>
      <c r="AN507" t="str">
        <f t="shared" si="28"/>
        <v>Afternoon</v>
      </c>
      <c r="AO507" t="str">
        <f t="shared" si="29"/>
        <v>Off-Peak</v>
      </c>
      <c r="AP507" t="str">
        <f t="shared" si="30"/>
        <v>Low</v>
      </c>
      <c r="AQ507" t="str">
        <f t="shared" si="31"/>
        <v>Low</v>
      </c>
    </row>
    <row r="508" spans="1:43" x14ac:dyDescent="0.3">
      <c r="A508">
        <v>507</v>
      </c>
      <c r="B508" t="s">
        <v>29</v>
      </c>
      <c r="C508" t="s">
        <v>30</v>
      </c>
      <c r="D508" s="1">
        <v>46184</v>
      </c>
      <c r="E508" t="s">
        <v>41</v>
      </c>
      <c r="F508">
        <v>0</v>
      </c>
      <c r="G508">
        <v>8</v>
      </c>
      <c r="H508" t="s">
        <v>47</v>
      </c>
      <c r="I508" t="s">
        <v>28</v>
      </c>
      <c r="J508">
        <v>1.03</v>
      </c>
      <c r="K508" t="s">
        <v>34</v>
      </c>
      <c r="L508">
        <v>1</v>
      </c>
      <c r="M508">
        <v>2.41</v>
      </c>
      <c r="N508">
        <v>57</v>
      </c>
      <c r="O508" t="s">
        <v>35</v>
      </c>
      <c r="P508">
        <v>19</v>
      </c>
      <c r="Q508">
        <v>2.13</v>
      </c>
      <c r="R508">
        <v>15.1</v>
      </c>
      <c r="S508">
        <v>58.28</v>
      </c>
      <c r="T508">
        <v>39.07</v>
      </c>
      <c r="U508">
        <v>1</v>
      </c>
      <c r="V508">
        <v>0</v>
      </c>
      <c r="W508">
        <v>97.35</v>
      </c>
      <c r="X508">
        <v>46.9</v>
      </c>
      <c r="Y508">
        <v>109.32</v>
      </c>
      <c r="Z508">
        <v>4.96</v>
      </c>
      <c r="AA508">
        <v>3.86</v>
      </c>
      <c r="AB508">
        <v>88.53</v>
      </c>
      <c r="AC508">
        <v>351.7748344370861</v>
      </c>
      <c r="AD508">
        <v>41.563380281690144</v>
      </c>
      <c r="AE508">
        <v>77.180000000000007</v>
      </c>
      <c r="AF508">
        <v>15.24</v>
      </c>
      <c r="AG508">
        <v>0</v>
      </c>
      <c r="AH508">
        <v>20.41</v>
      </c>
      <c r="AI508">
        <v>77.41</v>
      </c>
      <c r="AJ508">
        <v>320.22000000000003</v>
      </c>
      <c r="AK508">
        <v>69.83</v>
      </c>
      <c r="AL508" t="s">
        <v>23</v>
      </c>
      <c r="AM508" t="s">
        <v>24</v>
      </c>
      <c r="AN508" t="str">
        <f t="shared" si="28"/>
        <v>Morning</v>
      </c>
      <c r="AO508" t="str">
        <f t="shared" si="29"/>
        <v>Peak</v>
      </c>
      <c r="AP508" t="str">
        <f t="shared" si="30"/>
        <v>High</v>
      </c>
      <c r="AQ508" t="str">
        <f t="shared" si="31"/>
        <v>Medium</v>
      </c>
    </row>
    <row r="509" spans="1:43" x14ac:dyDescent="0.3">
      <c r="A509">
        <v>508</v>
      </c>
      <c r="B509" t="s">
        <v>14</v>
      </c>
      <c r="C509" t="s">
        <v>8</v>
      </c>
      <c r="D509" s="1">
        <v>46267</v>
      </c>
      <c r="E509" t="s">
        <v>18</v>
      </c>
      <c r="F509">
        <v>0</v>
      </c>
      <c r="G509">
        <v>20</v>
      </c>
      <c r="H509" t="s">
        <v>51</v>
      </c>
      <c r="I509" t="s">
        <v>28</v>
      </c>
      <c r="J509">
        <v>1.03</v>
      </c>
      <c r="K509" t="s">
        <v>12</v>
      </c>
      <c r="L509">
        <v>0</v>
      </c>
      <c r="M509">
        <v>2.87</v>
      </c>
      <c r="N509">
        <v>72</v>
      </c>
      <c r="O509" t="s">
        <v>13</v>
      </c>
      <c r="P509">
        <v>31</v>
      </c>
      <c r="Q509">
        <v>3.35</v>
      </c>
      <c r="R509">
        <v>36.5</v>
      </c>
      <c r="S509">
        <v>89.09</v>
      </c>
      <c r="T509">
        <v>78.36</v>
      </c>
      <c r="U509">
        <v>1</v>
      </c>
      <c r="V509">
        <v>0</v>
      </c>
      <c r="W509">
        <v>167.45</v>
      </c>
      <c r="X509">
        <v>42.5</v>
      </c>
      <c r="Y509">
        <v>107.79</v>
      </c>
      <c r="Z509">
        <v>8.5</v>
      </c>
      <c r="AA509">
        <v>4.41</v>
      </c>
      <c r="AB509">
        <v>154.54</v>
      </c>
      <c r="AC509">
        <v>254.03835616438357</v>
      </c>
      <c r="AD509">
        <v>46.131343283582083</v>
      </c>
      <c r="AE509">
        <v>78.97</v>
      </c>
      <c r="AF509">
        <v>12.2</v>
      </c>
      <c r="AG509">
        <v>1</v>
      </c>
      <c r="AH509">
        <v>-12.48</v>
      </c>
      <c r="AI509">
        <v>59.52</v>
      </c>
      <c r="AJ509">
        <v>287.19</v>
      </c>
      <c r="AK509">
        <v>76.900000000000006</v>
      </c>
      <c r="AL509" t="s">
        <v>14</v>
      </c>
      <c r="AM509" t="s">
        <v>15</v>
      </c>
      <c r="AN509" t="str">
        <f t="shared" si="28"/>
        <v>Night</v>
      </c>
      <c r="AO509" t="str">
        <f t="shared" si="29"/>
        <v>Peak</v>
      </c>
      <c r="AP509" t="str">
        <f t="shared" si="30"/>
        <v>High</v>
      </c>
      <c r="AQ509" t="str">
        <f t="shared" si="31"/>
        <v>High</v>
      </c>
    </row>
    <row r="510" spans="1:43" x14ac:dyDescent="0.3">
      <c r="A510">
        <v>509</v>
      </c>
      <c r="B510" t="s">
        <v>14</v>
      </c>
      <c r="C510" t="s">
        <v>8</v>
      </c>
      <c r="D510" s="1">
        <v>46055</v>
      </c>
      <c r="E510" t="s">
        <v>38</v>
      </c>
      <c r="F510">
        <v>0</v>
      </c>
      <c r="G510">
        <v>15</v>
      </c>
      <c r="H510" t="s">
        <v>32</v>
      </c>
      <c r="I510" t="s">
        <v>42</v>
      </c>
      <c r="J510">
        <v>1.08</v>
      </c>
      <c r="K510" t="s">
        <v>34</v>
      </c>
      <c r="L510">
        <v>1</v>
      </c>
      <c r="M510">
        <v>2.79</v>
      </c>
      <c r="N510">
        <v>54</v>
      </c>
      <c r="O510" t="s">
        <v>35</v>
      </c>
      <c r="P510">
        <v>19</v>
      </c>
      <c r="Q510">
        <v>1.93</v>
      </c>
      <c r="R510">
        <v>35.200000000000003</v>
      </c>
      <c r="S510">
        <v>77.81</v>
      </c>
      <c r="T510">
        <v>68.09</v>
      </c>
      <c r="U510">
        <v>1</v>
      </c>
      <c r="V510">
        <v>0</v>
      </c>
      <c r="W510">
        <v>145.9</v>
      </c>
      <c r="X510">
        <v>43.4</v>
      </c>
      <c r="Y510">
        <v>107.46</v>
      </c>
      <c r="Z510">
        <v>4.7699999999999996</v>
      </c>
      <c r="AA510">
        <v>3.46</v>
      </c>
      <c r="AB510">
        <v>137.66999999999999</v>
      </c>
      <c r="AC510">
        <v>234.66477272727269</v>
      </c>
      <c r="AD510">
        <v>71.331606217616581</v>
      </c>
      <c r="AE510">
        <v>84.5</v>
      </c>
      <c r="AF510">
        <v>16.12</v>
      </c>
      <c r="AG510">
        <v>0</v>
      </c>
      <c r="AH510">
        <v>-8.2200000000000006</v>
      </c>
      <c r="AI510">
        <v>45.78</v>
      </c>
      <c r="AJ510">
        <v>215.13</v>
      </c>
      <c r="AK510">
        <v>76.39</v>
      </c>
      <c r="AL510" t="s">
        <v>14</v>
      </c>
      <c r="AM510" t="s">
        <v>15</v>
      </c>
      <c r="AN510" t="str">
        <f t="shared" si="28"/>
        <v>Evening</v>
      </c>
      <c r="AO510" t="str">
        <f t="shared" si="29"/>
        <v>Off-Peak</v>
      </c>
      <c r="AP510" t="str">
        <f t="shared" si="30"/>
        <v>Medium</v>
      </c>
      <c r="AQ510" t="str">
        <f t="shared" si="31"/>
        <v>Medium</v>
      </c>
    </row>
    <row r="511" spans="1:43" x14ac:dyDescent="0.3">
      <c r="A511">
        <v>510</v>
      </c>
      <c r="B511" t="s">
        <v>14</v>
      </c>
      <c r="C511" t="s">
        <v>8</v>
      </c>
      <c r="D511" s="1">
        <v>46112</v>
      </c>
      <c r="E511" t="s">
        <v>44</v>
      </c>
      <c r="F511">
        <v>0</v>
      </c>
      <c r="G511">
        <v>12</v>
      </c>
      <c r="H511" t="s">
        <v>10</v>
      </c>
      <c r="I511" t="s">
        <v>42</v>
      </c>
      <c r="J511">
        <v>1.08</v>
      </c>
      <c r="K511" t="s">
        <v>12</v>
      </c>
      <c r="L511">
        <v>0</v>
      </c>
      <c r="M511">
        <v>3.33</v>
      </c>
      <c r="N511">
        <v>73</v>
      </c>
      <c r="O511" t="s">
        <v>13</v>
      </c>
      <c r="P511">
        <v>22</v>
      </c>
      <c r="Q511">
        <v>2.4700000000000002</v>
      </c>
      <c r="R511">
        <v>38.6</v>
      </c>
      <c r="S511">
        <v>63.26</v>
      </c>
      <c r="T511">
        <v>82.31</v>
      </c>
      <c r="U511">
        <v>1</v>
      </c>
      <c r="V511">
        <v>0</v>
      </c>
      <c r="W511">
        <v>145.57</v>
      </c>
      <c r="X511">
        <v>43.5</v>
      </c>
      <c r="Y511">
        <v>103.3</v>
      </c>
      <c r="Z511">
        <v>5.86</v>
      </c>
      <c r="AA511">
        <v>9.61</v>
      </c>
      <c r="AB511">
        <v>130.1</v>
      </c>
      <c r="AC511">
        <v>202.22797927461139</v>
      </c>
      <c r="AD511">
        <v>52.672064777327925</v>
      </c>
      <c r="AE511">
        <v>71.489999999999995</v>
      </c>
      <c r="AF511">
        <v>18.55</v>
      </c>
      <c r="AG511">
        <v>1</v>
      </c>
      <c r="AH511">
        <v>-24.44</v>
      </c>
      <c r="AI511">
        <v>48.56</v>
      </c>
      <c r="AJ511">
        <v>192.33</v>
      </c>
      <c r="AK511">
        <v>75.62</v>
      </c>
      <c r="AL511" t="s">
        <v>14</v>
      </c>
      <c r="AM511" t="s">
        <v>15</v>
      </c>
      <c r="AN511" t="str">
        <f t="shared" si="28"/>
        <v>Afternoon</v>
      </c>
      <c r="AO511" t="str">
        <f t="shared" si="29"/>
        <v>Off-Peak</v>
      </c>
      <c r="AP511" t="str">
        <f t="shared" si="30"/>
        <v>Medium</v>
      </c>
      <c r="AQ511" t="str">
        <f t="shared" si="31"/>
        <v>High</v>
      </c>
    </row>
    <row r="512" spans="1:43" x14ac:dyDescent="0.3">
      <c r="A512">
        <v>511</v>
      </c>
      <c r="B512" t="s">
        <v>23</v>
      </c>
      <c r="C512" t="s">
        <v>17</v>
      </c>
      <c r="D512" s="1">
        <v>46051</v>
      </c>
      <c r="E512" t="s">
        <v>41</v>
      </c>
      <c r="F512">
        <v>0</v>
      </c>
      <c r="G512">
        <v>7</v>
      </c>
      <c r="H512" t="s">
        <v>27</v>
      </c>
      <c r="I512" t="s">
        <v>50</v>
      </c>
      <c r="J512">
        <v>1.2</v>
      </c>
      <c r="K512" t="s">
        <v>21</v>
      </c>
      <c r="L512">
        <v>0</v>
      </c>
      <c r="M512">
        <v>3.58</v>
      </c>
      <c r="N512">
        <v>72</v>
      </c>
      <c r="O512" t="s">
        <v>13</v>
      </c>
      <c r="P512">
        <v>10</v>
      </c>
      <c r="Q512">
        <v>4.3</v>
      </c>
      <c r="R512">
        <v>44</v>
      </c>
      <c r="S512">
        <v>100.2</v>
      </c>
      <c r="T512">
        <v>83.59</v>
      </c>
      <c r="U512">
        <v>1.34</v>
      </c>
      <c r="V512">
        <v>34.07</v>
      </c>
      <c r="W512">
        <v>217.86</v>
      </c>
      <c r="X512">
        <v>35.799999999999997</v>
      </c>
      <c r="Y512">
        <v>101.12</v>
      </c>
      <c r="Z512">
        <v>12.13</v>
      </c>
      <c r="AA512">
        <v>9.14</v>
      </c>
      <c r="AB512">
        <v>196.59</v>
      </c>
      <c r="AC512">
        <v>268.07727272727277</v>
      </c>
      <c r="AD512">
        <v>45.718604651162792</v>
      </c>
      <c r="AE512">
        <v>73.61</v>
      </c>
      <c r="AF512">
        <v>17.55</v>
      </c>
      <c r="AG512">
        <v>1</v>
      </c>
      <c r="AH512">
        <v>22.64</v>
      </c>
      <c r="AI512">
        <v>94.64</v>
      </c>
      <c r="AJ512">
        <v>280.57</v>
      </c>
      <c r="AK512">
        <v>70.709999999999994</v>
      </c>
      <c r="AL512" t="s">
        <v>23</v>
      </c>
      <c r="AM512" t="s">
        <v>24</v>
      </c>
      <c r="AN512" t="str">
        <f t="shared" si="28"/>
        <v>Morning</v>
      </c>
      <c r="AO512" t="str">
        <f t="shared" si="29"/>
        <v>Peak</v>
      </c>
      <c r="AP512" t="str">
        <f t="shared" si="30"/>
        <v>High</v>
      </c>
      <c r="AQ512" t="str">
        <f t="shared" si="31"/>
        <v>High</v>
      </c>
    </row>
    <row r="513" spans="1:43" x14ac:dyDescent="0.3">
      <c r="A513">
        <v>512</v>
      </c>
      <c r="B513" t="s">
        <v>16</v>
      </c>
      <c r="C513" t="s">
        <v>17</v>
      </c>
      <c r="D513" s="1">
        <v>46046</v>
      </c>
      <c r="E513" t="s">
        <v>31</v>
      </c>
      <c r="F513">
        <v>1</v>
      </c>
      <c r="G513">
        <v>14</v>
      </c>
      <c r="H513" t="s">
        <v>19</v>
      </c>
      <c r="I513" t="s">
        <v>20</v>
      </c>
      <c r="J513">
        <v>1.25</v>
      </c>
      <c r="K513" t="s">
        <v>12</v>
      </c>
      <c r="L513">
        <v>0</v>
      </c>
      <c r="M513">
        <v>3.51</v>
      </c>
      <c r="N513">
        <v>44</v>
      </c>
      <c r="O513" t="s">
        <v>35</v>
      </c>
      <c r="P513">
        <v>10</v>
      </c>
      <c r="Q513">
        <v>12.87</v>
      </c>
      <c r="R513">
        <v>74</v>
      </c>
      <c r="S513">
        <v>201.27</v>
      </c>
      <c r="T513">
        <v>31.3</v>
      </c>
      <c r="U513">
        <v>1.02</v>
      </c>
      <c r="V513">
        <v>4.03</v>
      </c>
      <c r="W513">
        <v>236.6</v>
      </c>
      <c r="X513">
        <v>38.700000000000003</v>
      </c>
      <c r="Y513">
        <v>108.92</v>
      </c>
      <c r="Z513">
        <v>36.17</v>
      </c>
      <c r="AA513">
        <v>3.89</v>
      </c>
      <c r="AB513">
        <v>196.54</v>
      </c>
      <c r="AC513">
        <v>159.35675675675674</v>
      </c>
      <c r="AD513">
        <v>15.271173271173272</v>
      </c>
      <c r="AE513">
        <v>70.38</v>
      </c>
      <c r="AF513">
        <v>18.100000000000001</v>
      </c>
      <c r="AG513">
        <v>1</v>
      </c>
      <c r="AH513">
        <v>31.09</v>
      </c>
      <c r="AI513">
        <v>75.09</v>
      </c>
      <c r="AJ513">
        <v>168.66</v>
      </c>
      <c r="AK513">
        <v>69.180000000000007</v>
      </c>
      <c r="AL513" t="s">
        <v>14</v>
      </c>
      <c r="AM513" t="s">
        <v>15</v>
      </c>
      <c r="AN513" t="str">
        <f t="shared" si="28"/>
        <v>Afternoon</v>
      </c>
      <c r="AO513" t="str">
        <f t="shared" si="29"/>
        <v>Off-Peak</v>
      </c>
      <c r="AP513" t="str">
        <f t="shared" si="30"/>
        <v>Medium</v>
      </c>
      <c r="AQ513" t="str">
        <f t="shared" si="31"/>
        <v>Medium</v>
      </c>
    </row>
    <row r="514" spans="1:43" x14ac:dyDescent="0.3">
      <c r="A514">
        <v>513</v>
      </c>
      <c r="B514" t="s">
        <v>16</v>
      </c>
      <c r="C514" t="s">
        <v>17</v>
      </c>
      <c r="D514" s="1">
        <v>46144</v>
      </c>
      <c r="E514" t="s">
        <v>31</v>
      </c>
      <c r="F514">
        <v>1</v>
      </c>
      <c r="G514">
        <v>9</v>
      </c>
      <c r="H514" t="s">
        <v>27</v>
      </c>
      <c r="I514" t="s">
        <v>11</v>
      </c>
      <c r="J514">
        <v>1.18</v>
      </c>
      <c r="K514" t="s">
        <v>12</v>
      </c>
      <c r="L514">
        <v>0</v>
      </c>
      <c r="M514">
        <v>3.96</v>
      </c>
      <c r="N514">
        <v>95</v>
      </c>
      <c r="O514" t="s">
        <v>13</v>
      </c>
      <c r="P514">
        <v>18</v>
      </c>
      <c r="Q514">
        <v>9.49</v>
      </c>
      <c r="R514">
        <v>64</v>
      </c>
      <c r="S514">
        <v>174.99</v>
      </c>
      <c r="T514">
        <v>100</v>
      </c>
      <c r="U514">
        <v>1.31</v>
      </c>
      <c r="V514">
        <v>54.25</v>
      </c>
      <c r="W514">
        <v>329.24</v>
      </c>
      <c r="X514">
        <v>46.3</v>
      </c>
      <c r="Y514">
        <v>105.01</v>
      </c>
      <c r="Z514">
        <v>21.52</v>
      </c>
      <c r="AA514">
        <v>7.37</v>
      </c>
      <c r="AB514">
        <v>300.35000000000002</v>
      </c>
      <c r="AC514">
        <v>281.578125</v>
      </c>
      <c r="AD514">
        <v>31.649104320337198</v>
      </c>
      <c r="AE514">
        <v>76.81</v>
      </c>
      <c r="AF514">
        <v>15.25</v>
      </c>
      <c r="AG514">
        <v>1</v>
      </c>
      <c r="AH514">
        <v>-22.1</v>
      </c>
      <c r="AI514">
        <v>72.900000000000006</v>
      </c>
      <c r="AJ514">
        <v>285.54000000000002</v>
      </c>
      <c r="AK514">
        <v>77.64</v>
      </c>
      <c r="AL514" t="s">
        <v>23</v>
      </c>
      <c r="AM514" t="s">
        <v>24</v>
      </c>
      <c r="AN514" t="str">
        <f t="shared" si="28"/>
        <v>Morning</v>
      </c>
      <c r="AO514" t="str">
        <f t="shared" si="29"/>
        <v>Peak</v>
      </c>
      <c r="AP514" t="str">
        <f t="shared" si="30"/>
        <v>High</v>
      </c>
      <c r="AQ514" t="str">
        <f t="shared" si="31"/>
        <v>High</v>
      </c>
    </row>
    <row r="515" spans="1:43" x14ac:dyDescent="0.3">
      <c r="A515">
        <v>514</v>
      </c>
      <c r="B515" t="s">
        <v>16</v>
      </c>
      <c r="C515" t="s">
        <v>17</v>
      </c>
      <c r="D515" s="1">
        <v>46081</v>
      </c>
      <c r="E515" t="s">
        <v>31</v>
      </c>
      <c r="F515">
        <v>1</v>
      </c>
      <c r="G515">
        <v>22</v>
      </c>
      <c r="H515" t="s">
        <v>19</v>
      </c>
      <c r="I515" t="s">
        <v>33</v>
      </c>
      <c r="J515">
        <v>1</v>
      </c>
      <c r="K515" t="s">
        <v>21</v>
      </c>
      <c r="L515">
        <v>0</v>
      </c>
      <c r="M515">
        <v>3.16</v>
      </c>
      <c r="N515">
        <v>38</v>
      </c>
      <c r="O515" t="s">
        <v>35</v>
      </c>
      <c r="P515">
        <v>5</v>
      </c>
      <c r="Q515">
        <v>11.34</v>
      </c>
      <c r="R515">
        <v>81.3</v>
      </c>
      <c r="S515">
        <v>177.7</v>
      </c>
      <c r="T515">
        <v>48.13</v>
      </c>
      <c r="U515">
        <v>1.1200000000000001</v>
      </c>
      <c r="V515">
        <v>21.32</v>
      </c>
      <c r="W515">
        <v>247.15</v>
      </c>
      <c r="X515">
        <v>41.2</v>
      </c>
      <c r="Y515">
        <v>101.01</v>
      </c>
      <c r="Z515">
        <v>27.8</v>
      </c>
      <c r="AA515">
        <v>9.64</v>
      </c>
      <c r="AB515">
        <v>209.71</v>
      </c>
      <c r="AC515">
        <v>154.76752767527677</v>
      </c>
      <c r="AD515">
        <v>18.492945326278662</v>
      </c>
      <c r="AE515">
        <v>85.76</v>
      </c>
      <c r="AF515">
        <v>14.52</v>
      </c>
      <c r="AG515">
        <v>1</v>
      </c>
      <c r="AH515">
        <v>-9.24</v>
      </c>
      <c r="AI515">
        <v>28.76</v>
      </c>
      <c r="AJ515">
        <v>168.13</v>
      </c>
      <c r="AK515">
        <v>69.760000000000005</v>
      </c>
      <c r="AL515" t="s">
        <v>23</v>
      </c>
      <c r="AM515" t="s">
        <v>24</v>
      </c>
      <c r="AN515" t="str">
        <f t="shared" ref="AN515:AN578" si="32">IF(G515&lt;11,"Morning",IF(G515&lt;15,"Afternoon",IF(G515&lt;18,"Evening","Night")))</f>
        <v>Night</v>
      </c>
      <c r="AO515" t="str">
        <f t="shared" ref="AO515:AO578" si="33">IF(OR(AND(G515&gt;=7,G515&lt;=10),AND(G515&gt;=17,G515&lt;=20)),"Peak","Off-Peak")</f>
        <v>Off-Peak</v>
      </c>
      <c r="AP515" t="str">
        <f t="shared" ref="AP515:AP578" si="34">IF(AC515&lt;150,"Low",IF(AC515&lt;=250,"Medium","High"))</f>
        <v>Medium</v>
      </c>
      <c r="AQ515" t="str">
        <f t="shared" ref="AQ515:AQ578" si="35">IF(N515&lt;=35,"Low",IF(N515&lt;=70,"Medium","High"))</f>
        <v>Medium</v>
      </c>
    </row>
    <row r="516" spans="1:43" x14ac:dyDescent="0.3">
      <c r="A516">
        <v>515</v>
      </c>
      <c r="B516" t="s">
        <v>23</v>
      </c>
      <c r="C516" t="s">
        <v>17</v>
      </c>
      <c r="D516" s="1">
        <v>46128</v>
      </c>
      <c r="E516" t="s">
        <v>41</v>
      </c>
      <c r="F516">
        <v>0</v>
      </c>
      <c r="G516">
        <v>11</v>
      </c>
      <c r="H516" t="s">
        <v>19</v>
      </c>
      <c r="I516" t="s">
        <v>37</v>
      </c>
      <c r="J516">
        <v>1.02</v>
      </c>
      <c r="K516" t="s">
        <v>12</v>
      </c>
      <c r="L516">
        <v>0</v>
      </c>
      <c r="M516">
        <v>2.02</v>
      </c>
      <c r="N516">
        <v>33</v>
      </c>
      <c r="O516" t="s">
        <v>22</v>
      </c>
      <c r="P516">
        <v>9</v>
      </c>
      <c r="Q516">
        <v>7.38</v>
      </c>
      <c r="R516">
        <v>42.2</v>
      </c>
      <c r="S516">
        <v>125.46</v>
      </c>
      <c r="T516">
        <v>28.05</v>
      </c>
      <c r="U516">
        <v>1.1000000000000001</v>
      </c>
      <c r="V516">
        <v>12.55</v>
      </c>
      <c r="W516">
        <v>166.06</v>
      </c>
      <c r="X516">
        <v>43.4</v>
      </c>
      <c r="Y516">
        <v>105.35</v>
      </c>
      <c r="Z516">
        <v>17.920000000000002</v>
      </c>
      <c r="AA516">
        <v>11.47</v>
      </c>
      <c r="AB516">
        <v>136.66999999999999</v>
      </c>
      <c r="AC516">
        <v>194.31753554502367</v>
      </c>
      <c r="AD516">
        <v>18.518970189701896</v>
      </c>
      <c r="AE516">
        <v>61.03</v>
      </c>
      <c r="AF516">
        <v>13.76</v>
      </c>
      <c r="AG516">
        <v>0</v>
      </c>
      <c r="AH516">
        <v>4.05</v>
      </c>
      <c r="AI516">
        <v>37.049999999999997</v>
      </c>
      <c r="AJ516">
        <v>182.24</v>
      </c>
      <c r="AK516">
        <v>64.66</v>
      </c>
      <c r="AL516" t="s">
        <v>23</v>
      </c>
      <c r="AM516" t="s">
        <v>24</v>
      </c>
      <c r="AN516" t="str">
        <f t="shared" si="32"/>
        <v>Afternoon</v>
      </c>
      <c r="AO516" t="str">
        <f t="shared" si="33"/>
        <v>Off-Peak</v>
      </c>
      <c r="AP516" t="str">
        <f t="shared" si="34"/>
        <v>Medium</v>
      </c>
      <c r="AQ516" t="str">
        <f t="shared" si="35"/>
        <v>Low</v>
      </c>
    </row>
    <row r="517" spans="1:43" x14ac:dyDescent="0.3">
      <c r="A517">
        <v>516</v>
      </c>
      <c r="B517" t="s">
        <v>7</v>
      </c>
      <c r="C517" t="s">
        <v>8</v>
      </c>
      <c r="D517" s="1">
        <v>46135</v>
      </c>
      <c r="E517" t="s">
        <v>41</v>
      </c>
      <c r="F517">
        <v>0</v>
      </c>
      <c r="G517">
        <v>14</v>
      </c>
      <c r="H517" t="s">
        <v>10</v>
      </c>
      <c r="I517" t="s">
        <v>11</v>
      </c>
      <c r="J517">
        <v>1.18</v>
      </c>
      <c r="K517" t="s">
        <v>12</v>
      </c>
      <c r="L517">
        <v>0</v>
      </c>
      <c r="M517">
        <v>3.73</v>
      </c>
      <c r="N517">
        <v>52</v>
      </c>
      <c r="O517" t="s">
        <v>35</v>
      </c>
      <c r="P517">
        <v>23</v>
      </c>
      <c r="Q517">
        <v>3.32</v>
      </c>
      <c r="R517">
        <v>32.1</v>
      </c>
      <c r="S517">
        <v>89.71</v>
      </c>
      <c r="T517">
        <v>65.599999999999994</v>
      </c>
      <c r="U517">
        <v>1</v>
      </c>
      <c r="V517">
        <v>0</v>
      </c>
      <c r="W517">
        <v>155.31</v>
      </c>
      <c r="X517">
        <v>49.2</v>
      </c>
      <c r="Y517">
        <v>106.75</v>
      </c>
      <c r="Z517">
        <v>7.2</v>
      </c>
      <c r="AA517">
        <v>3.79</v>
      </c>
      <c r="AB517">
        <v>144.32</v>
      </c>
      <c r="AC517">
        <v>269.75700934579436</v>
      </c>
      <c r="AD517">
        <v>43.46987951807229</v>
      </c>
      <c r="AE517">
        <v>66.61</v>
      </c>
      <c r="AF517">
        <v>16.66</v>
      </c>
      <c r="AG517">
        <v>1</v>
      </c>
      <c r="AH517">
        <v>-4.74</v>
      </c>
      <c r="AI517">
        <v>47.26</v>
      </c>
      <c r="AJ517">
        <v>271.68</v>
      </c>
      <c r="AK517">
        <v>74.25</v>
      </c>
      <c r="AL517" t="s">
        <v>14</v>
      </c>
      <c r="AM517" t="s">
        <v>15</v>
      </c>
      <c r="AN517" t="str">
        <f t="shared" si="32"/>
        <v>Afternoon</v>
      </c>
      <c r="AO517" t="str">
        <f t="shared" si="33"/>
        <v>Off-Peak</v>
      </c>
      <c r="AP517" t="str">
        <f t="shared" si="34"/>
        <v>High</v>
      </c>
      <c r="AQ517" t="str">
        <f t="shared" si="35"/>
        <v>Medium</v>
      </c>
    </row>
    <row r="518" spans="1:43" x14ac:dyDescent="0.3">
      <c r="A518">
        <v>517</v>
      </c>
      <c r="B518" t="s">
        <v>23</v>
      </c>
      <c r="C518" t="s">
        <v>17</v>
      </c>
      <c r="D518" s="1">
        <v>46183</v>
      </c>
      <c r="E518" t="s">
        <v>18</v>
      </c>
      <c r="F518">
        <v>0</v>
      </c>
      <c r="G518">
        <v>7</v>
      </c>
      <c r="H518" t="s">
        <v>27</v>
      </c>
      <c r="I518" t="s">
        <v>37</v>
      </c>
      <c r="J518">
        <v>1.02</v>
      </c>
      <c r="K518" t="s">
        <v>12</v>
      </c>
      <c r="L518">
        <v>0</v>
      </c>
      <c r="M518">
        <v>4.57</v>
      </c>
      <c r="N518">
        <v>61</v>
      </c>
      <c r="O518" t="s">
        <v>35</v>
      </c>
      <c r="P518">
        <v>15</v>
      </c>
      <c r="Q518">
        <v>2.98</v>
      </c>
      <c r="R518">
        <v>44.4</v>
      </c>
      <c r="S518">
        <v>92.97</v>
      </c>
      <c r="T518">
        <v>73.599999999999994</v>
      </c>
      <c r="U518">
        <v>1.31</v>
      </c>
      <c r="V518">
        <v>28.82</v>
      </c>
      <c r="W518">
        <v>195.39</v>
      </c>
      <c r="X518">
        <v>35.700000000000003</v>
      </c>
      <c r="Y518">
        <v>103.2</v>
      </c>
      <c r="Z518">
        <v>8.6199999999999992</v>
      </c>
      <c r="AA518">
        <v>5.04</v>
      </c>
      <c r="AB518">
        <v>181.73</v>
      </c>
      <c r="AC518">
        <v>245.58108108108107</v>
      </c>
      <c r="AD518">
        <v>60.983221476510067</v>
      </c>
      <c r="AE518">
        <v>65.95</v>
      </c>
      <c r="AF518">
        <v>14.2</v>
      </c>
      <c r="AG518">
        <v>1</v>
      </c>
      <c r="AH518">
        <v>2.5299999999999998</v>
      </c>
      <c r="AI518">
        <v>63.53</v>
      </c>
      <c r="AJ518">
        <v>249.04</v>
      </c>
      <c r="AK518">
        <v>82.37</v>
      </c>
      <c r="AL518" t="s">
        <v>23</v>
      </c>
      <c r="AM518" t="s">
        <v>24</v>
      </c>
      <c r="AN518" t="str">
        <f t="shared" si="32"/>
        <v>Morning</v>
      </c>
      <c r="AO518" t="str">
        <f t="shared" si="33"/>
        <v>Peak</v>
      </c>
      <c r="AP518" t="str">
        <f t="shared" si="34"/>
        <v>Medium</v>
      </c>
      <c r="AQ518" t="str">
        <f t="shared" si="35"/>
        <v>Medium</v>
      </c>
    </row>
    <row r="519" spans="1:43" x14ac:dyDescent="0.3">
      <c r="A519">
        <v>518</v>
      </c>
      <c r="B519" t="s">
        <v>7</v>
      </c>
      <c r="C519" t="s">
        <v>8</v>
      </c>
      <c r="D519" s="1">
        <v>46266</v>
      </c>
      <c r="E519" t="s">
        <v>44</v>
      </c>
      <c r="F519">
        <v>0</v>
      </c>
      <c r="G519">
        <v>9</v>
      </c>
      <c r="H519" t="s">
        <v>49</v>
      </c>
      <c r="I519" t="s">
        <v>50</v>
      </c>
      <c r="J519">
        <v>1.2</v>
      </c>
      <c r="K519" t="s">
        <v>34</v>
      </c>
      <c r="L519">
        <v>1</v>
      </c>
      <c r="M519">
        <v>3.98</v>
      </c>
      <c r="N519">
        <v>69</v>
      </c>
      <c r="O519" t="s">
        <v>35</v>
      </c>
      <c r="P519">
        <v>26</v>
      </c>
      <c r="Q519">
        <v>2.14</v>
      </c>
      <c r="R519">
        <v>31.4</v>
      </c>
      <c r="S519">
        <v>68.28</v>
      </c>
      <c r="T519">
        <v>56.51</v>
      </c>
      <c r="U519">
        <v>1</v>
      </c>
      <c r="V519">
        <v>0</v>
      </c>
      <c r="W519">
        <v>124.79</v>
      </c>
      <c r="X519">
        <v>41.7</v>
      </c>
      <c r="Y519">
        <v>100.09</v>
      </c>
      <c r="Z519">
        <v>5.13</v>
      </c>
      <c r="AA519">
        <v>5.48</v>
      </c>
      <c r="AB519">
        <v>114.18</v>
      </c>
      <c r="AC519">
        <v>218.1783439490446</v>
      </c>
      <c r="AD519">
        <v>53.355140186915889</v>
      </c>
      <c r="AE519">
        <v>88.73</v>
      </c>
      <c r="AF519">
        <v>14.01</v>
      </c>
      <c r="AG519">
        <v>0</v>
      </c>
      <c r="AH519">
        <v>1.24</v>
      </c>
      <c r="AI519">
        <v>70.239999999999995</v>
      </c>
      <c r="AJ519">
        <v>215.32</v>
      </c>
      <c r="AK519">
        <v>74.75</v>
      </c>
      <c r="AL519" t="s">
        <v>23</v>
      </c>
      <c r="AM519" t="s">
        <v>24</v>
      </c>
      <c r="AN519" t="str">
        <f t="shared" si="32"/>
        <v>Morning</v>
      </c>
      <c r="AO519" t="str">
        <f t="shared" si="33"/>
        <v>Peak</v>
      </c>
      <c r="AP519" t="str">
        <f t="shared" si="34"/>
        <v>Medium</v>
      </c>
      <c r="AQ519" t="str">
        <f t="shared" si="35"/>
        <v>Medium</v>
      </c>
    </row>
    <row r="520" spans="1:43" x14ac:dyDescent="0.3">
      <c r="A520">
        <v>519</v>
      </c>
      <c r="B520" t="s">
        <v>29</v>
      </c>
      <c r="C520" t="s">
        <v>30</v>
      </c>
      <c r="D520" s="1">
        <v>46242</v>
      </c>
      <c r="E520" t="s">
        <v>31</v>
      </c>
      <c r="F520">
        <v>1</v>
      </c>
      <c r="G520">
        <v>10</v>
      </c>
      <c r="H520" t="s">
        <v>47</v>
      </c>
      <c r="I520" t="s">
        <v>20</v>
      </c>
      <c r="J520">
        <v>1.25</v>
      </c>
      <c r="K520" t="s">
        <v>12</v>
      </c>
      <c r="L520">
        <v>0</v>
      </c>
      <c r="M520">
        <v>2.42</v>
      </c>
      <c r="N520">
        <v>40</v>
      </c>
      <c r="O520" t="s">
        <v>35</v>
      </c>
      <c r="P520">
        <v>14</v>
      </c>
      <c r="Q520">
        <v>1</v>
      </c>
      <c r="R520">
        <v>16.3</v>
      </c>
      <c r="S520">
        <v>58.56</v>
      </c>
      <c r="T520">
        <v>52.32</v>
      </c>
      <c r="U520">
        <v>1</v>
      </c>
      <c r="V520">
        <v>0</v>
      </c>
      <c r="W520">
        <v>110.88</v>
      </c>
      <c r="X520">
        <v>40.4</v>
      </c>
      <c r="Y520">
        <v>106.22</v>
      </c>
      <c r="Z520">
        <v>2.63</v>
      </c>
      <c r="AA520">
        <v>8.25</v>
      </c>
      <c r="AB520">
        <v>100</v>
      </c>
      <c r="AC520">
        <v>368.09815950920245</v>
      </c>
      <c r="AD520">
        <v>100</v>
      </c>
      <c r="AE520">
        <v>70.28</v>
      </c>
      <c r="AF520">
        <v>11.38</v>
      </c>
      <c r="AG520">
        <v>1</v>
      </c>
      <c r="AH520">
        <v>9.11</v>
      </c>
      <c r="AI520">
        <v>49.11</v>
      </c>
      <c r="AJ520">
        <v>339.71</v>
      </c>
      <c r="AK520">
        <v>70.69</v>
      </c>
      <c r="AL520" t="s">
        <v>14</v>
      </c>
      <c r="AM520" t="s">
        <v>15</v>
      </c>
      <c r="AN520" t="str">
        <f t="shared" si="32"/>
        <v>Morning</v>
      </c>
      <c r="AO520" t="str">
        <f t="shared" si="33"/>
        <v>Peak</v>
      </c>
      <c r="AP520" t="str">
        <f t="shared" si="34"/>
        <v>High</v>
      </c>
      <c r="AQ520" t="str">
        <f t="shared" si="35"/>
        <v>Medium</v>
      </c>
    </row>
    <row r="521" spans="1:43" x14ac:dyDescent="0.3">
      <c r="A521">
        <v>520</v>
      </c>
      <c r="B521" t="s">
        <v>25</v>
      </c>
      <c r="C521" t="s">
        <v>17</v>
      </c>
      <c r="D521" s="1">
        <v>46120</v>
      </c>
      <c r="E521" t="s">
        <v>18</v>
      </c>
      <c r="F521">
        <v>0</v>
      </c>
      <c r="G521">
        <v>7</v>
      </c>
      <c r="H521" t="s">
        <v>27</v>
      </c>
      <c r="I521" t="s">
        <v>39</v>
      </c>
      <c r="J521">
        <v>1.05</v>
      </c>
      <c r="K521" t="s">
        <v>21</v>
      </c>
      <c r="L521">
        <v>0</v>
      </c>
      <c r="M521">
        <v>4.2300000000000004</v>
      </c>
      <c r="N521">
        <v>65</v>
      </c>
      <c r="O521" t="s">
        <v>35</v>
      </c>
      <c r="P521">
        <v>10</v>
      </c>
      <c r="Q521">
        <v>3.28</v>
      </c>
      <c r="R521">
        <v>47.3</v>
      </c>
      <c r="S521">
        <v>104.31</v>
      </c>
      <c r="T521">
        <v>87.47</v>
      </c>
      <c r="U521">
        <v>1.33</v>
      </c>
      <c r="V521">
        <v>34.42</v>
      </c>
      <c r="W521">
        <v>226.2</v>
      </c>
      <c r="X521">
        <v>36.6</v>
      </c>
      <c r="Y521">
        <v>100.4</v>
      </c>
      <c r="Z521">
        <v>8.99</v>
      </c>
      <c r="AA521">
        <v>3.36</v>
      </c>
      <c r="AB521">
        <v>213.85</v>
      </c>
      <c r="AC521">
        <v>271.26849894291752</v>
      </c>
      <c r="AD521">
        <v>65.198170731707322</v>
      </c>
      <c r="AE521">
        <v>74.59</v>
      </c>
      <c r="AF521">
        <v>16.54</v>
      </c>
      <c r="AG521">
        <v>1</v>
      </c>
      <c r="AH521">
        <v>-11.41</v>
      </c>
      <c r="AI521">
        <v>53.59</v>
      </c>
      <c r="AJ521">
        <v>278.88</v>
      </c>
      <c r="AK521">
        <v>73.849999999999994</v>
      </c>
      <c r="AL521" t="s">
        <v>23</v>
      </c>
      <c r="AM521" t="s">
        <v>24</v>
      </c>
      <c r="AN521" t="str">
        <f t="shared" si="32"/>
        <v>Morning</v>
      </c>
      <c r="AO521" t="str">
        <f t="shared" si="33"/>
        <v>Peak</v>
      </c>
      <c r="AP521" t="str">
        <f t="shared" si="34"/>
        <v>High</v>
      </c>
      <c r="AQ521" t="str">
        <f t="shared" si="35"/>
        <v>Medium</v>
      </c>
    </row>
    <row r="522" spans="1:43" x14ac:dyDescent="0.3">
      <c r="A522">
        <v>521</v>
      </c>
      <c r="B522" t="s">
        <v>48</v>
      </c>
      <c r="C522" t="s">
        <v>30</v>
      </c>
      <c r="D522" s="1">
        <v>46107</v>
      </c>
      <c r="E522" t="s">
        <v>41</v>
      </c>
      <c r="F522">
        <v>0</v>
      </c>
      <c r="G522">
        <v>18</v>
      </c>
      <c r="H522" t="s">
        <v>32</v>
      </c>
      <c r="I522" t="s">
        <v>45</v>
      </c>
      <c r="J522">
        <v>1</v>
      </c>
      <c r="K522" t="s">
        <v>34</v>
      </c>
      <c r="L522">
        <v>1</v>
      </c>
      <c r="M522">
        <v>5</v>
      </c>
      <c r="N522">
        <v>74</v>
      </c>
      <c r="O522" t="s">
        <v>13</v>
      </c>
      <c r="P522">
        <v>15</v>
      </c>
      <c r="Q522">
        <v>9.9</v>
      </c>
      <c r="R522">
        <v>74.8</v>
      </c>
      <c r="S522">
        <v>123.58</v>
      </c>
      <c r="T522">
        <v>81.319999999999993</v>
      </c>
      <c r="U522">
        <v>1</v>
      </c>
      <c r="V522">
        <v>0</v>
      </c>
      <c r="W522">
        <v>204.9</v>
      </c>
      <c r="X522">
        <v>49.3</v>
      </c>
      <c r="Y522">
        <v>104.33</v>
      </c>
      <c r="Z522">
        <v>20.96</v>
      </c>
      <c r="AA522">
        <v>3.93</v>
      </c>
      <c r="AB522">
        <v>180.01</v>
      </c>
      <c r="AC522">
        <v>144.39304812834226</v>
      </c>
      <c r="AD522">
        <v>18.182828282828282</v>
      </c>
      <c r="AE522">
        <v>65</v>
      </c>
      <c r="AF522">
        <v>17.079999999999998</v>
      </c>
      <c r="AG522">
        <v>1</v>
      </c>
      <c r="AH522">
        <v>5.89</v>
      </c>
      <c r="AI522">
        <v>79.89</v>
      </c>
      <c r="AJ522">
        <v>155.58000000000001</v>
      </c>
      <c r="AK522">
        <v>80.510000000000005</v>
      </c>
      <c r="AL522" t="s">
        <v>23</v>
      </c>
      <c r="AM522" t="s">
        <v>24</v>
      </c>
      <c r="AN522" t="str">
        <f t="shared" si="32"/>
        <v>Night</v>
      </c>
      <c r="AO522" t="str">
        <f t="shared" si="33"/>
        <v>Peak</v>
      </c>
      <c r="AP522" t="str">
        <f t="shared" si="34"/>
        <v>Low</v>
      </c>
      <c r="AQ522" t="str">
        <f t="shared" si="35"/>
        <v>High</v>
      </c>
    </row>
    <row r="523" spans="1:43" x14ac:dyDescent="0.3">
      <c r="A523">
        <v>522</v>
      </c>
      <c r="B523" t="s">
        <v>14</v>
      </c>
      <c r="C523" t="s">
        <v>8</v>
      </c>
      <c r="D523" s="1">
        <v>46221</v>
      </c>
      <c r="E523" t="s">
        <v>31</v>
      </c>
      <c r="F523">
        <v>1</v>
      </c>
      <c r="G523">
        <v>22</v>
      </c>
      <c r="H523" t="s">
        <v>51</v>
      </c>
      <c r="I523" t="s">
        <v>33</v>
      </c>
      <c r="J523">
        <v>1</v>
      </c>
      <c r="K523" t="s">
        <v>12</v>
      </c>
      <c r="L523">
        <v>0</v>
      </c>
      <c r="M523">
        <v>2.99</v>
      </c>
      <c r="N523">
        <v>46</v>
      </c>
      <c r="O523" t="s">
        <v>35</v>
      </c>
      <c r="P523">
        <v>24</v>
      </c>
      <c r="Q523">
        <v>9.82</v>
      </c>
      <c r="R523">
        <v>62.2</v>
      </c>
      <c r="S523">
        <v>122.71</v>
      </c>
      <c r="T523">
        <v>45.72</v>
      </c>
      <c r="U523">
        <v>1</v>
      </c>
      <c r="V523">
        <v>0</v>
      </c>
      <c r="W523">
        <v>168.43</v>
      </c>
      <c r="X523">
        <v>49.4</v>
      </c>
      <c r="Y523">
        <v>108.25</v>
      </c>
      <c r="Z523">
        <v>21.52</v>
      </c>
      <c r="AA523">
        <v>9.8000000000000007</v>
      </c>
      <c r="AB523">
        <v>137.11000000000001</v>
      </c>
      <c r="AC523">
        <v>132.26045016077171</v>
      </c>
      <c r="AD523">
        <v>13.962321792260694</v>
      </c>
      <c r="AE523">
        <v>73.58</v>
      </c>
      <c r="AF523">
        <v>13.56</v>
      </c>
      <c r="AG523">
        <v>1</v>
      </c>
      <c r="AH523">
        <v>-13.74</v>
      </c>
      <c r="AI523">
        <v>32.26</v>
      </c>
      <c r="AJ523">
        <v>148.33000000000001</v>
      </c>
      <c r="AK523">
        <v>67.849999999999994</v>
      </c>
      <c r="AL523" t="s">
        <v>14</v>
      </c>
      <c r="AM523" t="s">
        <v>15</v>
      </c>
      <c r="AN523" t="str">
        <f t="shared" si="32"/>
        <v>Night</v>
      </c>
      <c r="AO523" t="str">
        <f t="shared" si="33"/>
        <v>Off-Peak</v>
      </c>
      <c r="AP523" t="str">
        <f t="shared" si="34"/>
        <v>Low</v>
      </c>
      <c r="AQ523" t="str">
        <f t="shared" si="35"/>
        <v>Medium</v>
      </c>
    </row>
    <row r="524" spans="1:43" x14ac:dyDescent="0.3">
      <c r="A524">
        <v>523</v>
      </c>
      <c r="B524" t="s">
        <v>14</v>
      </c>
      <c r="C524" t="s">
        <v>8</v>
      </c>
      <c r="D524" s="1">
        <v>46054</v>
      </c>
      <c r="E524" t="s">
        <v>26</v>
      </c>
      <c r="F524">
        <v>1</v>
      </c>
      <c r="G524">
        <v>22</v>
      </c>
      <c r="H524" t="s">
        <v>51</v>
      </c>
      <c r="I524" t="s">
        <v>37</v>
      </c>
      <c r="J524">
        <v>1.02</v>
      </c>
      <c r="K524" t="s">
        <v>12</v>
      </c>
      <c r="L524">
        <v>0</v>
      </c>
      <c r="M524">
        <v>2.4500000000000002</v>
      </c>
      <c r="N524">
        <v>34</v>
      </c>
      <c r="O524" t="s">
        <v>22</v>
      </c>
      <c r="P524">
        <v>17</v>
      </c>
      <c r="Q524">
        <v>15</v>
      </c>
      <c r="R524">
        <v>79.599999999999994</v>
      </c>
      <c r="S524">
        <v>170.74</v>
      </c>
      <c r="T524">
        <v>41.82</v>
      </c>
      <c r="U524">
        <v>1</v>
      </c>
      <c r="V524">
        <v>0</v>
      </c>
      <c r="W524">
        <v>212.56</v>
      </c>
      <c r="X524">
        <v>39.700000000000003</v>
      </c>
      <c r="Y524">
        <v>109.99</v>
      </c>
      <c r="Z524">
        <v>41.59</v>
      </c>
      <c r="AA524">
        <v>7.42</v>
      </c>
      <c r="AB524">
        <v>163.55000000000001</v>
      </c>
      <c r="AC524">
        <v>123.27889447236181</v>
      </c>
      <c r="AD524">
        <v>10.903333333333334</v>
      </c>
      <c r="AE524">
        <v>81.650000000000006</v>
      </c>
      <c r="AF524">
        <v>16.12</v>
      </c>
      <c r="AG524">
        <v>1</v>
      </c>
      <c r="AH524">
        <v>-3.18</v>
      </c>
      <c r="AI524">
        <v>30.82</v>
      </c>
      <c r="AJ524">
        <v>104.06</v>
      </c>
      <c r="AK524">
        <v>68.349999999999994</v>
      </c>
      <c r="AL524" t="s">
        <v>14</v>
      </c>
      <c r="AM524" t="s">
        <v>15</v>
      </c>
      <c r="AN524" t="str">
        <f t="shared" si="32"/>
        <v>Night</v>
      </c>
      <c r="AO524" t="str">
        <f t="shared" si="33"/>
        <v>Off-Peak</v>
      </c>
      <c r="AP524" t="str">
        <f t="shared" si="34"/>
        <v>Low</v>
      </c>
      <c r="AQ524" t="str">
        <f t="shared" si="35"/>
        <v>Low</v>
      </c>
    </row>
    <row r="525" spans="1:43" x14ac:dyDescent="0.3">
      <c r="A525">
        <v>524</v>
      </c>
      <c r="B525" t="s">
        <v>16</v>
      </c>
      <c r="C525" t="s">
        <v>17</v>
      </c>
      <c r="D525" s="1">
        <v>46162</v>
      </c>
      <c r="E525" t="s">
        <v>18</v>
      </c>
      <c r="F525">
        <v>0</v>
      </c>
      <c r="G525">
        <v>11</v>
      </c>
      <c r="H525" t="s">
        <v>19</v>
      </c>
      <c r="I525" t="s">
        <v>33</v>
      </c>
      <c r="J525">
        <v>1</v>
      </c>
      <c r="K525" t="s">
        <v>21</v>
      </c>
      <c r="L525">
        <v>0</v>
      </c>
      <c r="M525">
        <v>2.86</v>
      </c>
      <c r="N525">
        <v>20</v>
      </c>
      <c r="O525" t="s">
        <v>22</v>
      </c>
      <c r="P525">
        <v>4</v>
      </c>
      <c r="Q525">
        <v>4.53</v>
      </c>
      <c r="R525">
        <v>50.1</v>
      </c>
      <c r="S525">
        <v>95.95</v>
      </c>
      <c r="T525">
        <v>31.55</v>
      </c>
      <c r="U525">
        <v>1.04</v>
      </c>
      <c r="V525">
        <v>3.84</v>
      </c>
      <c r="W525">
        <v>131.34</v>
      </c>
      <c r="X525">
        <v>49.2</v>
      </c>
      <c r="Y525">
        <v>103.7</v>
      </c>
      <c r="Z525">
        <v>9.5500000000000007</v>
      </c>
      <c r="AA525">
        <v>3.6</v>
      </c>
      <c r="AB525">
        <v>118.19</v>
      </c>
      <c r="AC525">
        <v>141.54491017964071</v>
      </c>
      <c r="AD525">
        <v>26.090507726269315</v>
      </c>
      <c r="AE525">
        <v>75.62</v>
      </c>
      <c r="AF525">
        <v>13.5</v>
      </c>
      <c r="AG525">
        <v>0</v>
      </c>
      <c r="AH525">
        <v>-23.05</v>
      </c>
      <c r="AI525">
        <v>5</v>
      </c>
      <c r="AJ525">
        <v>132.04</v>
      </c>
      <c r="AK525">
        <v>64.06</v>
      </c>
      <c r="AL525" t="s">
        <v>23</v>
      </c>
      <c r="AM525" t="s">
        <v>24</v>
      </c>
      <c r="AN525" t="str">
        <f t="shared" si="32"/>
        <v>Afternoon</v>
      </c>
      <c r="AO525" t="str">
        <f t="shared" si="33"/>
        <v>Off-Peak</v>
      </c>
      <c r="AP525" t="str">
        <f t="shared" si="34"/>
        <v>Low</v>
      </c>
      <c r="AQ525" t="str">
        <f t="shared" si="35"/>
        <v>Low</v>
      </c>
    </row>
    <row r="526" spans="1:43" x14ac:dyDescent="0.3">
      <c r="A526">
        <v>525</v>
      </c>
      <c r="B526" t="s">
        <v>48</v>
      </c>
      <c r="C526" t="s">
        <v>30</v>
      </c>
      <c r="D526" s="1">
        <v>46132</v>
      </c>
      <c r="E526" t="s">
        <v>38</v>
      </c>
      <c r="F526">
        <v>0</v>
      </c>
      <c r="G526">
        <v>19</v>
      </c>
      <c r="H526" t="s">
        <v>32</v>
      </c>
      <c r="I526" t="s">
        <v>39</v>
      </c>
      <c r="J526">
        <v>1.05</v>
      </c>
      <c r="K526" t="s">
        <v>12</v>
      </c>
      <c r="L526">
        <v>0</v>
      </c>
      <c r="M526">
        <v>4.17</v>
      </c>
      <c r="N526">
        <v>78</v>
      </c>
      <c r="O526" t="s">
        <v>13</v>
      </c>
      <c r="P526">
        <v>15</v>
      </c>
      <c r="Q526">
        <v>1.37</v>
      </c>
      <c r="R526">
        <v>30.8</v>
      </c>
      <c r="S526">
        <v>63.87</v>
      </c>
      <c r="T526">
        <v>74.94</v>
      </c>
      <c r="U526">
        <v>1</v>
      </c>
      <c r="V526">
        <v>0</v>
      </c>
      <c r="W526">
        <v>138.81</v>
      </c>
      <c r="X526">
        <v>35.5</v>
      </c>
      <c r="Y526">
        <v>100.2</v>
      </c>
      <c r="Z526">
        <v>3.87</v>
      </c>
      <c r="AA526">
        <v>5.88</v>
      </c>
      <c r="AB526">
        <v>129.06</v>
      </c>
      <c r="AC526">
        <v>251.41558441558442</v>
      </c>
      <c r="AD526">
        <v>94.204379562043783</v>
      </c>
      <c r="AE526">
        <v>77.38</v>
      </c>
      <c r="AF526">
        <v>14.15</v>
      </c>
      <c r="AG526">
        <v>1</v>
      </c>
      <c r="AH526">
        <v>-3.07</v>
      </c>
      <c r="AI526">
        <v>74.930000000000007</v>
      </c>
      <c r="AJ526">
        <v>277.86</v>
      </c>
      <c r="AK526">
        <v>75.5</v>
      </c>
      <c r="AL526" t="s">
        <v>14</v>
      </c>
      <c r="AM526" t="s">
        <v>15</v>
      </c>
      <c r="AN526" t="str">
        <f t="shared" si="32"/>
        <v>Night</v>
      </c>
      <c r="AO526" t="str">
        <f t="shared" si="33"/>
        <v>Peak</v>
      </c>
      <c r="AP526" t="str">
        <f t="shared" si="34"/>
        <v>High</v>
      </c>
      <c r="AQ526" t="str">
        <f t="shared" si="35"/>
        <v>High</v>
      </c>
    </row>
    <row r="527" spans="1:43" x14ac:dyDescent="0.3">
      <c r="A527">
        <v>526</v>
      </c>
      <c r="B527" t="s">
        <v>48</v>
      </c>
      <c r="C527" t="s">
        <v>30</v>
      </c>
      <c r="D527" s="1">
        <v>46070</v>
      </c>
      <c r="E527" t="s">
        <v>44</v>
      </c>
      <c r="F527">
        <v>0</v>
      </c>
      <c r="G527">
        <v>15</v>
      </c>
      <c r="H527" t="s">
        <v>43</v>
      </c>
      <c r="I527" t="s">
        <v>33</v>
      </c>
      <c r="J527">
        <v>1</v>
      </c>
      <c r="K527" t="s">
        <v>12</v>
      </c>
      <c r="L527">
        <v>0</v>
      </c>
      <c r="M527">
        <v>2.88</v>
      </c>
      <c r="N527">
        <v>14</v>
      </c>
      <c r="O527" t="s">
        <v>22</v>
      </c>
      <c r="P527">
        <v>3</v>
      </c>
      <c r="Q527">
        <v>5.77</v>
      </c>
      <c r="R527">
        <v>52.5</v>
      </c>
      <c r="S527">
        <v>98.58</v>
      </c>
      <c r="T527">
        <v>23.39</v>
      </c>
      <c r="U527">
        <v>1</v>
      </c>
      <c r="V527">
        <v>0</v>
      </c>
      <c r="W527">
        <v>121.97</v>
      </c>
      <c r="X527">
        <v>49.7</v>
      </c>
      <c r="Y527">
        <v>104.93</v>
      </c>
      <c r="Z527">
        <v>12.17</v>
      </c>
      <c r="AA527">
        <v>3.34</v>
      </c>
      <c r="AB527">
        <v>106.46</v>
      </c>
      <c r="AC527">
        <v>121.66857142857143</v>
      </c>
      <c r="AD527">
        <v>18.450606585788563</v>
      </c>
      <c r="AE527">
        <v>60.6</v>
      </c>
      <c r="AF527">
        <v>17.39</v>
      </c>
      <c r="AG527">
        <v>0</v>
      </c>
      <c r="AH527">
        <v>-5.59</v>
      </c>
      <c r="AI527">
        <v>8.41</v>
      </c>
      <c r="AJ527">
        <v>126.18</v>
      </c>
      <c r="AK527">
        <v>60.52</v>
      </c>
      <c r="AL527" t="s">
        <v>14</v>
      </c>
      <c r="AM527" t="s">
        <v>15</v>
      </c>
      <c r="AN527" t="str">
        <f t="shared" si="32"/>
        <v>Evening</v>
      </c>
      <c r="AO527" t="str">
        <f t="shared" si="33"/>
        <v>Off-Peak</v>
      </c>
      <c r="AP527" t="str">
        <f t="shared" si="34"/>
        <v>Low</v>
      </c>
      <c r="AQ527" t="str">
        <f t="shared" si="35"/>
        <v>Low</v>
      </c>
    </row>
    <row r="528" spans="1:43" x14ac:dyDescent="0.3">
      <c r="A528">
        <v>527</v>
      </c>
      <c r="B528" t="s">
        <v>23</v>
      </c>
      <c r="C528" t="s">
        <v>17</v>
      </c>
      <c r="D528" s="1">
        <v>46182</v>
      </c>
      <c r="E528" t="s">
        <v>44</v>
      </c>
      <c r="F528">
        <v>0</v>
      </c>
      <c r="G528">
        <v>7</v>
      </c>
      <c r="H528" t="s">
        <v>27</v>
      </c>
      <c r="I528" t="s">
        <v>28</v>
      </c>
      <c r="J528">
        <v>1.03</v>
      </c>
      <c r="K528" t="s">
        <v>21</v>
      </c>
      <c r="L528">
        <v>0</v>
      </c>
      <c r="M528">
        <v>4.07</v>
      </c>
      <c r="N528">
        <v>77</v>
      </c>
      <c r="O528" t="s">
        <v>13</v>
      </c>
      <c r="P528">
        <v>17</v>
      </c>
      <c r="Q528">
        <v>12.96</v>
      </c>
      <c r="R528">
        <v>87.1</v>
      </c>
      <c r="S528">
        <v>198.41</v>
      </c>
      <c r="T528">
        <v>79.52</v>
      </c>
      <c r="U528">
        <v>1.35</v>
      </c>
      <c r="V528">
        <v>69.44</v>
      </c>
      <c r="W528">
        <v>347.37</v>
      </c>
      <c r="X528">
        <v>47.5</v>
      </c>
      <c r="Y528">
        <v>102.76</v>
      </c>
      <c r="Z528">
        <v>28.01</v>
      </c>
      <c r="AA528">
        <v>5.63</v>
      </c>
      <c r="AB528">
        <v>313.73</v>
      </c>
      <c r="AC528">
        <v>216.1171067738232</v>
      </c>
      <c r="AD528">
        <v>24.20756172839506</v>
      </c>
      <c r="AE528">
        <v>75.540000000000006</v>
      </c>
      <c r="AF528">
        <v>17.28</v>
      </c>
      <c r="AG528">
        <v>1</v>
      </c>
      <c r="AH528">
        <v>17.149999999999999</v>
      </c>
      <c r="AI528">
        <v>94.15</v>
      </c>
      <c r="AJ528">
        <v>232.42</v>
      </c>
      <c r="AK528">
        <v>80.05</v>
      </c>
      <c r="AL528" t="s">
        <v>23</v>
      </c>
      <c r="AM528" t="s">
        <v>24</v>
      </c>
      <c r="AN528" t="str">
        <f t="shared" si="32"/>
        <v>Morning</v>
      </c>
      <c r="AO528" t="str">
        <f t="shared" si="33"/>
        <v>Peak</v>
      </c>
      <c r="AP528" t="str">
        <f t="shared" si="34"/>
        <v>Medium</v>
      </c>
      <c r="AQ528" t="str">
        <f t="shared" si="35"/>
        <v>High</v>
      </c>
    </row>
    <row r="529" spans="1:43" x14ac:dyDescent="0.3">
      <c r="A529">
        <v>528</v>
      </c>
      <c r="B529" t="s">
        <v>14</v>
      </c>
      <c r="C529" t="s">
        <v>8</v>
      </c>
      <c r="D529" s="1">
        <v>46105</v>
      </c>
      <c r="E529" t="s">
        <v>44</v>
      </c>
      <c r="F529">
        <v>0</v>
      </c>
      <c r="G529">
        <v>8</v>
      </c>
      <c r="H529" t="s">
        <v>49</v>
      </c>
      <c r="I529" t="s">
        <v>39</v>
      </c>
      <c r="J529">
        <v>1.05</v>
      </c>
      <c r="K529" t="s">
        <v>12</v>
      </c>
      <c r="L529">
        <v>0</v>
      </c>
      <c r="M529">
        <v>1.85</v>
      </c>
      <c r="N529">
        <v>33</v>
      </c>
      <c r="O529" t="s">
        <v>22</v>
      </c>
      <c r="P529">
        <v>17</v>
      </c>
      <c r="Q529">
        <v>10.75</v>
      </c>
      <c r="R529">
        <v>61.1</v>
      </c>
      <c r="S529">
        <v>132.13999999999999</v>
      </c>
      <c r="T529">
        <v>37.119999999999997</v>
      </c>
      <c r="U529">
        <v>1</v>
      </c>
      <c r="V529">
        <v>0</v>
      </c>
      <c r="W529">
        <v>169.26</v>
      </c>
      <c r="X529">
        <v>38.200000000000003</v>
      </c>
      <c r="Y529">
        <v>108.93</v>
      </c>
      <c r="Z529">
        <v>30.64</v>
      </c>
      <c r="AA529">
        <v>6</v>
      </c>
      <c r="AB529">
        <v>132.62</v>
      </c>
      <c r="AC529">
        <v>130.23240589198036</v>
      </c>
      <c r="AD529">
        <v>12.336744186046513</v>
      </c>
      <c r="AE529">
        <v>75.819999999999993</v>
      </c>
      <c r="AF529">
        <v>12.02</v>
      </c>
      <c r="AG529">
        <v>0</v>
      </c>
      <c r="AH529">
        <v>2.11</v>
      </c>
      <c r="AI529">
        <v>35.11</v>
      </c>
      <c r="AJ529">
        <v>136.93</v>
      </c>
      <c r="AK529">
        <v>75.81</v>
      </c>
      <c r="AL529" t="s">
        <v>14</v>
      </c>
      <c r="AM529" t="s">
        <v>15</v>
      </c>
      <c r="AN529" t="str">
        <f t="shared" si="32"/>
        <v>Morning</v>
      </c>
      <c r="AO529" t="str">
        <f t="shared" si="33"/>
        <v>Peak</v>
      </c>
      <c r="AP529" t="str">
        <f t="shared" si="34"/>
        <v>Low</v>
      </c>
      <c r="AQ529" t="str">
        <f t="shared" si="35"/>
        <v>Low</v>
      </c>
    </row>
    <row r="530" spans="1:43" x14ac:dyDescent="0.3">
      <c r="A530">
        <v>529</v>
      </c>
      <c r="B530" t="s">
        <v>23</v>
      </c>
      <c r="C530" t="s">
        <v>17</v>
      </c>
      <c r="D530" s="1">
        <v>46070</v>
      </c>
      <c r="E530" t="s">
        <v>44</v>
      </c>
      <c r="F530">
        <v>0</v>
      </c>
      <c r="G530">
        <v>15</v>
      </c>
      <c r="H530" t="s">
        <v>19</v>
      </c>
      <c r="I530" t="s">
        <v>20</v>
      </c>
      <c r="J530">
        <v>1.25</v>
      </c>
      <c r="K530" t="s">
        <v>12</v>
      </c>
      <c r="L530">
        <v>0</v>
      </c>
      <c r="M530">
        <v>2.23</v>
      </c>
      <c r="N530">
        <v>40</v>
      </c>
      <c r="O530" t="s">
        <v>35</v>
      </c>
      <c r="P530">
        <v>7</v>
      </c>
      <c r="Q530">
        <v>2.72</v>
      </c>
      <c r="R530">
        <v>26.6</v>
      </c>
      <c r="S530">
        <v>80.959999999999994</v>
      </c>
      <c r="T530">
        <v>35.36</v>
      </c>
      <c r="U530">
        <v>1.1299999999999999</v>
      </c>
      <c r="V530">
        <v>10.52</v>
      </c>
      <c r="W530">
        <v>126.84</v>
      </c>
      <c r="X530">
        <v>44</v>
      </c>
      <c r="Y530">
        <v>107.12</v>
      </c>
      <c r="Z530">
        <v>6.62</v>
      </c>
      <c r="AA530">
        <v>3.12</v>
      </c>
      <c r="AB530">
        <v>117.1</v>
      </c>
      <c r="AC530">
        <v>264.13533834586462</v>
      </c>
      <c r="AD530">
        <v>43.05147058823529</v>
      </c>
      <c r="AE530">
        <v>67.27</v>
      </c>
      <c r="AF530">
        <v>14.41</v>
      </c>
      <c r="AG530">
        <v>0</v>
      </c>
      <c r="AH530">
        <v>4.84</v>
      </c>
      <c r="AI530">
        <v>44.84</v>
      </c>
      <c r="AJ530">
        <v>271.02999999999997</v>
      </c>
      <c r="AK530">
        <v>79.599999999999994</v>
      </c>
      <c r="AL530" t="s">
        <v>23</v>
      </c>
      <c r="AM530" t="s">
        <v>24</v>
      </c>
      <c r="AN530" t="str">
        <f t="shared" si="32"/>
        <v>Evening</v>
      </c>
      <c r="AO530" t="str">
        <f t="shared" si="33"/>
        <v>Off-Peak</v>
      </c>
      <c r="AP530" t="str">
        <f t="shared" si="34"/>
        <v>High</v>
      </c>
      <c r="AQ530" t="str">
        <f t="shared" si="35"/>
        <v>Medium</v>
      </c>
    </row>
    <row r="531" spans="1:43" x14ac:dyDescent="0.3">
      <c r="A531">
        <v>530</v>
      </c>
      <c r="B531" t="s">
        <v>23</v>
      </c>
      <c r="C531" t="s">
        <v>17</v>
      </c>
      <c r="D531" s="1">
        <v>46191</v>
      </c>
      <c r="E531" t="s">
        <v>41</v>
      </c>
      <c r="F531">
        <v>0</v>
      </c>
      <c r="G531">
        <v>13</v>
      </c>
      <c r="H531" t="s">
        <v>19</v>
      </c>
      <c r="I531" t="s">
        <v>46</v>
      </c>
      <c r="J531">
        <v>1.1499999999999999</v>
      </c>
      <c r="K531" t="s">
        <v>21</v>
      </c>
      <c r="L531">
        <v>0</v>
      </c>
      <c r="M531">
        <v>2.88</v>
      </c>
      <c r="N531">
        <v>27</v>
      </c>
      <c r="O531" t="s">
        <v>22</v>
      </c>
      <c r="P531">
        <v>3</v>
      </c>
      <c r="Q531">
        <v>1.49</v>
      </c>
      <c r="R531">
        <v>33.5</v>
      </c>
      <c r="S531">
        <v>61.69</v>
      </c>
      <c r="T531">
        <v>23.63</v>
      </c>
      <c r="U531">
        <v>1.07</v>
      </c>
      <c r="V531">
        <v>4.32</v>
      </c>
      <c r="W531">
        <v>89.64</v>
      </c>
      <c r="X531">
        <v>47</v>
      </c>
      <c r="Y531">
        <v>104.04</v>
      </c>
      <c r="Z531">
        <v>3.31</v>
      </c>
      <c r="AA531">
        <v>2.6</v>
      </c>
      <c r="AB531">
        <v>83.73</v>
      </c>
      <c r="AC531">
        <v>149.96417910447761</v>
      </c>
      <c r="AD531">
        <v>56.194630872483224</v>
      </c>
      <c r="AE531">
        <v>79.400000000000006</v>
      </c>
      <c r="AF531">
        <v>13.82</v>
      </c>
      <c r="AG531">
        <v>0</v>
      </c>
      <c r="AH531">
        <v>2.66</v>
      </c>
      <c r="AI531">
        <v>29.66</v>
      </c>
      <c r="AJ531">
        <v>177.38</v>
      </c>
      <c r="AK531">
        <v>74.48</v>
      </c>
      <c r="AL531" t="s">
        <v>14</v>
      </c>
      <c r="AM531" t="s">
        <v>15</v>
      </c>
      <c r="AN531" t="str">
        <f t="shared" si="32"/>
        <v>Afternoon</v>
      </c>
      <c r="AO531" t="str">
        <f t="shared" si="33"/>
        <v>Off-Peak</v>
      </c>
      <c r="AP531" t="str">
        <f t="shared" si="34"/>
        <v>Low</v>
      </c>
      <c r="AQ531" t="str">
        <f t="shared" si="35"/>
        <v>Low</v>
      </c>
    </row>
    <row r="532" spans="1:43" x14ac:dyDescent="0.3">
      <c r="A532">
        <v>531</v>
      </c>
      <c r="B532" t="s">
        <v>25</v>
      </c>
      <c r="C532" t="s">
        <v>17</v>
      </c>
      <c r="D532" s="1">
        <v>46067</v>
      </c>
      <c r="E532" t="s">
        <v>31</v>
      </c>
      <c r="F532">
        <v>1</v>
      </c>
      <c r="G532">
        <v>7</v>
      </c>
      <c r="H532" t="s">
        <v>27</v>
      </c>
      <c r="I532" t="s">
        <v>33</v>
      </c>
      <c r="J532">
        <v>1</v>
      </c>
      <c r="K532" t="s">
        <v>12</v>
      </c>
      <c r="L532">
        <v>0</v>
      </c>
      <c r="M532">
        <v>3.97</v>
      </c>
      <c r="N532">
        <v>126</v>
      </c>
      <c r="O532" t="s">
        <v>13</v>
      </c>
      <c r="P532">
        <v>27</v>
      </c>
      <c r="Q532">
        <v>1.46</v>
      </c>
      <c r="R532">
        <v>37.700000000000003</v>
      </c>
      <c r="S532">
        <v>82.04</v>
      </c>
      <c r="T532">
        <v>100</v>
      </c>
      <c r="U532">
        <v>1.21</v>
      </c>
      <c r="V532">
        <v>17.23</v>
      </c>
      <c r="W532">
        <v>199.27</v>
      </c>
      <c r="X532">
        <v>39.799999999999997</v>
      </c>
      <c r="Y532">
        <v>107.62</v>
      </c>
      <c r="Z532">
        <v>3.94</v>
      </c>
      <c r="AA532">
        <v>10.82</v>
      </c>
      <c r="AB532">
        <v>184.51</v>
      </c>
      <c r="AC532">
        <v>293.64986737400528</v>
      </c>
      <c r="AD532">
        <v>126.37671232876713</v>
      </c>
      <c r="AE532">
        <v>89.16</v>
      </c>
      <c r="AF532">
        <v>13.15</v>
      </c>
      <c r="AG532">
        <v>1</v>
      </c>
      <c r="AH532">
        <v>-28.94</v>
      </c>
      <c r="AI532">
        <v>97.06</v>
      </c>
      <c r="AJ532">
        <v>302.70999999999998</v>
      </c>
      <c r="AK532">
        <v>78.05</v>
      </c>
      <c r="AL532" t="s">
        <v>23</v>
      </c>
      <c r="AM532" t="s">
        <v>24</v>
      </c>
      <c r="AN532" t="str">
        <f t="shared" si="32"/>
        <v>Morning</v>
      </c>
      <c r="AO532" t="str">
        <f t="shared" si="33"/>
        <v>Peak</v>
      </c>
      <c r="AP532" t="str">
        <f t="shared" si="34"/>
        <v>High</v>
      </c>
      <c r="AQ532" t="str">
        <f t="shared" si="35"/>
        <v>High</v>
      </c>
    </row>
    <row r="533" spans="1:43" x14ac:dyDescent="0.3">
      <c r="A533">
        <v>532</v>
      </c>
      <c r="B533" t="s">
        <v>14</v>
      </c>
      <c r="C533" t="s">
        <v>8</v>
      </c>
      <c r="D533" s="1">
        <v>46196</v>
      </c>
      <c r="E533" t="s">
        <v>44</v>
      </c>
      <c r="F533">
        <v>0</v>
      </c>
      <c r="G533">
        <v>21</v>
      </c>
      <c r="H533" t="s">
        <v>51</v>
      </c>
      <c r="I533" t="s">
        <v>28</v>
      </c>
      <c r="J533">
        <v>1.03</v>
      </c>
      <c r="K533" t="s">
        <v>12</v>
      </c>
      <c r="L533">
        <v>0</v>
      </c>
      <c r="M533">
        <v>3.65</v>
      </c>
      <c r="N533">
        <v>80</v>
      </c>
      <c r="O533" t="s">
        <v>13</v>
      </c>
      <c r="P533">
        <v>38</v>
      </c>
      <c r="Q533">
        <v>2.25</v>
      </c>
      <c r="R533">
        <v>23.3</v>
      </c>
      <c r="S533">
        <v>65.92</v>
      </c>
      <c r="T533">
        <v>74.91</v>
      </c>
      <c r="U533">
        <v>1</v>
      </c>
      <c r="V533">
        <v>0</v>
      </c>
      <c r="W533">
        <v>140.83000000000001</v>
      </c>
      <c r="X533">
        <v>40.299999999999997</v>
      </c>
      <c r="Y533">
        <v>103.41</v>
      </c>
      <c r="Z533">
        <v>5.78</v>
      </c>
      <c r="AA533">
        <v>10.88</v>
      </c>
      <c r="AB533">
        <v>124.17</v>
      </c>
      <c r="AC533">
        <v>319.75107296137338</v>
      </c>
      <c r="AD533">
        <v>55.186666666666667</v>
      </c>
      <c r="AE533">
        <v>74.17</v>
      </c>
      <c r="AF533">
        <v>14.96</v>
      </c>
      <c r="AG533">
        <v>1</v>
      </c>
      <c r="AH533">
        <v>-26.95</v>
      </c>
      <c r="AI533">
        <v>53.05</v>
      </c>
      <c r="AJ533">
        <v>312.02999999999997</v>
      </c>
      <c r="AK533">
        <v>70.7</v>
      </c>
      <c r="AL533" t="s">
        <v>14</v>
      </c>
      <c r="AM533" t="s">
        <v>15</v>
      </c>
      <c r="AN533" t="str">
        <f t="shared" si="32"/>
        <v>Night</v>
      </c>
      <c r="AO533" t="str">
        <f t="shared" si="33"/>
        <v>Off-Peak</v>
      </c>
      <c r="AP533" t="str">
        <f t="shared" si="34"/>
        <v>High</v>
      </c>
      <c r="AQ533" t="str">
        <f t="shared" si="35"/>
        <v>High</v>
      </c>
    </row>
    <row r="534" spans="1:43" x14ac:dyDescent="0.3">
      <c r="A534">
        <v>533</v>
      </c>
      <c r="B534" t="s">
        <v>14</v>
      </c>
      <c r="C534" t="s">
        <v>8</v>
      </c>
      <c r="D534" s="1">
        <v>46064</v>
      </c>
      <c r="E534" t="s">
        <v>18</v>
      </c>
      <c r="F534">
        <v>0</v>
      </c>
      <c r="G534">
        <v>18</v>
      </c>
      <c r="H534" t="s">
        <v>51</v>
      </c>
      <c r="I534" t="s">
        <v>37</v>
      </c>
      <c r="J534">
        <v>1.02</v>
      </c>
      <c r="K534" t="s">
        <v>12</v>
      </c>
      <c r="L534">
        <v>0</v>
      </c>
      <c r="M534">
        <v>3.96</v>
      </c>
      <c r="N534">
        <v>71</v>
      </c>
      <c r="O534" t="s">
        <v>13</v>
      </c>
      <c r="P534">
        <v>27</v>
      </c>
      <c r="Q534">
        <v>2.54</v>
      </c>
      <c r="R534">
        <v>38</v>
      </c>
      <c r="S534">
        <v>60.68</v>
      </c>
      <c r="T534">
        <v>85.75</v>
      </c>
      <c r="U534">
        <v>1</v>
      </c>
      <c r="V534">
        <v>0</v>
      </c>
      <c r="W534">
        <v>146.43</v>
      </c>
      <c r="X534">
        <v>44.4</v>
      </c>
      <c r="Y534">
        <v>105.22</v>
      </c>
      <c r="Z534">
        <v>6.01</v>
      </c>
      <c r="AA534">
        <v>2.0299999999999998</v>
      </c>
      <c r="AB534">
        <v>138.38999999999999</v>
      </c>
      <c r="AC534">
        <v>218.51052631578946</v>
      </c>
      <c r="AD534">
        <v>54.484251968503933</v>
      </c>
      <c r="AE534">
        <v>83.49</v>
      </c>
      <c r="AF534">
        <v>16.57</v>
      </c>
      <c r="AG534">
        <v>1</v>
      </c>
      <c r="AH534">
        <v>-1.78</v>
      </c>
      <c r="AI534">
        <v>69.22</v>
      </c>
      <c r="AJ534">
        <v>236.06</v>
      </c>
      <c r="AK534">
        <v>77.19</v>
      </c>
      <c r="AL534" t="s">
        <v>14</v>
      </c>
      <c r="AM534" t="s">
        <v>15</v>
      </c>
      <c r="AN534" t="str">
        <f t="shared" si="32"/>
        <v>Night</v>
      </c>
      <c r="AO534" t="str">
        <f t="shared" si="33"/>
        <v>Peak</v>
      </c>
      <c r="AP534" t="str">
        <f t="shared" si="34"/>
        <v>Medium</v>
      </c>
      <c r="AQ534" t="str">
        <f t="shared" si="35"/>
        <v>High</v>
      </c>
    </row>
    <row r="535" spans="1:43" x14ac:dyDescent="0.3">
      <c r="A535">
        <v>534</v>
      </c>
      <c r="B535" t="s">
        <v>14</v>
      </c>
      <c r="C535" t="s">
        <v>8</v>
      </c>
      <c r="D535" s="1">
        <v>46135</v>
      </c>
      <c r="E535" t="s">
        <v>41</v>
      </c>
      <c r="F535">
        <v>0</v>
      </c>
      <c r="G535">
        <v>15</v>
      </c>
      <c r="H535" t="s">
        <v>32</v>
      </c>
      <c r="I535" t="s">
        <v>11</v>
      </c>
      <c r="J535">
        <v>1.18</v>
      </c>
      <c r="K535" t="s">
        <v>34</v>
      </c>
      <c r="L535">
        <v>1</v>
      </c>
      <c r="M535">
        <v>3.55</v>
      </c>
      <c r="N535">
        <v>33</v>
      </c>
      <c r="O535" t="s">
        <v>22</v>
      </c>
      <c r="P535">
        <v>14</v>
      </c>
      <c r="Q535">
        <v>3.13</v>
      </c>
      <c r="R535">
        <v>35.700000000000003</v>
      </c>
      <c r="S535">
        <v>75.48</v>
      </c>
      <c r="T535">
        <v>52.01</v>
      </c>
      <c r="U535">
        <v>1</v>
      </c>
      <c r="V535">
        <v>0</v>
      </c>
      <c r="W535">
        <v>127.49</v>
      </c>
      <c r="X535">
        <v>37.200000000000003</v>
      </c>
      <c r="Y535">
        <v>109.23</v>
      </c>
      <c r="Z535">
        <v>9.19</v>
      </c>
      <c r="AA535">
        <v>8.41</v>
      </c>
      <c r="AB535">
        <v>109.89</v>
      </c>
      <c r="AC535">
        <v>184.68907563025206</v>
      </c>
      <c r="AD535">
        <v>35.108626198083066</v>
      </c>
      <c r="AE535">
        <v>73.760000000000005</v>
      </c>
      <c r="AF535">
        <v>16.8</v>
      </c>
      <c r="AG535">
        <v>0</v>
      </c>
      <c r="AH535">
        <v>7.18</v>
      </c>
      <c r="AI535">
        <v>40.18</v>
      </c>
      <c r="AJ535">
        <v>181.31</v>
      </c>
      <c r="AK535">
        <v>72.13</v>
      </c>
      <c r="AL535" t="s">
        <v>14</v>
      </c>
      <c r="AM535" t="s">
        <v>15</v>
      </c>
      <c r="AN535" t="str">
        <f t="shared" si="32"/>
        <v>Evening</v>
      </c>
      <c r="AO535" t="str">
        <f t="shared" si="33"/>
        <v>Off-Peak</v>
      </c>
      <c r="AP535" t="str">
        <f t="shared" si="34"/>
        <v>Medium</v>
      </c>
      <c r="AQ535" t="str">
        <f t="shared" si="35"/>
        <v>Low</v>
      </c>
    </row>
    <row r="536" spans="1:43" x14ac:dyDescent="0.3">
      <c r="A536">
        <v>535</v>
      </c>
      <c r="B536" t="s">
        <v>25</v>
      </c>
      <c r="C536" t="s">
        <v>17</v>
      </c>
      <c r="D536" s="1">
        <v>46231</v>
      </c>
      <c r="E536" t="s">
        <v>44</v>
      </c>
      <c r="F536">
        <v>0</v>
      </c>
      <c r="G536">
        <v>22</v>
      </c>
      <c r="H536" t="s">
        <v>19</v>
      </c>
      <c r="I536" t="s">
        <v>11</v>
      </c>
      <c r="J536">
        <v>1.18</v>
      </c>
      <c r="K536" t="s">
        <v>21</v>
      </c>
      <c r="L536">
        <v>0</v>
      </c>
      <c r="M536">
        <v>3.71</v>
      </c>
      <c r="N536">
        <v>25</v>
      </c>
      <c r="O536" t="s">
        <v>22</v>
      </c>
      <c r="P536">
        <v>6</v>
      </c>
      <c r="Q536">
        <v>6.3</v>
      </c>
      <c r="R536">
        <v>46</v>
      </c>
      <c r="S536">
        <v>132.22</v>
      </c>
      <c r="T536">
        <v>34.36</v>
      </c>
      <c r="U536">
        <v>1.1200000000000001</v>
      </c>
      <c r="V536">
        <v>15.87</v>
      </c>
      <c r="W536">
        <v>182.45</v>
      </c>
      <c r="X536">
        <v>36.799999999999997</v>
      </c>
      <c r="Y536">
        <v>102</v>
      </c>
      <c r="Z536">
        <v>17.47</v>
      </c>
      <c r="AA536">
        <v>2.94</v>
      </c>
      <c r="AB536">
        <v>162.04</v>
      </c>
      <c r="AC536">
        <v>211.35652173913041</v>
      </c>
      <c r="AD536">
        <v>25.720634920634922</v>
      </c>
      <c r="AE536">
        <v>83.18</v>
      </c>
      <c r="AF536">
        <v>17.239999999999998</v>
      </c>
      <c r="AG536">
        <v>0</v>
      </c>
      <c r="AH536">
        <v>-0.52</v>
      </c>
      <c r="AI536">
        <v>24.48</v>
      </c>
      <c r="AJ536">
        <v>209.6</v>
      </c>
      <c r="AK536">
        <v>69.33</v>
      </c>
      <c r="AL536" t="s">
        <v>23</v>
      </c>
      <c r="AM536" t="s">
        <v>24</v>
      </c>
      <c r="AN536" t="str">
        <f t="shared" si="32"/>
        <v>Night</v>
      </c>
      <c r="AO536" t="str">
        <f t="shared" si="33"/>
        <v>Off-Peak</v>
      </c>
      <c r="AP536" t="str">
        <f t="shared" si="34"/>
        <v>Medium</v>
      </c>
      <c r="AQ536" t="str">
        <f t="shared" si="35"/>
        <v>Low</v>
      </c>
    </row>
    <row r="537" spans="1:43" x14ac:dyDescent="0.3">
      <c r="A537">
        <v>536</v>
      </c>
      <c r="B537" t="s">
        <v>14</v>
      </c>
      <c r="C537" t="s">
        <v>8</v>
      </c>
      <c r="D537" s="1">
        <v>46081</v>
      </c>
      <c r="E537" t="s">
        <v>31</v>
      </c>
      <c r="F537">
        <v>1</v>
      </c>
      <c r="G537">
        <v>22</v>
      </c>
      <c r="H537" t="s">
        <v>51</v>
      </c>
      <c r="I537" t="s">
        <v>33</v>
      </c>
      <c r="J537">
        <v>1</v>
      </c>
      <c r="K537" t="s">
        <v>12</v>
      </c>
      <c r="L537">
        <v>0</v>
      </c>
      <c r="M537">
        <v>2.92</v>
      </c>
      <c r="N537">
        <v>59</v>
      </c>
      <c r="O537" t="s">
        <v>35</v>
      </c>
      <c r="P537">
        <v>19</v>
      </c>
      <c r="Q537">
        <v>3.05</v>
      </c>
      <c r="R537">
        <v>34.700000000000003</v>
      </c>
      <c r="S537">
        <v>71.16</v>
      </c>
      <c r="T537">
        <v>52.79</v>
      </c>
      <c r="U537">
        <v>1</v>
      </c>
      <c r="V537">
        <v>0</v>
      </c>
      <c r="W537">
        <v>123.95</v>
      </c>
      <c r="X537">
        <v>38.700000000000003</v>
      </c>
      <c r="Y537">
        <v>103.13</v>
      </c>
      <c r="Z537">
        <v>8.11</v>
      </c>
      <c r="AA537">
        <v>10.1</v>
      </c>
      <c r="AB537">
        <v>105.74</v>
      </c>
      <c r="AC537">
        <v>182.835734870317</v>
      </c>
      <c r="AD537">
        <v>34.668852459016392</v>
      </c>
      <c r="AE537">
        <v>92.99</v>
      </c>
      <c r="AF537">
        <v>12.16</v>
      </c>
      <c r="AG537">
        <v>1</v>
      </c>
      <c r="AH537">
        <v>-9.9600000000000009</v>
      </c>
      <c r="AI537">
        <v>49.04</v>
      </c>
      <c r="AJ537">
        <v>188.33</v>
      </c>
      <c r="AK537">
        <v>68.59</v>
      </c>
      <c r="AL537" t="s">
        <v>14</v>
      </c>
      <c r="AM537" t="s">
        <v>15</v>
      </c>
      <c r="AN537" t="str">
        <f t="shared" si="32"/>
        <v>Night</v>
      </c>
      <c r="AO537" t="str">
        <f t="shared" si="33"/>
        <v>Off-Peak</v>
      </c>
      <c r="AP537" t="str">
        <f t="shared" si="34"/>
        <v>Medium</v>
      </c>
      <c r="AQ537" t="str">
        <f t="shared" si="35"/>
        <v>Medium</v>
      </c>
    </row>
    <row r="538" spans="1:43" x14ac:dyDescent="0.3">
      <c r="A538">
        <v>537</v>
      </c>
      <c r="B538" t="s">
        <v>29</v>
      </c>
      <c r="C538" t="s">
        <v>30</v>
      </c>
      <c r="D538" s="1">
        <v>46221</v>
      </c>
      <c r="E538" t="s">
        <v>31</v>
      </c>
      <c r="F538">
        <v>1</v>
      </c>
      <c r="G538">
        <v>22</v>
      </c>
      <c r="H538" t="s">
        <v>36</v>
      </c>
      <c r="I538" t="s">
        <v>39</v>
      </c>
      <c r="J538">
        <v>1.05</v>
      </c>
      <c r="K538" t="s">
        <v>12</v>
      </c>
      <c r="L538">
        <v>0</v>
      </c>
      <c r="M538">
        <v>3.32</v>
      </c>
      <c r="N538">
        <v>64</v>
      </c>
      <c r="O538" t="s">
        <v>35</v>
      </c>
      <c r="P538">
        <v>18</v>
      </c>
      <c r="Q538">
        <v>4.1100000000000003</v>
      </c>
      <c r="R538">
        <v>33</v>
      </c>
      <c r="S538">
        <v>69.81</v>
      </c>
      <c r="T538">
        <v>57.78</v>
      </c>
      <c r="U538">
        <v>1</v>
      </c>
      <c r="V538">
        <v>0</v>
      </c>
      <c r="W538">
        <v>127.59</v>
      </c>
      <c r="X538">
        <v>46.1</v>
      </c>
      <c r="Y538">
        <v>108.86</v>
      </c>
      <c r="Z538">
        <v>9.7100000000000009</v>
      </c>
      <c r="AA538">
        <v>10.8</v>
      </c>
      <c r="AB538">
        <v>107.08</v>
      </c>
      <c r="AC538">
        <v>194.69090909090906</v>
      </c>
      <c r="AD538">
        <v>26.053527980535279</v>
      </c>
      <c r="AE538">
        <v>68.37</v>
      </c>
      <c r="AF538">
        <v>15.52</v>
      </c>
      <c r="AG538">
        <v>1</v>
      </c>
      <c r="AH538">
        <v>-0.6</v>
      </c>
      <c r="AI538">
        <v>63.4</v>
      </c>
      <c r="AJ538">
        <v>182.14</v>
      </c>
      <c r="AK538">
        <v>76.03</v>
      </c>
      <c r="AL538" t="s">
        <v>14</v>
      </c>
      <c r="AM538" t="s">
        <v>15</v>
      </c>
      <c r="AN538" t="str">
        <f t="shared" si="32"/>
        <v>Night</v>
      </c>
      <c r="AO538" t="str">
        <f t="shared" si="33"/>
        <v>Off-Peak</v>
      </c>
      <c r="AP538" t="str">
        <f t="shared" si="34"/>
        <v>Medium</v>
      </c>
      <c r="AQ538" t="str">
        <f t="shared" si="35"/>
        <v>Medium</v>
      </c>
    </row>
    <row r="539" spans="1:43" x14ac:dyDescent="0.3">
      <c r="A539">
        <v>538</v>
      </c>
      <c r="B539" t="s">
        <v>7</v>
      </c>
      <c r="C539" t="s">
        <v>8</v>
      </c>
      <c r="D539" s="1">
        <v>46209</v>
      </c>
      <c r="E539" t="s">
        <v>38</v>
      </c>
      <c r="F539">
        <v>0</v>
      </c>
      <c r="G539">
        <v>11</v>
      </c>
      <c r="H539" t="s">
        <v>10</v>
      </c>
      <c r="I539" t="s">
        <v>45</v>
      </c>
      <c r="J539">
        <v>1</v>
      </c>
      <c r="K539" t="s">
        <v>12</v>
      </c>
      <c r="L539">
        <v>0</v>
      </c>
      <c r="M539">
        <v>2.57</v>
      </c>
      <c r="N539">
        <v>40</v>
      </c>
      <c r="O539" t="s">
        <v>35</v>
      </c>
      <c r="P539">
        <v>17</v>
      </c>
      <c r="Q539">
        <v>1</v>
      </c>
      <c r="R539">
        <v>20.399999999999999</v>
      </c>
      <c r="S539">
        <v>60.78</v>
      </c>
      <c r="T539">
        <v>33.479999999999997</v>
      </c>
      <c r="U539">
        <v>1</v>
      </c>
      <c r="V539">
        <v>0</v>
      </c>
      <c r="W539">
        <v>94.26</v>
      </c>
      <c r="X539">
        <v>40.5</v>
      </c>
      <c r="Y539">
        <v>104.62</v>
      </c>
      <c r="Z539">
        <v>2.58</v>
      </c>
      <c r="AA539">
        <v>8.17</v>
      </c>
      <c r="AB539">
        <v>83.51</v>
      </c>
      <c r="AC539">
        <v>245.61764705882356</v>
      </c>
      <c r="AD539">
        <v>83.51</v>
      </c>
      <c r="AE539">
        <v>81.36</v>
      </c>
      <c r="AF539">
        <v>15.55</v>
      </c>
      <c r="AG539">
        <v>0</v>
      </c>
      <c r="AH539">
        <v>-1.91</v>
      </c>
      <c r="AI539">
        <v>38.090000000000003</v>
      </c>
      <c r="AJ539">
        <v>237.55</v>
      </c>
      <c r="AK539">
        <v>78.400000000000006</v>
      </c>
      <c r="AL539" t="s">
        <v>14</v>
      </c>
      <c r="AM539" t="s">
        <v>15</v>
      </c>
      <c r="AN539" t="str">
        <f t="shared" si="32"/>
        <v>Afternoon</v>
      </c>
      <c r="AO539" t="str">
        <f t="shared" si="33"/>
        <v>Off-Peak</v>
      </c>
      <c r="AP539" t="str">
        <f t="shared" si="34"/>
        <v>Medium</v>
      </c>
      <c r="AQ539" t="str">
        <f t="shared" si="35"/>
        <v>Medium</v>
      </c>
    </row>
    <row r="540" spans="1:43" x14ac:dyDescent="0.3">
      <c r="A540">
        <v>539</v>
      </c>
      <c r="B540" t="s">
        <v>29</v>
      </c>
      <c r="C540" t="s">
        <v>30</v>
      </c>
      <c r="D540" s="1">
        <v>46255</v>
      </c>
      <c r="E540" t="s">
        <v>9</v>
      </c>
      <c r="F540">
        <v>0</v>
      </c>
      <c r="G540">
        <v>21</v>
      </c>
      <c r="H540" t="s">
        <v>36</v>
      </c>
      <c r="I540" t="s">
        <v>45</v>
      </c>
      <c r="J540">
        <v>1</v>
      </c>
      <c r="K540" t="s">
        <v>12</v>
      </c>
      <c r="L540">
        <v>0</v>
      </c>
      <c r="M540">
        <v>3.46</v>
      </c>
      <c r="N540">
        <v>31</v>
      </c>
      <c r="O540" t="s">
        <v>22</v>
      </c>
      <c r="P540">
        <v>9</v>
      </c>
      <c r="Q540">
        <v>2.14</v>
      </c>
      <c r="R540">
        <v>27.5</v>
      </c>
      <c r="S540">
        <v>60.49</v>
      </c>
      <c r="T540">
        <v>34.479999999999997</v>
      </c>
      <c r="U540">
        <v>1</v>
      </c>
      <c r="V540">
        <v>0</v>
      </c>
      <c r="W540">
        <v>94.97</v>
      </c>
      <c r="X540">
        <v>42.6</v>
      </c>
      <c r="Y540">
        <v>103.18</v>
      </c>
      <c r="Z540">
        <v>5.18</v>
      </c>
      <c r="AA540">
        <v>8.1300000000000008</v>
      </c>
      <c r="AB540">
        <v>81.66</v>
      </c>
      <c r="AC540">
        <v>178.16727272727272</v>
      </c>
      <c r="AD540">
        <v>38.158878504672892</v>
      </c>
      <c r="AE540">
        <v>84.92</v>
      </c>
      <c r="AF540">
        <v>17.48</v>
      </c>
      <c r="AG540">
        <v>0</v>
      </c>
      <c r="AH540">
        <v>14.69</v>
      </c>
      <c r="AI540">
        <v>45.69</v>
      </c>
      <c r="AJ540">
        <v>185.51</v>
      </c>
      <c r="AK540">
        <v>61.84</v>
      </c>
      <c r="AL540" t="s">
        <v>14</v>
      </c>
      <c r="AM540" t="s">
        <v>15</v>
      </c>
      <c r="AN540" t="str">
        <f t="shared" si="32"/>
        <v>Night</v>
      </c>
      <c r="AO540" t="str">
        <f t="shared" si="33"/>
        <v>Off-Peak</v>
      </c>
      <c r="AP540" t="str">
        <f t="shared" si="34"/>
        <v>Medium</v>
      </c>
      <c r="AQ540" t="str">
        <f t="shared" si="35"/>
        <v>Low</v>
      </c>
    </row>
    <row r="541" spans="1:43" x14ac:dyDescent="0.3">
      <c r="A541">
        <v>540</v>
      </c>
      <c r="B541" t="s">
        <v>7</v>
      </c>
      <c r="C541" t="s">
        <v>8</v>
      </c>
      <c r="D541" s="1">
        <v>46066</v>
      </c>
      <c r="E541" t="s">
        <v>9</v>
      </c>
      <c r="F541">
        <v>0</v>
      </c>
      <c r="G541">
        <v>15</v>
      </c>
      <c r="H541" t="s">
        <v>32</v>
      </c>
      <c r="I541" t="s">
        <v>42</v>
      </c>
      <c r="J541">
        <v>1.08</v>
      </c>
      <c r="K541" t="s">
        <v>12</v>
      </c>
      <c r="L541">
        <v>0</v>
      </c>
      <c r="M541">
        <v>3.3</v>
      </c>
      <c r="N541">
        <v>9</v>
      </c>
      <c r="O541" t="s">
        <v>22</v>
      </c>
      <c r="P541">
        <v>5</v>
      </c>
      <c r="Q541">
        <v>2.06</v>
      </c>
      <c r="R541">
        <v>28</v>
      </c>
      <c r="S541">
        <v>64.91</v>
      </c>
      <c r="T541">
        <v>15.36</v>
      </c>
      <c r="U541">
        <v>1</v>
      </c>
      <c r="V541">
        <v>0</v>
      </c>
      <c r="W541">
        <v>80.27</v>
      </c>
      <c r="X541">
        <v>37.9</v>
      </c>
      <c r="Y541">
        <v>100.37</v>
      </c>
      <c r="Z541">
        <v>5.45</v>
      </c>
      <c r="AA541">
        <v>5.71</v>
      </c>
      <c r="AB541">
        <v>69.11</v>
      </c>
      <c r="AC541">
        <v>148.09285714285713</v>
      </c>
      <c r="AD541">
        <v>33.54854368932039</v>
      </c>
      <c r="AE541">
        <v>64.95</v>
      </c>
      <c r="AF541">
        <v>15.2</v>
      </c>
      <c r="AG541">
        <v>0</v>
      </c>
      <c r="AH541">
        <v>13.85</v>
      </c>
      <c r="AI541">
        <v>22.85</v>
      </c>
      <c r="AJ541">
        <v>140.03</v>
      </c>
      <c r="AK541">
        <v>60</v>
      </c>
      <c r="AL541" t="s">
        <v>14</v>
      </c>
      <c r="AM541" t="s">
        <v>15</v>
      </c>
      <c r="AN541" t="str">
        <f t="shared" si="32"/>
        <v>Evening</v>
      </c>
      <c r="AO541" t="str">
        <f t="shared" si="33"/>
        <v>Off-Peak</v>
      </c>
      <c r="AP541" t="str">
        <f t="shared" si="34"/>
        <v>Low</v>
      </c>
      <c r="AQ541" t="str">
        <f t="shared" si="35"/>
        <v>Low</v>
      </c>
    </row>
    <row r="542" spans="1:43" x14ac:dyDescent="0.3">
      <c r="A542">
        <v>541</v>
      </c>
      <c r="B542" t="s">
        <v>25</v>
      </c>
      <c r="C542" t="s">
        <v>17</v>
      </c>
      <c r="D542" s="1">
        <v>46207</v>
      </c>
      <c r="E542" t="s">
        <v>31</v>
      </c>
      <c r="F542">
        <v>1</v>
      </c>
      <c r="G542">
        <v>18</v>
      </c>
      <c r="H542" t="s">
        <v>40</v>
      </c>
      <c r="I542" t="s">
        <v>20</v>
      </c>
      <c r="J542">
        <v>1.25</v>
      </c>
      <c r="K542" t="s">
        <v>34</v>
      </c>
      <c r="L542">
        <v>1</v>
      </c>
      <c r="M542">
        <v>5</v>
      </c>
      <c r="N542">
        <v>116</v>
      </c>
      <c r="O542" t="s">
        <v>13</v>
      </c>
      <c r="P542">
        <v>24</v>
      </c>
      <c r="Q542">
        <v>1</v>
      </c>
      <c r="R542">
        <v>32.1</v>
      </c>
      <c r="S542">
        <v>70.34</v>
      </c>
      <c r="T542">
        <v>100</v>
      </c>
      <c r="U542">
        <v>1.35</v>
      </c>
      <c r="V542">
        <v>24.62</v>
      </c>
      <c r="W542">
        <v>194.96</v>
      </c>
      <c r="X542">
        <v>37.9</v>
      </c>
      <c r="Y542">
        <v>104.19</v>
      </c>
      <c r="Z542">
        <v>2.75</v>
      </c>
      <c r="AA542">
        <v>4.49</v>
      </c>
      <c r="AB542">
        <v>187.72</v>
      </c>
      <c r="AC542">
        <v>350.87850467289718</v>
      </c>
      <c r="AD542">
        <v>187.72</v>
      </c>
      <c r="AE542">
        <v>76.680000000000007</v>
      </c>
      <c r="AF542">
        <v>17.27</v>
      </c>
      <c r="AG542">
        <v>1</v>
      </c>
      <c r="AH542">
        <v>-5.3</v>
      </c>
      <c r="AI542">
        <v>110.7</v>
      </c>
      <c r="AJ542">
        <v>378.01</v>
      </c>
      <c r="AK542">
        <v>85.65</v>
      </c>
      <c r="AL542" t="s">
        <v>23</v>
      </c>
      <c r="AM542" t="s">
        <v>24</v>
      </c>
      <c r="AN542" t="str">
        <f t="shared" si="32"/>
        <v>Night</v>
      </c>
      <c r="AO542" t="str">
        <f t="shared" si="33"/>
        <v>Peak</v>
      </c>
      <c r="AP542" t="str">
        <f t="shared" si="34"/>
        <v>High</v>
      </c>
      <c r="AQ542" t="str">
        <f t="shared" si="35"/>
        <v>High</v>
      </c>
    </row>
    <row r="543" spans="1:43" x14ac:dyDescent="0.3">
      <c r="A543">
        <v>542</v>
      </c>
      <c r="B543" t="s">
        <v>7</v>
      </c>
      <c r="C543" t="s">
        <v>8</v>
      </c>
      <c r="D543" s="1">
        <v>46264</v>
      </c>
      <c r="E543" t="s">
        <v>26</v>
      </c>
      <c r="F543">
        <v>1</v>
      </c>
      <c r="G543">
        <v>20</v>
      </c>
      <c r="H543" t="s">
        <v>51</v>
      </c>
      <c r="I543" t="s">
        <v>33</v>
      </c>
      <c r="J543">
        <v>1</v>
      </c>
      <c r="K543" t="s">
        <v>12</v>
      </c>
      <c r="L543">
        <v>0</v>
      </c>
      <c r="M543">
        <v>4.67</v>
      </c>
      <c r="N543">
        <v>72</v>
      </c>
      <c r="O543" t="s">
        <v>13</v>
      </c>
      <c r="P543">
        <v>29</v>
      </c>
      <c r="Q543">
        <v>2.99</v>
      </c>
      <c r="R543">
        <v>35.1</v>
      </c>
      <c r="S543">
        <v>69.2</v>
      </c>
      <c r="T543">
        <v>81.069999999999993</v>
      </c>
      <c r="U543">
        <v>1</v>
      </c>
      <c r="V543">
        <v>0</v>
      </c>
      <c r="W543">
        <v>150.27000000000001</v>
      </c>
      <c r="X543">
        <v>44.8</v>
      </c>
      <c r="Y543">
        <v>105.01</v>
      </c>
      <c r="Z543">
        <v>7.01</v>
      </c>
      <c r="AA543">
        <v>6.99</v>
      </c>
      <c r="AB543">
        <v>136.27000000000001</v>
      </c>
      <c r="AC543">
        <v>232.94017094017093</v>
      </c>
      <c r="AD543">
        <v>45.575250836120404</v>
      </c>
      <c r="AE543">
        <v>73.069999999999993</v>
      </c>
      <c r="AF543">
        <v>13.85</v>
      </c>
      <c r="AG543">
        <v>1</v>
      </c>
      <c r="AH543">
        <v>2.25</v>
      </c>
      <c r="AI543">
        <v>74.25</v>
      </c>
      <c r="AJ543">
        <v>226.42</v>
      </c>
      <c r="AK543">
        <v>76.239999999999995</v>
      </c>
      <c r="AL543" t="s">
        <v>14</v>
      </c>
      <c r="AM543" t="s">
        <v>15</v>
      </c>
      <c r="AN543" t="str">
        <f t="shared" si="32"/>
        <v>Night</v>
      </c>
      <c r="AO543" t="str">
        <f t="shared" si="33"/>
        <v>Peak</v>
      </c>
      <c r="AP543" t="str">
        <f t="shared" si="34"/>
        <v>Medium</v>
      </c>
      <c r="AQ543" t="str">
        <f t="shared" si="35"/>
        <v>High</v>
      </c>
    </row>
    <row r="544" spans="1:43" x14ac:dyDescent="0.3">
      <c r="A544">
        <v>543</v>
      </c>
      <c r="B544" t="s">
        <v>14</v>
      </c>
      <c r="C544" t="s">
        <v>8</v>
      </c>
      <c r="D544" s="1">
        <v>46219</v>
      </c>
      <c r="E544" t="s">
        <v>41</v>
      </c>
      <c r="F544">
        <v>0</v>
      </c>
      <c r="G544">
        <v>9</v>
      </c>
      <c r="H544" t="s">
        <v>49</v>
      </c>
      <c r="I544" t="s">
        <v>20</v>
      </c>
      <c r="J544">
        <v>1.25</v>
      </c>
      <c r="K544" t="s">
        <v>21</v>
      </c>
      <c r="L544">
        <v>0</v>
      </c>
      <c r="M544">
        <v>3.47</v>
      </c>
      <c r="N544">
        <v>10</v>
      </c>
      <c r="O544" t="s">
        <v>22</v>
      </c>
      <c r="P544">
        <v>3</v>
      </c>
      <c r="Q544">
        <v>1</v>
      </c>
      <c r="R544">
        <v>34.200000000000003</v>
      </c>
      <c r="S544">
        <v>66.069999999999993</v>
      </c>
      <c r="T544">
        <v>5.89</v>
      </c>
      <c r="U544">
        <v>1</v>
      </c>
      <c r="V544">
        <v>0</v>
      </c>
      <c r="W544">
        <v>71.959999999999994</v>
      </c>
      <c r="X544">
        <v>36.6</v>
      </c>
      <c r="Y544">
        <v>104.06</v>
      </c>
      <c r="Z544">
        <v>2.84</v>
      </c>
      <c r="AA544">
        <v>3.34</v>
      </c>
      <c r="AB544">
        <v>65.78</v>
      </c>
      <c r="AC544">
        <v>115.40350877192981</v>
      </c>
      <c r="AD544">
        <v>65.78</v>
      </c>
      <c r="AE544">
        <v>71.739999999999995</v>
      </c>
      <c r="AF544">
        <v>15.99</v>
      </c>
      <c r="AG544">
        <v>0</v>
      </c>
      <c r="AH544">
        <v>7.14</v>
      </c>
      <c r="AI544">
        <v>17.14</v>
      </c>
      <c r="AJ544">
        <v>100.4</v>
      </c>
      <c r="AK544">
        <v>68.59</v>
      </c>
      <c r="AL544" t="s">
        <v>14</v>
      </c>
      <c r="AM544" t="s">
        <v>15</v>
      </c>
      <c r="AN544" t="str">
        <f t="shared" si="32"/>
        <v>Morning</v>
      </c>
      <c r="AO544" t="str">
        <f t="shared" si="33"/>
        <v>Peak</v>
      </c>
      <c r="AP544" t="str">
        <f t="shared" si="34"/>
        <v>Low</v>
      </c>
      <c r="AQ544" t="str">
        <f t="shared" si="35"/>
        <v>Low</v>
      </c>
    </row>
    <row r="545" spans="1:43" x14ac:dyDescent="0.3">
      <c r="A545">
        <v>544</v>
      </c>
      <c r="B545" t="s">
        <v>14</v>
      </c>
      <c r="C545" t="s">
        <v>8</v>
      </c>
      <c r="D545" s="1">
        <v>46071</v>
      </c>
      <c r="E545" t="s">
        <v>18</v>
      </c>
      <c r="F545">
        <v>0</v>
      </c>
      <c r="G545">
        <v>14</v>
      </c>
      <c r="H545" t="s">
        <v>10</v>
      </c>
      <c r="I545" t="s">
        <v>45</v>
      </c>
      <c r="J545">
        <v>1</v>
      </c>
      <c r="K545" t="s">
        <v>12</v>
      </c>
      <c r="L545">
        <v>0</v>
      </c>
      <c r="M545">
        <v>4.0199999999999996</v>
      </c>
      <c r="N545">
        <v>70</v>
      </c>
      <c r="O545" t="s">
        <v>35</v>
      </c>
      <c r="P545">
        <v>32</v>
      </c>
      <c r="Q545">
        <v>2.83</v>
      </c>
      <c r="R545">
        <v>39.299999999999997</v>
      </c>
      <c r="S545">
        <v>76.34</v>
      </c>
      <c r="T545">
        <v>78.19</v>
      </c>
      <c r="U545">
        <v>1</v>
      </c>
      <c r="V545">
        <v>0</v>
      </c>
      <c r="W545">
        <v>154.53</v>
      </c>
      <c r="X545">
        <v>45</v>
      </c>
      <c r="Y545">
        <v>102.77</v>
      </c>
      <c r="Z545">
        <v>6.46</v>
      </c>
      <c r="AA545">
        <v>8.7200000000000006</v>
      </c>
      <c r="AB545">
        <v>139.35</v>
      </c>
      <c r="AC545">
        <v>212.74809160305347</v>
      </c>
      <c r="AD545">
        <v>49.240282685512362</v>
      </c>
      <c r="AE545">
        <v>74.75</v>
      </c>
      <c r="AF545">
        <v>15.03</v>
      </c>
      <c r="AG545">
        <v>1</v>
      </c>
      <c r="AH545">
        <v>9.3699999999999992</v>
      </c>
      <c r="AI545">
        <v>79.37</v>
      </c>
      <c r="AJ545">
        <v>249.46</v>
      </c>
      <c r="AK545">
        <v>78.709999999999994</v>
      </c>
      <c r="AL545" t="s">
        <v>14</v>
      </c>
      <c r="AM545" t="s">
        <v>15</v>
      </c>
      <c r="AN545" t="str">
        <f t="shared" si="32"/>
        <v>Afternoon</v>
      </c>
      <c r="AO545" t="str">
        <f t="shared" si="33"/>
        <v>Off-Peak</v>
      </c>
      <c r="AP545" t="str">
        <f t="shared" si="34"/>
        <v>Medium</v>
      </c>
      <c r="AQ545" t="str">
        <f t="shared" si="35"/>
        <v>Medium</v>
      </c>
    </row>
    <row r="546" spans="1:43" x14ac:dyDescent="0.3">
      <c r="A546">
        <v>545</v>
      </c>
      <c r="B546" t="s">
        <v>16</v>
      </c>
      <c r="C546" t="s">
        <v>17</v>
      </c>
      <c r="D546" s="1">
        <v>46235</v>
      </c>
      <c r="E546" t="s">
        <v>31</v>
      </c>
      <c r="F546">
        <v>1</v>
      </c>
      <c r="G546">
        <v>9</v>
      </c>
      <c r="H546" t="s">
        <v>27</v>
      </c>
      <c r="I546" t="s">
        <v>42</v>
      </c>
      <c r="J546">
        <v>1.08</v>
      </c>
      <c r="K546" t="s">
        <v>12</v>
      </c>
      <c r="L546">
        <v>0</v>
      </c>
      <c r="M546">
        <v>4.3</v>
      </c>
      <c r="N546">
        <v>95</v>
      </c>
      <c r="O546" t="s">
        <v>13</v>
      </c>
      <c r="P546">
        <v>13</v>
      </c>
      <c r="Q546">
        <v>4.3499999999999996</v>
      </c>
      <c r="R546">
        <v>53.7</v>
      </c>
      <c r="S546">
        <v>117.74</v>
      </c>
      <c r="T546">
        <v>100</v>
      </c>
      <c r="U546">
        <v>1.34</v>
      </c>
      <c r="V546">
        <v>40.03</v>
      </c>
      <c r="W546">
        <v>257.77</v>
      </c>
      <c r="X546">
        <v>41</v>
      </c>
      <c r="Y546">
        <v>103.69</v>
      </c>
      <c r="Z546">
        <v>10.99</v>
      </c>
      <c r="AA546">
        <v>6.7</v>
      </c>
      <c r="AB546">
        <v>240.08</v>
      </c>
      <c r="AC546">
        <v>268.24581005586595</v>
      </c>
      <c r="AD546">
        <v>55.19080459770116</v>
      </c>
      <c r="AE546">
        <v>78.010000000000005</v>
      </c>
      <c r="AF546">
        <v>12.59</v>
      </c>
      <c r="AG546">
        <v>1</v>
      </c>
      <c r="AH546">
        <v>27.79</v>
      </c>
      <c r="AI546">
        <v>122.79</v>
      </c>
      <c r="AJ546">
        <v>253.18</v>
      </c>
      <c r="AK546">
        <v>72.98</v>
      </c>
      <c r="AL546" t="s">
        <v>23</v>
      </c>
      <c r="AM546" t="s">
        <v>24</v>
      </c>
      <c r="AN546" t="str">
        <f t="shared" si="32"/>
        <v>Morning</v>
      </c>
      <c r="AO546" t="str">
        <f t="shared" si="33"/>
        <v>Peak</v>
      </c>
      <c r="AP546" t="str">
        <f t="shared" si="34"/>
        <v>High</v>
      </c>
      <c r="AQ546" t="str">
        <f t="shared" si="35"/>
        <v>High</v>
      </c>
    </row>
    <row r="547" spans="1:43" x14ac:dyDescent="0.3">
      <c r="A547">
        <v>546</v>
      </c>
      <c r="B547" t="s">
        <v>7</v>
      </c>
      <c r="C547" t="s">
        <v>8</v>
      </c>
      <c r="D547" s="1">
        <v>46050</v>
      </c>
      <c r="E547" t="s">
        <v>18</v>
      </c>
      <c r="F547">
        <v>0</v>
      </c>
      <c r="G547">
        <v>11</v>
      </c>
      <c r="H547" t="s">
        <v>10</v>
      </c>
      <c r="I547" t="s">
        <v>28</v>
      </c>
      <c r="J547">
        <v>1.03</v>
      </c>
      <c r="K547" t="s">
        <v>12</v>
      </c>
      <c r="L547">
        <v>0</v>
      </c>
      <c r="M547">
        <v>3.85</v>
      </c>
      <c r="N547">
        <v>34</v>
      </c>
      <c r="O547" t="s">
        <v>22</v>
      </c>
      <c r="P547">
        <v>9</v>
      </c>
      <c r="Q547">
        <v>10.01</v>
      </c>
      <c r="R547">
        <v>67.599999999999994</v>
      </c>
      <c r="S547">
        <v>130.37</v>
      </c>
      <c r="T547">
        <v>26.27</v>
      </c>
      <c r="U547">
        <v>1</v>
      </c>
      <c r="V547">
        <v>0</v>
      </c>
      <c r="W547">
        <v>156.63999999999999</v>
      </c>
      <c r="X547">
        <v>45.1</v>
      </c>
      <c r="Y547">
        <v>106.42</v>
      </c>
      <c r="Z547">
        <v>23.63</v>
      </c>
      <c r="AA547">
        <v>3.78</v>
      </c>
      <c r="AB547">
        <v>129.22999999999999</v>
      </c>
      <c r="AC547">
        <v>114.70118343195267</v>
      </c>
      <c r="AD547">
        <v>12.910089910089908</v>
      </c>
      <c r="AE547">
        <v>81.42</v>
      </c>
      <c r="AF547">
        <v>16</v>
      </c>
      <c r="AG547">
        <v>0</v>
      </c>
      <c r="AH547">
        <v>2.58</v>
      </c>
      <c r="AI547">
        <v>36.58</v>
      </c>
      <c r="AJ547">
        <v>114.24</v>
      </c>
      <c r="AK547">
        <v>69.540000000000006</v>
      </c>
      <c r="AL547" t="s">
        <v>14</v>
      </c>
      <c r="AM547" t="s">
        <v>15</v>
      </c>
      <c r="AN547" t="str">
        <f t="shared" si="32"/>
        <v>Afternoon</v>
      </c>
      <c r="AO547" t="str">
        <f t="shared" si="33"/>
        <v>Off-Peak</v>
      </c>
      <c r="AP547" t="str">
        <f t="shared" si="34"/>
        <v>Low</v>
      </c>
      <c r="AQ547" t="str">
        <f t="shared" si="35"/>
        <v>Low</v>
      </c>
    </row>
    <row r="548" spans="1:43" x14ac:dyDescent="0.3">
      <c r="A548">
        <v>547</v>
      </c>
      <c r="B548" t="s">
        <v>29</v>
      </c>
      <c r="C548" t="s">
        <v>30</v>
      </c>
      <c r="D548" s="1">
        <v>46174</v>
      </c>
      <c r="E548" t="s">
        <v>38</v>
      </c>
      <c r="F548">
        <v>0</v>
      </c>
      <c r="G548">
        <v>13</v>
      </c>
      <c r="H548" t="s">
        <v>43</v>
      </c>
      <c r="I548" t="s">
        <v>28</v>
      </c>
      <c r="J548">
        <v>1.03</v>
      </c>
      <c r="K548" t="s">
        <v>12</v>
      </c>
      <c r="L548">
        <v>0</v>
      </c>
      <c r="M548">
        <v>2.48</v>
      </c>
      <c r="N548">
        <v>29</v>
      </c>
      <c r="O548" t="s">
        <v>22</v>
      </c>
      <c r="P548">
        <v>8</v>
      </c>
      <c r="Q548">
        <v>1.97</v>
      </c>
      <c r="R548">
        <v>24</v>
      </c>
      <c r="S548">
        <v>70.55</v>
      </c>
      <c r="T548">
        <v>21.33</v>
      </c>
      <c r="U548">
        <v>1</v>
      </c>
      <c r="V548">
        <v>0</v>
      </c>
      <c r="W548">
        <v>91.88</v>
      </c>
      <c r="X548">
        <v>40.700000000000003</v>
      </c>
      <c r="Y548">
        <v>108.91</v>
      </c>
      <c r="Z548">
        <v>5.27</v>
      </c>
      <c r="AA548">
        <v>7.88</v>
      </c>
      <c r="AB548">
        <v>78.73</v>
      </c>
      <c r="AC548">
        <v>196.82499999999999</v>
      </c>
      <c r="AD548">
        <v>39.964467005076145</v>
      </c>
      <c r="AE548">
        <v>59.15</v>
      </c>
      <c r="AF548">
        <v>15.15</v>
      </c>
      <c r="AG548">
        <v>0</v>
      </c>
      <c r="AH548">
        <v>20.53</v>
      </c>
      <c r="AI548">
        <v>49.53</v>
      </c>
      <c r="AJ548">
        <v>224.24</v>
      </c>
      <c r="AK548">
        <v>69.27</v>
      </c>
      <c r="AL548" t="s">
        <v>14</v>
      </c>
      <c r="AM548" t="s">
        <v>15</v>
      </c>
      <c r="AN548" t="str">
        <f t="shared" si="32"/>
        <v>Afternoon</v>
      </c>
      <c r="AO548" t="str">
        <f t="shared" si="33"/>
        <v>Off-Peak</v>
      </c>
      <c r="AP548" t="str">
        <f t="shared" si="34"/>
        <v>Medium</v>
      </c>
      <c r="AQ548" t="str">
        <f t="shared" si="35"/>
        <v>Low</v>
      </c>
    </row>
    <row r="549" spans="1:43" x14ac:dyDescent="0.3">
      <c r="A549">
        <v>548</v>
      </c>
      <c r="B549" t="s">
        <v>25</v>
      </c>
      <c r="C549" t="s">
        <v>17</v>
      </c>
      <c r="D549" s="1">
        <v>46151</v>
      </c>
      <c r="E549" t="s">
        <v>31</v>
      </c>
      <c r="F549">
        <v>1</v>
      </c>
      <c r="G549">
        <v>20</v>
      </c>
      <c r="H549" t="s">
        <v>40</v>
      </c>
      <c r="I549" t="s">
        <v>50</v>
      </c>
      <c r="J549">
        <v>1.2</v>
      </c>
      <c r="K549" t="s">
        <v>21</v>
      </c>
      <c r="L549">
        <v>0</v>
      </c>
      <c r="M549">
        <v>3.6</v>
      </c>
      <c r="N549">
        <v>98</v>
      </c>
      <c r="O549" t="s">
        <v>13</v>
      </c>
      <c r="P549">
        <v>20</v>
      </c>
      <c r="Q549">
        <v>4.26</v>
      </c>
      <c r="R549">
        <v>50.4</v>
      </c>
      <c r="S549">
        <v>99.4</v>
      </c>
      <c r="T549">
        <v>100</v>
      </c>
      <c r="U549">
        <v>1.26</v>
      </c>
      <c r="V549">
        <v>25.84</v>
      </c>
      <c r="W549">
        <v>225.24</v>
      </c>
      <c r="X549">
        <v>47.7</v>
      </c>
      <c r="Y549">
        <v>106.5</v>
      </c>
      <c r="Z549">
        <v>9.51</v>
      </c>
      <c r="AA549">
        <v>9.9499999999999993</v>
      </c>
      <c r="AB549">
        <v>205.78</v>
      </c>
      <c r="AC549">
        <v>244.97619047619048</v>
      </c>
      <c r="AD549">
        <v>48.305164319248831</v>
      </c>
      <c r="AE549">
        <v>72.05</v>
      </c>
      <c r="AF549">
        <v>10.31</v>
      </c>
      <c r="AG549">
        <v>1</v>
      </c>
      <c r="AH549">
        <v>-14.4</v>
      </c>
      <c r="AI549">
        <v>83.6</v>
      </c>
      <c r="AJ549">
        <v>252.77</v>
      </c>
      <c r="AK549">
        <v>79.91</v>
      </c>
      <c r="AL549" t="s">
        <v>23</v>
      </c>
      <c r="AM549" t="s">
        <v>24</v>
      </c>
      <c r="AN549" t="str">
        <f t="shared" si="32"/>
        <v>Night</v>
      </c>
      <c r="AO549" t="str">
        <f t="shared" si="33"/>
        <v>Peak</v>
      </c>
      <c r="AP549" t="str">
        <f t="shared" si="34"/>
        <v>Medium</v>
      </c>
      <c r="AQ549" t="str">
        <f t="shared" si="35"/>
        <v>High</v>
      </c>
    </row>
    <row r="550" spans="1:43" x14ac:dyDescent="0.3">
      <c r="A550">
        <v>549</v>
      </c>
      <c r="B550" t="s">
        <v>29</v>
      </c>
      <c r="C550" t="s">
        <v>30</v>
      </c>
      <c r="D550" s="1">
        <v>46160</v>
      </c>
      <c r="E550" t="s">
        <v>38</v>
      </c>
      <c r="F550">
        <v>0</v>
      </c>
      <c r="G550">
        <v>20</v>
      </c>
      <c r="H550" t="s">
        <v>32</v>
      </c>
      <c r="I550" t="s">
        <v>11</v>
      </c>
      <c r="J550">
        <v>1.18</v>
      </c>
      <c r="K550" t="s">
        <v>34</v>
      </c>
      <c r="L550">
        <v>1</v>
      </c>
      <c r="M550">
        <v>4.75</v>
      </c>
      <c r="N550">
        <v>77</v>
      </c>
      <c r="O550" t="s">
        <v>13</v>
      </c>
      <c r="P550">
        <v>28</v>
      </c>
      <c r="Q550">
        <v>2.38</v>
      </c>
      <c r="R550">
        <v>34.799999999999997</v>
      </c>
      <c r="S550">
        <v>68.83</v>
      </c>
      <c r="T550">
        <v>92.66</v>
      </c>
      <c r="U550">
        <v>1</v>
      </c>
      <c r="V550">
        <v>0</v>
      </c>
      <c r="W550">
        <v>161.49</v>
      </c>
      <c r="X550">
        <v>35.799999999999997</v>
      </c>
      <c r="Y550">
        <v>106.46</v>
      </c>
      <c r="Z550">
        <v>7.08</v>
      </c>
      <c r="AA550">
        <v>7.89</v>
      </c>
      <c r="AB550">
        <v>146.52000000000001</v>
      </c>
      <c r="AC550">
        <v>252.62068965517244</v>
      </c>
      <c r="AD550">
        <v>61.563025210084042</v>
      </c>
      <c r="AE550">
        <v>83.52</v>
      </c>
      <c r="AF550">
        <v>15.63</v>
      </c>
      <c r="AG550">
        <v>1</v>
      </c>
      <c r="AH550">
        <v>-6.57</v>
      </c>
      <c r="AI550">
        <v>70.430000000000007</v>
      </c>
      <c r="AJ550">
        <v>285.75</v>
      </c>
      <c r="AK550">
        <v>77.03</v>
      </c>
      <c r="AL550" t="s">
        <v>23</v>
      </c>
      <c r="AM550" t="s">
        <v>24</v>
      </c>
      <c r="AN550" t="str">
        <f t="shared" si="32"/>
        <v>Night</v>
      </c>
      <c r="AO550" t="str">
        <f t="shared" si="33"/>
        <v>Peak</v>
      </c>
      <c r="AP550" t="str">
        <f t="shared" si="34"/>
        <v>High</v>
      </c>
      <c r="AQ550" t="str">
        <f t="shared" si="35"/>
        <v>High</v>
      </c>
    </row>
    <row r="551" spans="1:43" x14ac:dyDescent="0.3">
      <c r="A551">
        <v>550</v>
      </c>
      <c r="B551" t="s">
        <v>25</v>
      </c>
      <c r="C551" t="s">
        <v>17</v>
      </c>
      <c r="D551" s="1">
        <v>46157</v>
      </c>
      <c r="E551" t="s">
        <v>9</v>
      </c>
      <c r="F551">
        <v>0</v>
      </c>
      <c r="G551">
        <v>13</v>
      </c>
      <c r="H551" t="s">
        <v>19</v>
      </c>
      <c r="I551" t="s">
        <v>33</v>
      </c>
      <c r="J551">
        <v>1</v>
      </c>
      <c r="K551" t="s">
        <v>34</v>
      </c>
      <c r="L551">
        <v>1</v>
      </c>
      <c r="M551">
        <v>3.83</v>
      </c>
      <c r="N551">
        <v>39</v>
      </c>
      <c r="O551" t="s">
        <v>35</v>
      </c>
      <c r="P551">
        <v>9</v>
      </c>
      <c r="Q551">
        <v>1</v>
      </c>
      <c r="R551">
        <v>26.9</v>
      </c>
      <c r="S551">
        <v>74.430000000000007</v>
      </c>
      <c r="T551">
        <v>39.69</v>
      </c>
      <c r="U551">
        <v>1.21</v>
      </c>
      <c r="V551">
        <v>15.63</v>
      </c>
      <c r="W551">
        <v>129.75</v>
      </c>
      <c r="X551">
        <v>48.4</v>
      </c>
      <c r="Y551">
        <v>108.17</v>
      </c>
      <c r="Z551">
        <v>2.23</v>
      </c>
      <c r="AA551">
        <v>7.3</v>
      </c>
      <c r="AB551">
        <v>120.22</v>
      </c>
      <c r="AC551">
        <v>268.1486988847584</v>
      </c>
      <c r="AD551">
        <v>120.22</v>
      </c>
      <c r="AE551">
        <v>79.540000000000006</v>
      </c>
      <c r="AF551">
        <v>12.89</v>
      </c>
      <c r="AG551">
        <v>0</v>
      </c>
      <c r="AH551">
        <v>-29.04</v>
      </c>
      <c r="AI551">
        <v>9.9600000000000009</v>
      </c>
      <c r="AJ551">
        <v>282.57</v>
      </c>
      <c r="AK551">
        <v>62.15</v>
      </c>
      <c r="AL551" t="s">
        <v>14</v>
      </c>
      <c r="AM551" t="s">
        <v>15</v>
      </c>
      <c r="AN551" t="str">
        <f t="shared" si="32"/>
        <v>Afternoon</v>
      </c>
      <c r="AO551" t="str">
        <f t="shared" si="33"/>
        <v>Off-Peak</v>
      </c>
      <c r="AP551" t="str">
        <f t="shared" si="34"/>
        <v>High</v>
      </c>
      <c r="AQ551" t="str">
        <f t="shared" si="35"/>
        <v>Medium</v>
      </c>
    </row>
    <row r="552" spans="1:43" x14ac:dyDescent="0.3">
      <c r="A552">
        <v>551</v>
      </c>
      <c r="B552" t="s">
        <v>16</v>
      </c>
      <c r="C552" t="s">
        <v>17</v>
      </c>
      <c r="D552" s="1">
        <v>46031</v>
      </c>
      <c r="E552" t="s">
        <v>9</v>
      </c>
      <c r="F552">
        <v>0</v>
      </c>
      <c r="G552">
        <v>12</v>
      </c>
      <c r="H552" t="s">
        <v>19</v>
      </c>
      <c r="I552" t="s">
        <v>28</v>
      </c>
      <c r="J552">
        <v>1.03</v>
      </c>
      <c r="K552" t="s">
        <v>12</v>
      </c>
      <c r="L552">
        <v>0</v>
      </c>
      <c r="M552">
        <v>2.34</v>
      </c>
      <c r="N552">
        <v>5</v>
      </c>
      <c r="O552" t="s">
        <v>22</v>
      </c>
      <c r="P552">
        <v>1</v>
      </c>
      <c r="Q552">
        <v>10.08</v>
      </c>
      <c r="R552">
        <v>66.3</v>
      </c>
      <c r="S552">
        <v>181.48</v>
      </c>
      <c r="T552">
        <v>0.54</v>
      </c>
      <c r="U552">
        <v>1.01</v>
      </c>
      <c r="V552">
        <v>1.81</v>
      </c>
      <c r="W552">
        <v>183.83</v>
      </c>
      <c r="X552">
        <v>39</v>
      </c>
      <c r="Y552">
        <v>101.65</v>
      </c>
      <c r="Z552">
        <v>26.26</v>
      </c>
      <c r="AA552">
        <v>10.48</v>
      </c>
      <c r="AB552">
        <v>147.09</v>
      </c>
      <c r="AC552">
        <v>133.11312217194572</v>
      </c>
      <c r="AD552">
        <v>14.592261904761905</v>
      </c>
      <c r="AE552">
        <v>63.93</v>
      </c>
      <c r="AF552">
        <v>19.420000000000002</v>
      </c>
      <c r="AG552">
        <v>0</v>
      </c>
      <c r="AH552">
        <v>5.27</v>
      </c>
      <c r="AI552">
        <v>10.27</v>
      </c>
      <c r="AJ552">
        <v>132.93</v>
      </c>
      <c r="AK552">
        <v>68.14</v>
      </c>
      <c r="AL552" t="s">
        <v>14</v>
      </c>
      <c r="AM552" t="s">
        <v>15</v>
      </c>
      <c r="AN552" t="str">
        <f t="shared" si="32"/>
        <v>Afternoon</v>
      </c>
      <c r="AO552" t="str">
        <f t="shared" si="33"/>
        <v>Off-Peak</v>
      </c>
      <c r="AP552" t="str">
        <f t="shared" si="34"/>
        <v>Low</v>
      </c>
      <c r="AQ552" t="str">
        <f t="shared" si="35"/>
        <v>Low</v>
      </c>
    </row>
    <row r="553" spans="1:43" x14ac:dyDescent="0.3">
      <c r="A553">
        <v>552</v>
      </c>
      <c r="B553" t="s">
        <v>48</v>
      </c>
      <c r="C553" t="s">
        <v>30</v>
      </c>
      <c r="D553" s="1">
        <v>46154</v>
      </c>
      <c r="E553" t="s">
        <v>44</v>
      </c>
      <c r="F553">
        <v>0</v>
      </c>
      <c r="G553">
        <v>15</v>
      </c>
      <c r="H553" t="s">
        <v>43</v>
      </c>
      <c r="I553" t="s">
        <v>11</v>
      </c>
      <c r="J553">
        <v>1.18</v>
      </c>
      <c r="K553" t="s">
        <v>21</v>
      </c>
      <c r="L553">
        <v>0</v>
      </c>
      <c r="M553">
        <v>2.94</v>
      </c>
      <c r="N553">
        <v>5</v>
      </c>
      <c r="O553" t="s">
        <v>22</v>
      </c>
      <c r="P553">
        <v>1</v>
      </c>
      <c r="Q553">
        <v>4.49</v>
      </c>
      <c r="R553">
        <v>33.799999999999997</v>
      </c>
      <c r="S553">
        <v>87.39</v>
      </c>
      <c r="T553">
        <v>5.87</v>
      </c>
      <c r="U553">
        <v>1</v>
      </c>
      <c r="V553">
        <v>0</v>
      </c>
      <c r="W553">
        <v>93.26</v>
      </c>
      <c r="X553">
        <v>35.6</v>
      </c>
      <c r="Y553">
        <v>103.01</v>
      </c>
      <c r="Z553">
        <v>12.98</v>
      </c>
      <c r="AA553">
        <v>2.11</v>
      </c>
      <c r="AB553">
        <v>78.17</v>
      </c>
      <c r="AC553">
        <v>138.76331360946747</v>
      </c>
      <c r="AD553">
        <v>17.409799554565701</v>
      </c>
      <c r="AE553">
        <v>76.88</v>
      </c>
      <c r="AF553">
        <v>16.66</v>
      </c>
      <c r="AG553">
        <v>0</v>
      </c>
      <c r="AH553">
        <v>12.71</v>
      </c>
      <c r="AI553">
        <v>17.71</v>
      </c>
      <c r="AJ553">
        <v>136.87</v>
      </c>
      <c r="AK553">
        <v>62.42</v>
      </c>
      <c r="AL553" t="s">
        <v>14</v>
      </c>
      <c r="AM553" t="s">
        <v>15</v>
      </c>
      <c r="AN553" t="str">
        <f t="shared" si="32"/>
        <v>Evening</v>
      </c>
      <c r="AO553" t="str">
        <f t="shared" si="33"/>
        <v>Off-Peak</v>
      </c>
      <c r="AP553" t="str">
        <f t="shared" si="34"/>
        <v>Low</v>
      </c>
      <c r="AQ553" t="str">
        <f t="shared" si="35"/>
        <v>Low</v>
      </c>
    </row>
    <row r="554" spans="1:43" x14ac:dyDescent="0.3">
      <c r="A554">
        <v>553</v>
      </c>
      <c r="B554" t="s">
        <v>16</v>
      </c>
      <c r="C554" t="s">
        <v>17</v>
      </c>
      <c r="D554" s="1">
        <v>46264</v>
      </c>
      <c r="E554" t="s">
        <v>26</v>
      </c>
      <c r="F554">
        <v>1</v>
      </c>
      <c r="G554">
        <v>21</v>
      </c>
      <c r="H554" t="s">
        <v>19</v>
      </c>
      <c r="I554" t="s">
        <v>37</v>
      </c>
      <c r="J554">
        <v>1.02</v>
      </c>
      <c r="K554" t="s">
        <v>12</v>
      </c>
      <c r="L554">
        <v>0</v>
      </c>
      <c r="M554">
        <v>4.0199999999999996</v>
      </c>
      <c r="N554">
        <v>96</v>
      </c>
      <c r="O554" t="s">
        <v>13</v>
      </c>
      <c r="P554">
        <v>18</v>
      </c>
      <c r="Q554">
        <v>5.56</v>
      </c>
      <c r="R554">
        <v>52.7</v>
      </c>
      <c r="S554">
        <v>125.06</v>
      </c>
      <c r="T554">
        <v>100</v>
      </c>
      <c r="U554">
        <v>1.37</v>
      </c>
      <c r="V554">
        <v>46.27</v>
      </c>
      <c r="W554">
        <v>271.33</v>
      </c>
      <c r="X554">
        <v>43.4</v>
      </c>
      <c r="Y554">
        <v>100.51</v>
      </c>
      <c r="Z554">
        <v>12.87</v>
      </c>
      <c r="AA554">
        <v>8.17</v>
      </c>
      <c r="AB554">
        <v>250.29</v>
      </c>
      <c r="AC554">
        <v>284.96015180265653</v>
      </c>
      <c r="AD554">
        <v>45.016187050359711</v>
      </c>
      <c r="AE554">
        <v>90.29</v>
      </c>
      <c r="AF554">
        <v>14.93</v>
      </c>
      <c r="AG554">
        <v>1</v>
      </c>
      <c r="AH554">
        <v>-35.33</v>
      </c>
      <c r="AI554">
        <v>60.67</v>
      </c>
      <c r="AJ554">
        <v>261.2</v>
      </c>
      <c r="AK554">
        <v>61.74</v>
      </c>
      <c r="AL554" t="s">
        <v>14</v>
      </c>
      <c r="AM554" t="s">
        <v>15</v>
      </c>
      <c r="AN554" t="str">
        <f t="shared" si="32"/>
        <v>Night</v>
      </c>
      <c r="AO554" t="str">
        <f t="shared" si="33"/>
        <v>Off-Peak</v>
      </c>
      <c r="AP554" t="str">
        <f t="shared" si="34"/>
        <v>High</v>
      </c>
      <c r="AQ554" t="str">
        <f t="shared" si="35"/>
        <v>High</v>
      </c>
    </row>
    <row r="555" spans="1:43" x14ac:dyDescent="0.3">
      <c r="A555">
        <v>554</v>
      </c>
      <c r="B555" t="s">
        <v>48</v>
      </c>
      <c r="C555" t="s">
        <v>30</v>
      </c>
      <c r="D555" s="1">
        <v>46135</v>
      </c>
      <c r="E555" t="s">
        <v>41</v>
      </c>
      <c r="F555">
        <v>0</v>
      </c>
      <c r="G555">
        <v>22</v>
      </c>
      <c r="H555" t="s">
        <v>36</v>
      </c>
      <c r="I555" t="s">
        <v>50</v>
      </c>
      <c r="J555">
        <v>1.2</v>
      </c>
      <c r="K555" t="s">
        <v>34</v>
      </c>
      <c r="L555">
        <v>1</v>
      </c>
      <c r="M555">
        <v>1.73</v>
      </c>
      <c r="N555">
        <v>35</v>
      </c>
      <c r="O555" t="s">
        <v>22</v>
      </c>
      <c r="P555">
        <v>13</v>
      </c>
      <c r="Q555">
        <v>11.16</v>
      </c>
      <c r="R555">
        <v>68.099999999999994</v>
      </c>
      <c r="S555">
        <v>145.87</v>
      </c>
      <c r="T555">
        <v>39.46</v>
      </c>
      <c r="U555">
        <v>1</v>
      </c>
      <c r="V555">
        <v>0</v>
      </c>
      <c r="W555">
        <v>185.33</v>
      </c>
      <c r="X555">
        <v>38.4</v>
      </c>
      <c r="Y555">
        <v>103.5</v>
      </c>
      <c r="Z555">
        <v>30.11</v>
      </c>
      <c r="AA555">
        <v>6.1</v>
      </c>
      <c r="AB555">
        <v>149.12</v>
      </c>
      <c r="AC555">
        <v>131.38325991189427</v>
      </c>
      <c r="AD555">
        <v>13.362007168458781</v>
      </c>
      <c r="AE555">
        <v>74.41</v>
      </c>
      <c r="AF555">
        <v>13.83</v>
      </c>
      <c r="AG555">
        <v>0</v>
      </c>
      <c r="AH555">
        <v>5.82</v>
      </c>
      <c r="AI555">
        <v>40.82</v>
      </c>
      <c r="AJ555">
        <v>131.68</v>
      </c>
      <c r="AK555">
        <v>73.92</v>
      </c>
      <c r="AL555" t="s">
        <v>23</v>
      </c>
      <c r="AM555" t="s">
        <v>24</v>
      </c>
      <c r="AN555" t="str">
        <f t="shared" si="32"/>
        <v>Night</v>
      </c>
      <c r="AO555" t="str">
        <f t="shared" si="33"/>
        <v>Off-Peak</v>
      </c>
      <c r="AP555" t="str">
        <f t="shared" si="34"/>
        <v>Low</v>
      </c>
      <c r="AQ555" t="str">
        <f t="shared" si="35"/>
        <v>Low</v>
      </c>
    </row>
    <row r="556" spans="1:43" x14ac:dyDescent="0.3">
      <c r="A556">
        <v>555</v>
      </c>
      <c r="B556" t="s">
        <v>23</v>
      </c>
      <c r="C556" t="s">
        <v>17</v>
      </c>
      <c r="D556" s="1">
        <v>46094</v>
      </c>
      <c r="E556" t="s">
        <v>9</v>
      </c>
      <c r="F556">
        <v>0</v>
      </c>
      <c r="G556">
        <v>10</v>
      </c>
      <c r="H556" t="s">
        <v>19</v>
      </c>
      <c r="I556" t="s">
        <v>37</v>
      </c>
      <c r="J556">
        <v>1.02</v>
      </c>
      <c r="K556" t="s">
        <v>12</v>
      </c>
      <c r="L556">
        <v>0</v>
      </c>
      <c r="M556">
        <v>2.82</v>
      </c>
      <c r="N556">
        <v>33</v>
      </c>
      <c r="O556" t="s">
        <v>22</v>
      </c>
      <c r="P556">
        <v>6</v>
      </c>
      <c r="Q556">
        <v>2.82</v>
      </c>
      <c r="R556">
        <v>38.299999999999997</v>
      </c>
      <c r="S556">
        <v>97.09</v>
      </c>
      <c r="T556">
        <v>61.54</v>
      </c>
      <c r="U556">
        <v>1.07</v>
      </c>
      <c r="V556">
        <v>6.8</v>
      </c>
      <c r="W556">
        <v>165.43</v>
      </c>
      <c r="X556">
        <v>41.9</v>
      </c>
      <c r="Y556">
        <v>109.99</v>
      </c>
      <c r="Z556">
        <v>7.4</v>
      </c>
      <c r="AA556">
        <v>3.94</v>
      </c>
      <c r="AB556">
        <v>154.09</v>
      </c>
      <c r="AC556">
        <v>241.39425587467363</v>
      </c>
      <c r="AD556">
        <v>54.641843971631211</v>
      </c>
      <c r="AE556">
        <v>66.58</v>
      </c>
      <c r="AF556">
        <v>16.29</v>
      </c>
      <c r="AG556">
        <v>0</v>
      </c>
      <c r="AH556">
        <v>12.06</v>
      </c>
      <c r="AI556">
        <v>45.06</v>
      </c>
      <c r="AJ556">
        <v>244.74</v>
      </c>
      <c r="AK556">
        <v>70.89</v>
      </c>
      <c r="AL556" t="s">
        <v>23</v>
      </c>
      <c r="AM556" t="s">
        <v>24</v>
      </c>
      <c r="AN556" t="str">
        <f t="shared" si="32"/>
        <v>Morning</v>
      </c>
      <c r="AO556" t="str">
        <f t="shared" si="33"/>
        <v>Peak</v>
      </c>
      <c r="AP556" t="str">
        <f t="shared" si="34"/>
        <v>Medium</v>
      </c>
      <c r="AQ556" t="str">
        <f t="shared" si="35"/>
        <v>Low</v>
      </c>
    </row>
    <row r="557" spans="1:43" x14ac:dyDescent="0.3">
      <c r="A557">
        <v>556</v>
      </c>
      <c r="B557" t="s">
        <v>29</v>
      </c>
      <c r="C557" t="s">
        <v>30</v>
      </c>
      <c r="D557" s="1">
        <v>46279</v>
      </c>
      <c r="E557" t="s">
        <v>38</v>
      </c>
      <c r="F557">
        <v>0</v>
      </c>
      <c r="G557">
        <v>9</v>
      </c>
      <c r="H557" t="s">
        <v>47</v>
      </c>
      <c r="I557" t="s">
        <v>50</v>
      </c>
      <c r="J557">
        <v>1.2</v>
      </c>
      <c r="K557" t="s">
        <v>12</v>
      </c>
      <c r="L557">
        <v>0</v>
      </c>
      <c r="M557">
        <v>2.87</v>
      </c>
      <c r="N557">
        <v>40</v>
      </c>
      <c r="O557" t="s">
        <v>35</v>
      </c>
      <c r="P557">
        <v>13</v>
      </c>
      <c r="Q557">
        <v>1.31</v>
      </c>
      <c r="R557">
        <v>29.8</v>
      </c>
      <c r="S557">
        <v>61.54</v>
      </c>
      <c r="T557">
        <v>46.51</v>
      </c>
      <c r="U557">
        <v>1</v>
      </c>
      <c r="V557">
        <v>0</v>
      </c>
      <c r="W557">
        <v>108.05</v>
      </c>
      <c r="X557">
        <v>47</v>
      </c>
      <c r="Y557">
        <v>103.29</v>
      </c>
      <c r="Z557">
        <v>2.88</v>
      </c>
      <c r="AA557">
        <v>11.8</v>
      </c>
      <c r="AB557">
        <v>93.37</v>
      </c>
      <c r="AC557">
        <v>187.99328859060401</v>
      </c>
      <c r="AD557">
        <v>71.274809160305338</v>
      </c>
      <c r="AE557">
        <v>82.2</v>
      </c>
      <c r="AF557">
        <v>16.87</v>
      </c>
      <c r="AG557">
        <v>0</v>
      </c>
      <c r="AH557">
        <v>11.21</v>
      </c>
      <c r="AI557">
        <v>51.21</v>
      </c>
      <c r="AJ557">
        <v>191.22</v>
      </c>
      <c r="AK557">
        <v>60.31</v>
      </c>
      <c r="AL557" t="s">
        <v>23</v>
      </c>
      <c r="AM557" t="s">
        <v>24</v>
      </c>
      <c r="AN557" t="str">
        <f t="shared" si="32"/>
        <v>Morning</v>
      </c>
      <c r="AO557" t="str">
        <f t="shared" si="33"/>
        <v>Peak</v>
      </c>
      <c r="AP557" t="str">
        <f t="shared" si="34"/>
        <v>Medium</v>
      </c>
      <c r="AQ557" t="str">
        <f t="shared" si="35"/>
        <v>Medium</v>
      </c>
    </row>
    <row r="558" spans="1:43" x14ac:dyDescent="0.3">
      <c r="A558">
        <v>557</v>
      </c>
      <c r="B558" t="s">
        <v>16</v>
      </c>
      <c r="C558" t="s">
        <v>17</v>
      </c>
      <c r="D558" s="1">
        <v>46048</v>
      </c>
      <c r="E558" t="s">
        <v>38</v>
      </c>
      <c r="F558">
        <v>0</v>
      </c>
      <c r="G558">
        <v>18</v>
      </c>
      <c r="H558" t="s">
        <v>40</v>
      </c>
      <c r="I558" t="s">
        <v>50</v>
      </c>
      <c r="J558">
        <v>1.2</v>
      </c>
      <c r="K558" t="s">
        <v>12</v>
      </c>
      <c r="L558">
        <v>0</v>
      </c>
      <c r="M558">
        <v>3.97</v>
      </c>
      <c r="N558">
        <v>64</v>
      </c>
      <c r="O558" t="s">
        <v>35</v>
      </c>
      <c r="P558">
        <v>12</v>
      </c>
      <c r="Q558">
        <v>1.95</v>
      </c>
      <c r="R558">
        <v>39.200000000000003</v>
      </c>
      <c r="S558">
        <v>89.22</v>
      </c>
      <c r="T558">
        <v>73.67</v>
      </c>
      <c r="U558">
        <v>1.33</v>
      </c>
      <c r="V558">
        <v>29.44</v>
      </c>
      <c r="W558">
        <v>192.33</v>
      </c>
      <c r="X558">
        <v>46.9</v>
      </c>
      <c r="Y558">
        <v>108.6</v>
      </c>
      <c r="Z558">
        <v>4.51</v>
      </c>
      <c r="AA558">
        <v>6.04</v>
      </c>
      <c r="AB558">
        <v>181.78</v>
      </c>
      <c r="AC558">
        <v>278.23469387755097</v>
      </c>
      <c r="AD558">
        <v>93.220512820512823</v>
      </c>
      <c r="AE558">
        <v>90.9</v>
      </c>
      <c r="AF558">
        <v>12.59</v>
      </c>
      <c r="AG558">
        <v>1</v>
      </c>
      <c r="AH558">
        <v>-14.94</v>
      </c>
      <c r="AI558">
        <v>49.06</v>
      </c>
      <c r="AJ558">
        <v>323.55</v>
      </c>
      <c r="AK558">
        <v>73.67</v>
      </c>
      <c r="AL558" t="s">
        <v>23</v>
      </c>
      <c r="AM558" t="s">
        <v>24</v>
      </c>
      <c r="AN558" t="str">
        <f t="shared" si="32"/>
        <v>Night</v>
      </c>
      <c r="AO558" t="str">
        <f t="shared" si="33"/>
        <v>Peak</v>
      </c>
      <c r="AP558" t="str">
        <f t="shared" si="34"/>
        <v>High</v>
      </c>
      <c r="AQ558" t="str">
        <f t="shared" si="35"/>
        <v>Medium</v>
      </c>
    </row>
    <row r="559" spans="1:43" x14ac:dyDescent="0.3">
      <c r="A559">
        <v>558</v>
      </c>
      <c r="B559" t="s">
        <v>23</v>
      </c>
      <c r="C559" t="s">
        <v>17</v>
      </c>
      <c r="D559" s="1">
        <v>46148</v>
      </c>
      <c r="E559" t="s">
        <v>18</v>
      </c>
      <c r="F559">
        <v>0</v>
      </c>
      <c r="G559">
        <v>11</v>
      </c>
      <c r="H559" t="s">
        <v>19</v>
      </c>
      <c r="I559" t="s">
        <v>37</v>
      </c>
      <c r="J559">
        <v>1.02</v>
      </c>
      <c r="K559" t="s">
        <v>12</v>
      </c>
      <c r="L559">
        <v>0</v>
      </c>
      <c r="M559">
        <v>4.13</v>
      </c>
      <c r="N559">
        <v>30</v>
      </c>
      <c r="O559" t="s">
        <v>22</v>
      </c>
      <c r="P559">
        <v>5</v>
      </c>
      <c r="Q559">
        <v>1.2</v>
      </c>
      <c r="R559">
        <v>29.4</v>
      </c>
      <c r="S559">
        <v>59.26</v>
      </c>
      <c r="T559">
        <v>25.35</v>
      </c>
      <c r="U559">
        <v>1.08</v>
      </c>
      <c r="V559">
        <v>4.74</v>
      </c>
      <c r="W559">
        <v>89.35</v>
      </c>
      <c r="X559">
        <v>44</v>
      </c>
      <c r="Y559">
        <v>100.86</v>
      </c>
      <c r="Z559">
        <v>2.75</v>
      </c>
      <c r="AA559">
        <v>5.35</v>
      </c>
      <c r="AB559">
        <v>81.25</v>
      </c>
      <c r="AC559">
        <v>165.81632653061226</v>
      </c>
      <c r="AD559">
        <v>67.708333333333343</v>
      </c>
      <c r="AE559">
        <v>67.31</v>
      </c>
      <c r="AF559">
        <v>19.77</v>
      </c>
      <c r="AG559">
        <v>0</v>
      </c>
      <c r="AH559">
        <v>14.6</v>
      </c>
      <c r="AI559">
        <v>44.6</v>
      </c>
      <c r="AJ559">
        <v>170.16</v>
      </c>
      <c r="AK559">
        <v>73.69</v>
      </c>
      <c r="AL559" t="s">
        <v>23</v>
      </c>
      <c r="AM559" t="s">
        <v>24</v>
      </c>
      <c r="AN559" t="str">
        <f t="shared" si="32"/>
        <v>Afternoon</v>
      </c>
      <c r="AO559" t="str">
        <f t="shared" si="33"/>
        <v>Off-Peak</v>
      </c>
      <c r="AP559" t="str">
        <f t="shared" si="34"/>
        <v>Medium</v>
      </c>
      <c r="AQ559" t="str">
        <f t="shared" si="35"/>
        <v>Low</v>
      </c>
    </row>
    <row r="560" spans="1:43" x14ac:dyDescent="0.3">
      <c r="A560">
        <v>559</v>
      </c>
      <c r="B560" t="s">
        <v>16</v>
      </c>
      <c r="C560" t="s">
        <v>17</v>
      </c>
      <c r="D560" s="1">
        <v>46155</v>
      </c>
      <c r="E560" t="s">
        <v>18</v>
      </c>
      <c r="F560">
        <v>0</v>
      </c>
      <c r="G560">
        <v>10</v>
      </c>
      <c r="H560" t="s">
        <v>19</v>
      </c>
      <c r="I560" t="s">
        <v>39</v>
      </c>
      <c r="J560">
        <v>1.05</v>
      </c>
      <c r="K560" t="s">
        <v>12</v>
      </c>
      <c r="L560">
        <v>0</v>
      </c>
      <c r="M560">
        <v>2.0299999999999998</v>
      </c>
      <c r="N560">
        <v>15</v>
      </c>
      <c r="O560" t="s">
        <v>22</v>
      </c>
      <c r="P560">
        <v>3</v>
      </c>
      <c r="Q560">
        <v>8.31</v>
      </c>
      <c r="R560">
        <v>49.2</v>
      </c>
      <c r="S560">
        <v>142.15</v>
      </c>
      <c r="T560">
        <v>5.07</v>
      </c>
      <c r="U560">
        <v>1.1299999999999999</v>
      </c>
      <c r="V560">
        <v>18.48</v>
      </c>
      <c r="W560">
        <v>165.7</v>
      </c>
      <c r="X560">
        <v>49.7</v>
      </c>
      <c r="Y560">
        <v>104.6</v>
      </c>
      <c r="Z560">
        <v>17.510000000000002</v>
      </c>
      <c r="AA560">
        <v>3.69</v>
      </c>
      <c r="AB560">
        <v>144.5</v>
      </c>
      <c r="AC560">
        <v>176.21951219512195</v>
      </c>
      <c r="AD560">
        <v>17.388688327316483</v>
      </c>
      <c r="AE560">
        <v>73.510000000000005</v>
      </c>
      <c r="AF560">
        <v>17.010000000000002</v>
      </c>
      <c r="AG560">
        <v>0</v>
      </c>
      <c r="AH560">
        <v>3.14</v>
      </c>
      <c r="AI560">
        <v>18.14</v>
      </c>
      <c r="AJ560">
        <v>185.64</v>
      </c>
      <c r="AK560">
        <v>64.48</v>
      </c>
      <c r="AL560" t="s">
        <v>23</v>
      </c>
      <c r="AM560" t="s">
        <v>24</v>
      </c>
      <c r="AN560" t="str">
        <f t="shared" si="32"/>
        <v>Morning</v>
      </c>
      <c r="AO560" t="str">
        <f t="shared" si="33"/>
        <v>Peak</v>
      </c>
      <c r="AP560" t="str">
        <f t="shared" si="34"/>
        <v>Medium</v>
      </c>
      <c r="AQ560" t="str">
        <f t="shared" si="35"/>
        <v>Low</v>
      </c>
    </row>
    <row r="561" spans="1:43" x14ac:dyDescent="0.3">
      <c r="A561">
        <v>560</v>
      </c>
      <c r="B561" t="s">
        <v>16</v>
      </c>
      <c r="C561" t="s">
        <v>17</v>
      </c>
      <c r="D561" s="1">
        <v>46146</v>
      </c>
      <c r="E561" t="s">
        <v>38</v>
      </c>
      <c r="F561">
        <v>0</v>
      </c>
      <c r="G561">
        <v>7</v>
      </c>
      <c r="H561" t="s">
        <v>27</v>
      </c>
      <c r="I561" t="s">
        <v>39</v>
      </c>
      <c r="J561">
        <v>1.05</v>
      </c>
      <c r="K561" t="s">
        <v>34</v>
      </c>
      <c r="L561">
        <v>1</v>
      </c>
      <c r="M561">
        <v>3.94</v>
      </c>
      <c r="N561">
        <v>64</v>
      </c>
      <c r="O561" t="s">
        <v>35</v>
      </c>
      <c r="P561">
        <v>10</v>
      </c>
      <c r="Q561">
        <v>13.28</v>
      </c>
      <c r="R561">
        <v>94.1</v>
      </c>
      <c r="S561">
        <v>192.09</v>
      </c>
      <c r="T561">
        <v>81.94</v>
      </c>
      <c r="U561">
        <v>1.34</v>
      </c>
      <c r="V561">
        <v>65.31</v>
      </c>
      <c r="W561">
        <v>339.34</v>
      </c>
      <c r="X561">
        <v>42</v>
      </c>
      <c r="Y561">
        <v>103.51</v>
      </c>
      <c r="Z561">
        <v>32.76</v>
      </c>
      <c r="AA561">
        <v>11.98</v>
      </c>
      <c r="AB561">
        <v>294.60000000000002</v>
      </c>
      <c r="AC561">
        <v>187.84272051009569</v>
      </c>
      <c r="AD561">
        <v>22.183734939759038</v>
      </c>
      <c r="AE561">
        <v>85.84</v>
      </c>
      <c r="AF561">
        <v>15.54</v>
      </c>
      <c r="AG561">
        <v>1</v>
      </c>
      <c r="AH561">
        <v>11.87</v>
      </c>
      <c r="AI561">
        <v>75.87</v>
      </c>
      <c r="AJ561">
        <v>218.37</v>
      </c>
      <c r="AK561">
        <v>72.56</v>
      </c>
      <c r="AL561" t="s">
        <v>23</v>
      </c>
      <c r="AM561" t="s">
        <v>24</v>
      </c>
      <c r="AN561" t="str">
        <f t="shared" si="32"/>
        <v>Morning</v>
      </c>
      <c r="AO561" t="str">
        <f t="shared" si="33"/>
        <v>Peak</v>
      </c>
      <c r="AP561" t="str">
        <f t="shared" si="34"/>
        <v>Medium</v>
      </c>
      <c r="AQ561" t="str">
        <f t="shared" si="35"/>
        <v>Medium</v>
      </c>
    </row>
    <row r="562" spans="1:43" x14ac:dyDescent="0.3">
      <c r="A562">
        <v>561</v>
      </c>
      <c r="B562" t="s">
        <v>29</v>
      </c>
      <c r="C562" t="s">
        <v>30</v>
      </c>
      <c r="D562" s="1">
        <v>46260</v>
      </c>
      <c r="E562" t="s">
        <v>18</v>
      </c>
      <c r="F562">
        <v>0</v>
      </c>
      <c r="G562">
        <v>13</v>
      </c>
      <c r="H562" t="s">
        <v>43</v>
      </c>
      <c r="I562" t="s">
        <v>50</v>
      </c>
      <c r="J562">
        <v>1.2</v>
      </c>
      <c r="K562" t="s">
        <v>21</v>
      </c>
      <c r="L562">
        <v>0</v>
      </c>
      <c r="M562">
        <v>1</v>
      </c>
      <c r="N562">
        <v>28</v>
      </c>
      <c r="O562" t="s">
        <v>22</v>
      </c>
      <c r="P562">
        <v>5</v>
      </c>
      <c r="Q562">
        <v>4.3099999999999996</v>
      </c>
      <c r="R562">
        <v>23.8</v>
      </c>
      <c r="S562">
        <v>92.01</v>
      </c>
      <c r="T562">
        <v>36.99</v>
      </c>
      <c r="U562">
        <v>1</v>
      </c>
      <c r="V562">
        <v>0</v>
      </c>
      <c r="W562">
        <v>129</v>
      </c>
      <c r="X562">
        <v>35.6</v>
      </c>
      <c r="Y562">
        <v>102.02</v>
      </c>
      <c r="Z562">
        <v>12.37</v>
      </c>
      <c r="AA562">
        <v>10.56</v>
      </c>
      <c r="AB562">
        <v>106.07</v>
      </c>
      <c r="AC562">
        <v>267.40336134453781</v>
      </c>
      <c r="AD562">
        <v>24.610208816705338</v>
      </c>
      <c r="AE562">
        <v>75.16</v>
      </c>
      <c r="AF562">
        <v>12.28</v>
      </c>
      <c r="AG562">
        <v>0</v>
      </c>
      <c r="AH562">
        <v>1.1100000000000001</v>
      </c>
      <c r="AI562">
        <v>29.11</v>
      </c>
      <c r="AJ562">
        <v>275.74</v>
      </c>
      <c r="AK562">
        <v>71.03</v>
      </c>
      <c r="AL562" t="s">
        <v>14</v>
      </c>
      <c r="AM562" t="s">
        <v>15</v>
      </c>
      <c r="AN562" t="str">
        <f t="shared" si="32"/>
        <v>Afternoon</v>
      </c>
      <c r="AO562" t="str">
        <f t="shared" si="33"/>
        <v>Off-Peak</v>
      </c>
      <c r="AP562" t="str">
        <f t="shared" si="34"/>
        <v>High</v>
      </c>
      <c r="AQ562" t="str">
        <f t="shared" si="35"/>
        <v>Low</v>
      </c>
    </row>
    <row r="563" spans="1:43" x14ac:dyDescent="0.3">
      <c r="A563">
        <v>562</v>
      </c>
      <c r="B563" t="s">
        <v>7</v>
      </c>
      <c r="C563" t="s">
        <v>8</v>
      </c>
      <c r="D563" s="1">
        <v>46131</v>
      </c>
      <c r="E563" t="s">
        <v>26</v>
      </c>
      <c r="F563">
        <v>1</v>
      </c>
      <c r="G563">
        <v>13</v>
      </c>
      <c r="H563" t="s">
        <v>10</v>
      </c>
      <c r="I563" t="s">
        <v>20</v>
      </c>
      <c r="J563">
        <v>1.25</v>
      </c>
      <c r="K563" t="s">
        <v>34</v>
      </c>
      <c r="L563">
        <v>1</v>
      </c>
      <c r="M563">
        <v>4.22</v>
      </c>
      <c r="N563">
        <v>105</v>
      </c>
      <c r="O563" t="s">
        <v>13</v>
      </c>
      <c r="P563">
        <v>34</v>
      </c>
      <c r="Q563">
        <v>6.42</v>
      </c>
      <c r="R563">
        <v>46.6</v>
      </c>
      <c r="S563">
        <v>104.08</v>
      </c>
      <c r="T563">
        <v>100</v>
      </c>
      <c r="U563">
        <v>1</v>
      </c>
      <c r="V563">
        <v>0</v>
      </c>
      <c r="W563">
        <v>204.08</v>
      </c>
      <c r="X563">
        <v>47.3</v>
      </c>
      <c r="Y563">
        <v>103.73</v>
      </c>
      <c r="Z563">
        <v>14.08</v>
      </c>
      <c r="AA563">
        <v>2.7</v>
      </c>
      <c r="AB563">
        <v>187.3</v>
      </c>
      <c r="AC563">
        <v>241.1587982832618</v>
      </c>
      <c r="AD563">
        <v>29.174454828660437</v>
      </c>
      <c r="AE563">
        <v>66.42</v>
      </c>
      <c r="AF563">
        <v>8.44</v>
      </c>
      <c r="AG563">
        <v>1</v>
      </c>
      <c r="AH563">
        <v>8.7200000000000006</v>
      </c>
      <c r="AI563">
        <v>113.72</v>
      </c>
      <c r="AJ563">
        <v>252.77</v>
      </c>
      <c r="AK563">
        <v>86.9</v>
      </c>
      <c r="AL563" t="s">
        <v>14</v>
      </c>
      <c r="AM563" t="s">
        <v>15</v>
      </c>
      <c r="AN563" t="str">
        <f t="shared" si="32"/>
        <v>Afternoon</v>
      </c>
      <c r="AO563" t="str">
        <f t="shared" si="33"/>
        <v>Off-Peak</v>
      </c>
      <c r="AP563" t="str">
        <f t="shared" si="34"/>
        <v>Medium</v>
      </c>
      <c r="AQ563" t="str">
        <f t="shared" si="35"/>
        <v>High</v>
      </c>
    </row>
    <row r="564" spans="1:43" x14ac:dyDescent="0.3">
      <c r="A564">
        <v>563</v>
      </c>
      <c r="B564" t="s">
        <v>29</v>
      </c>
      <c r="C564" t="s">
        <v>30</v>
      </c>
      <c r="D564" s="1">
        <v>46274</v>
      </c>
      <c r="E564" t="s">
        <v>18</v>
      </c>
      <c r="F564">
        <v>0</v>
      </c>
      <c r="G564">
        <v>16</v>
      </c>
      <c r="H564" t="s">
        <v>32</v>
      </c>
      <c r="I564" t="s">
        <v>45</v>
      </c>
      <c r="J564">
        <v>1</v>
      </c>
      <c r="K564" t="s">
        <v>12</v>
      </c>
      <c r="L564">
        <v>0</v>
      </c>
      <c r="M564">
        <v>2.68</v>
      </c>
      <c r="N564">
        <v>17</v>
      </c>
      <c r="O564" t="s">
        <v>22</v>
      </c>
      <c r="P564">
        <v>3</v>
      </c>
      <c r="Q564">
        <v>7.59</v>
      </c>
      <c r="R564">
        <v>55.7</v>
      </c>
      <c r="S564">
        <v>119.03</v>
      </c>
      <c r="T564">
        <v>32.43</v>
      </c>
      <c r="U564">
        <v>1</v>
      </c>
      <c r="V564">
        <v>0</v>
      </c>
      <c r="W564">
        <v>151.46</v>
      </c>
      <c r="X564">
        <v>38.299999999999997</v>
      </c>
      <c r="Y564">
        <v>106.51</v>
      </c>
      <c r="Z564">
        <v>21.11</v>
      </c>
      <c r="AA564">
        <v>7.66</v>
      </c>
      <c r="AB564">
        <v>122.69</v>
      </c>
      <c r="AC564">
        <v>132.16157989228006</v>
      </c>
      <c r="AD564">
        <v>16.164690382081687</v>
      </c>
      <c r="AE564">
        <v>76.91</v>
      </c>
      <c r="AF564">
        <v>12.94</v>
      </c>
      <c r="AG564">
        <v>0</v>
      </c>
      <c r="AH564">
        <v>19.64</v>
      </c>
      <c r="AI564">
        <v>36.64</v>
      </c>
      <c r="AJ564">
        <v>130.87</v>
      </c>
      <c r="AK564">
        <v>67.180000000000007</v>
      </c>
      <c r="AL564" t="s">
        <v>14</v>
      </c>
      <c r="AM564" t="s">
        <v>15</v>
      </c>
      <c r="AN564" t="str">
        <f t="shared" si="32"/>
        <v>Evening</v>
      </c>
      <c r="AO564" t="str">
        <f t="shared" si="33"/>
        <v>Off-Peak</v>
      </c>
      <c r="AP564" t="str">
        <f t="shared" si="34"/>
        <v>Low</v>
      </c>
      <c r="AQ564" t="str">
        <f t="shared" si="35"/>
        <v>Low</v>
      </c>
    </row>
    <row r="565" spans="1:43" x14ac:dyDescent="0.3">
      <c r="A565">
        <v>564</v>
      </c>
      <c r="B565" t="s">
        <v>14</v>
      </c>
      <c r="C565" t="s">
        <v>8</v>
      </c>
      <c r="D565" s="1">
        <v>46040</v>
      </c>
      <c r="E565" t="s">
        <v>26</v>
      </c>
      <c r="F565">
        <v>1</v>
      </c>
      <c r="G565">
        <v>10</v>
      </c>
      <c r="H565" t="s">
        <v>49</v>
      </c>
      <c r="I565" t="s">
        <v>37</v>
      </c>
      <c r="J565">
        <v>1.02</v>
      </c>
      <c r="K565" t="s">
        <v>12</v>
      </c>
      <c r="L565">
        <v>0</v>
      </c>
      <c r="M565">
        <v>2.59</v>
      </c>
      <c r="N565">
        <v>66</v>
      </c>
      <c r="O565" t="s">
        <v>35</v>
      </c>
      <c r="P565">
        <v>24</v>
      </c>
      <c r="Q565">
        <v>11.64</v>
      </c>
      <c r="R565">
        <v>78.900000000000006</v>
      </c>
      <c r="S565">
        <v>138.41</v>
      </c>
      <c r="T565">
        <v>72.61</v>
      </c>
      <c r="U565">
        <v>1</v>
      </c>
      <c r="V565">
        <v>0</v>
      </c>
      <c r="W565">
        <v>211.02</v>
      </c>
      <c r="X565">
        <v>37.6</v>
      </c>
      <c r="Y565">
        <v>104.9</v>
      </c>
      <c r="Z565">
        <v>32.450000000000003</v>
      </c>
      <c r="AA565">
        <v>3.47</v>
      </c>
      <c r="AB565">
        <v>175.1</v>
      </c>
      <c r="AC565">
        <v>133.15589353612165</v>
      </c>
      <c r="AD565">
        <v>15.042955326460479</v>
      </c>
      <c r="AE565">
        <v>69.45</v>
      </c>
      <c r="AF565">
        <v>14.62</v>
      </c>
      <c r="AG565">
        <v>1</v>
      </c>
      <c r="AH565">
        <v>-0.06</v>
      </c>
      <c r="AI565">
        <v>65.94</v>
      </c>
      <c r="AJ565">
        <v>127.91</v>
      </c>
      <c r="AK565">
        <v>74.36</v>
      </c>
      <c r="AL565" t="s">
        <v>14</v>
      </c>
      <c r="AM565" t="s">
        <v>15</v>
      </c>
      <c r="AN565" t="str">
        <f t="shared" si="32"/>
        <v>Morning</v>
      </c>
      <c r="AO565" t="str">
        <f t="shared" si="33"/>
        <v>Peak</v>
      </c>
      <c r="AP565" t="str">
        <f t="shared" si="34"/>
        <v>Low</v>
      </c>
      <c r="AQ565" t="str">
        <f t="shared" si="35"/>
        <v>Medium</v>
      </c>
    </row>
    <row r="566" spans="1:43" x14ac:dyDescent="0.3">
      <c r="A566">
        <v>565</v>
      </c>
      <c r="B566" t="s">
        <v>23</v>
      </c>
      <c r="C566" t="s">
        <v>17</v>
      </c>
      <c r="D566" s="1">
        <v>46212</v>
      </c>
      <c r="E566" t="s">
        <v>41</v>
      </c>
      <c r="F566">
        <v>0</v>
      </c>
      <c r="G566">
        <v>18</v>
      </c>
      <c r="H566" t="s">
        <v>40</v>
      </c>
      <c r="I566" t="s">
        <v>39</v>
      </c>
      <c r="J566">
        <v>1.05</v>
      </c>
      <c r="K566" t="s">
        <v>12</v>
      </c>
      <c r="L566">
        <v>0</v>
      </c>
      <c r="M566">
        <v>4.99</v>
      </c>
      <c r="N566">
        <v>50</v>
      </c>
      <c r="O566" t="s">
        <v>35</v>
      </c>
      <c r="P566">
        <v>12</v>
      </c>
      <c r="Q566">
        <v>12.93</v>
      </c>
      <c r="R566">
        <v>87.1</v>
      </c>
      <c r="S566">
        <v>196.25</v>
      </c>
      <c r="T566">
        <v>69.75</v>
      </c>
      <c r="U566">
        <v>1.32</v>
      </c>
      <c r="V566">
        <v>62.8</v>
      </c>
      <c r="W566">
        <v>328.8</v>
      </c>
      <c r="X566">
        <v>36.1</v>
      </c>
      <c r="Y566">
        <v>108.44</v>
      </c>
      <c r="Z566">
        <v>38.89</v>
      </c>
      <c r="AA566">
        <v>9.16</v>
      </c>
      <c r="AB566">
        <v>280.75</v>
      </c>
      <c r="AC566">
        <v>193.39839265212399</v>
      </c>
      <c r="AD566">
        <v>21.71307037896365</v>
      </c>
      <c r="AE566">
        <v>65.83</v>
      </c>
      <c r="AF566">
        <v>20</v>
      </c>
      <c r="AG566">
        <v>1</v>
      </c>
      <c r="AH566">
        <v>7.26</v>
      </c>
      <c r="AI566">
        <v>57.26</v>
      </c>
      <c r="AJ566">
        <v>208.14</v>
      </c>
      <c r="AK566">
        <v>73.959999999999994</v>
      </c>
      <c r="AL566" t="s">
        <v>23</v>
      </c>
      <c r="AM566" t="s">
        <v>24</v>
      </c>
      <c r="AN566" t="str">
        <f t="shared" si="32"/>
        <v>Night</v>
      </c>
      <c r="AO566" t="str">
        <f t="shared" si="33"/>
        <v>Peak</v>
      </c>
      <c r="AP566" t="str">
        <f t="shared" si="34"/>
        <v>Medium</v>
      </c>
      <c r="AQ566" t="str">
        <f t="shared" si="35"/>
        <v>Medium</v>
      </c>
    </row>
    <row r="567" spans="1:43" x14ac:dyDescent="0.3">
      <c r="A567">
        <v>566</v>
      </c>
      <c r="B567" t="s">
        <v>14</v>
      </c>
      <c r="C567" t="s">
        <v>8</v>
      </c>
      <c r="D567" s="1">
        <v>46175</v>
      </c>
      <c r="E567" t="s">
        <v>44</v>
      </c>
      <c r="F567">
        <v>0</v>
      </c>
      <c r="G567">
        <v>17</v>
      </c>
      <c r="H567" t="s">
        <v>32</v>
      </c>
      <c r="I567" t="s">
        <v>28</v>
      </c>
      <c r="J567">
        <v>1.03</v>
      </c>
      <c r="K567" t="s">
        <v>12</v>
      </c>
      <c r="L567">
        <v>0</v>
      </c>
      <c r="M567">
        <v>3.69</v>
      </c>
      <c r="N567">
        <v>27</v>
      </c>
      <c r="O567" t="s">
        <v>22</v>
      </c>
      <c r="P567">
        <v>10</v>
      </c>
      <c r="Q567">
        <v>1</v>
      </c>
      <c r="R567">
        <v>32.299999999999997</v>
      </c>
      <c r="S567">
        <v>57.15</v>
      </c>
      <c r="T567">
        <v>32.26</v>
      </c>
      <c r="U567">
        <v>1</v>
      </c>
      <c r="V567">
        <v>0</v>
      </c>
      <c r="W567">
        <v>89.41</v>
      </c>
      <c r="X567">
        <v>39.9</v>
      </c>
      <c r="Y567">
        <v>109.05</v>
      </c>
      <c r="Z567">
        <v>2.73</v>
      </c>
      <c r="AA567">
        <v>6.84</v>
      </c>
      <c r="AB567">
        <v>79.84</v>
      </c>
      <c r="AC567">
        <v>148.30959752321982</v>
      </c>
      <c r="AD567">
        <v>79.84</v>
      </c>
      <c r="AE567">
        <v>60.34</v>
      </c>
      <c r="AF567">
        <v>18.05</v>
      </c>
      <c r="AG567">
        <v>0</v>
      </c>
      <c r="AH567">
        <v>21.75</v>
      </c>
      <c r="AI567">
        <v>48.75</v>
      </c>
      <c r="AJ567">
        <v>145.99</v>
      </c>
      <c r="AK567">
        <v>72.56</v>
      </c>
      <c r="AL567" t="s">
        <v>14</v>
      </c>
      <c r="AM567" t="s">
        <v>15</v>
      </c>
      <c r="AN567" t="str">
        <f t="shared" si="32"/>
        <v>Evening</v>
      </c>
      <c r="AO567" t="str">
        <f t="shared" si="33"/>
        <v>Peak</v>
      </c>
      <c r="AP567" t="str">
        <f t="shared" si="34"/>
        <v>Low</v>
      </c>
      <c r="AQ567" t="str">
        <f t="shared" si="35"/>
        <v>Low</v>
      </c>
    </row>
    <row r="568" spans="1:43" x14ac:dyDescent="0.3">
      <c r="A568">
        <v>567</v>
      </c>
      <c r="B568" t="s">
        <v>14</v>
      </c>
      <c r="C568" t="s">
        <v>8</v>
      </c>
      <c r="D568" s="1">
        <v>46085</v>
      </c>
      <c r="E568" t="s">
        <v>18</v>
      </c>
      <c r="F568">
        <v>0</v>
      </c>
      <c r="G568">
        <v>14</v>
      </c>
      <c r="H568" t="s">
        <v>10</v>
      </c>
      <c r="I568" t="s">
        <v>39</v>
      </c>
      <c r="J568">
        <v>1.05</v>
      </c>
      <c r="K568" t="s">
        <v>12</v>
      </c>
      <c r="L568">
        <v>0</v>
      </c>
      <c r="M568">
        <v>4.16</v>
      </c>
      <c r="N568">
        <v>56</v>
      </c>
      <c r="O568" t="s">
        <v>35</v>
      </c>
      <c r="P568">
        <v>28</v>
      </c>
      <c r="Q568">
        <v>2.44</v>
      </c>
      <c r="R568">
        <v>25.6</v>
      </c>
      <c r="S568">
        <v>79.61</v>
      </c>
      <c r="T568">
        <v>65.63</v>
      </c>
      <c r="U568">
        <v>1</v>
      </c>
      <c r="V568">
        <v>0</v>
      </c>
      <c r="W568">
        <v>145.24</v>
      </c>
      <c r="X568">
        <v>39.9</v>
      </c>
      <c r="Y568">
        <v>104.82</v>
      </c>
      <c r="Z568">
        <v>6.4</v>
      </c>
      <c r="AA568">
        <v>3.1</v>
      </c>
      <c r="AB568">
        <v>135.74</v>
      </c>
      <c r="AC568">
        <v>318.140625</v>
      </c>
      <c r="AD568">
        <v>55.631147540983612</v>
      </c>
      <c r="AE568">
        <v>86</v>
      </c>
      <c r="AF568">
        <v>16.13</v>
      </c>
      <c r="AG568">
        <v>1</v>
      </c>
      <c r="AH568">
        <v>1</v>
      </c>
      <c r="AI568">
        <v>57</v>
      </c>
      <c r="AJ568">
        <v>335.03</v>
      </c>
      <c r="AK568">
        <v>73.5</v>
      </c>
      <c r="AL568" t="s">
        <v>14</v>
      </c>
      <c r="AM568" t="s">
        <v>15</v>
      </c>
      <c r="AN568" t="str">
        <f t="shared" si="32"/>
        <v>Afternoon</v>
      </c>
      <c r="AO568" t="str">
        <f t="shared" si="33"/>
        <v>Off-Peak</v>
      </c>
      <c r="AP568" t="str">
        <f t="shared" si="34"/>
        <v>High</v>
      </c>
      <c r="AQ568" t="str">
        <f t="shared" si="35"/>
        <v>Medium</v>
      </c>
    </row>
    <row r="569" spans="1:43" x14ac:dyDescent="0.3">
      <c r="A569">
        <v>568</v>
      </c>
      <c r="B569" t="s">
        <v>14</v>
      </c>
      <c r="C569" t="s">
        <v>8</v>
      </c>
      <c r="D569" s="1">
        <v>46081</v>
      </c>
      <c r="E569" t="s">
        <v>31</v>
      </c>
      <c r="F569">
        <v>1</v>
      </c>
      <c r="G569">
        <v>9</v>
      </c>
      <c r="H569" t="s">
        <v>49</v>
      </c>
      <c r="I569" t="s">
        <v>20</v>
      </c>
      <c r="J569">
        <v>1.25</v>
      </c>
      <c r="K569" t="s">
        <v>12</v>
      </c>
      <c r="L569">
        <v>0</v>
      </c>
      <c r="M569">
        <v>2.7</v>
      </c>
      <c r="N569">
        <v>58</v>
      </c>
      <c r="O569" t="s">
        <v>35</v>
      </c>
      <c r="P569">
        <v>24</v>
      </c>
      <c r="Q569">
        <v>3.97</v>
      </c>
      <c r="R569">
        <v>34.200000000000003</v>
      </c>
      <c r="S569">
        <v>93.58</v>
      </c>
      <c r="T569">
        <v>55.65</v>
      </c>
      <c r="U569">
        <v>1</v>
      </c>
      <c r="V569">
        <v>0</v>
      </c>
      <c r="W569">
        <v>149.22999999999999</v>
      </c>
      <c r="X569">
        <v>39.5</v>
      </c>
      <c r="Y569">
        <v>109.82</v>
      </c>
      <c r="Z569">
        <v>11.01</v>
      </c>
      <c r="AA569">
        <v>7.57</v>
      </c>
      <c r="AB569">
        <v>130.65</v>
      </c>
      <c r="AC569">
        <v>229.21052631578945</v>
      </c>
      <c r="AD569">
        <v>32.909319899244331</v>
      </c>
      <c r="AE569">
        <v>69.959999999999994</v>
      </c>
      <c r="AF569">
        <v>17.88</v>
      </c>
      <c r="AG569">
        <v>1</v>
      </c>
      <c r="AH569">
        <v>-13.88</v>
      </c>
      <c r="AI569">
        <v>44.12</v>
      </c>
      <c r="AJ569">
        <v>214.33</v>
      </c>
      <c r="AK569">
        <v>71.099999999999994</v>
      </c>
      <c r="AL569" t="s">
        <v>14</v>
      </c>
      <c r="AM569" t="s">
        <v>15</v>
      </c>
      <c r="AN569" t="str">
        <f t="shared" si="32"/>
        <v>Morning</v>
      </c>
      <c r="AO569" t="str">
        <f t="shared" si="33"/>
        <v>Peak</v>
      </c>
      <c r="AP569" t="str">
        <f t="shared" si="34"/>
        <v>Medium</v>
      </c>
      <c r="AQ569" t="str">
        <f t="shared" si="35"/>
        <v>Medium</v>
      </c>
    </row>
    <row r="570" spans="1:43" x14ac:dyDescent="0.3">
      <c r="A570">
        <v>569</v>
      </c>
      <c r="B570" t="s">
        <v>25</v>
      </c>
      <c r="C570" t="s">
        <v>17</v>
      </c>
      <c r="D570" s="1">
        <v>46208</v>
      </c>
      <c r="E570" t="s">
        <v>26</v>
      </c>
      <c r="F570">
        <v>1</v>
      </c>
      <c r="G570">
        <v>15</v>
      </c>
      <c r="H570" t="s">
        <v>19</v>
      </c>
      <c r="I570" t="s">
        <v>45</v>
      </c>
      <c r="J570">
        <v>1</v>
      </c>
      <c r="K570" t="s">
        <v>12</v>
      </c>
      <c r="L570">
        <v>0</v>
      </c>
      <c r="M570">
        <v>3.82</v>
      </c>
      <c r="N570">
        <v>46</v>
      </c>
      <c r="O570" t="s">
        <v>35</v>
      </c>
      <c r="P570">
        <v>6</v>
      </c>
      <c r="Q570">
        <v>2.2000000000000002</v>
      </c>
      <c r="R570">
        <v>23.8</v>
      </c>
      <c r="S570">
        <v>94.77</v>
      </c>
      <c r="T570">
        <v>52.94</v>
      </c>
      <c r="U570">
        <v>1.03</v>
      </c>
      <c r="V570">
        <v>2.84</v>
      </c>
      <c r="W570">
        <v>150.55000000000001</v>
      </c>
      <c r="X570">
        <v>43.9</v>
      </c>
      <c r="Y570">
        <v>100.72</v>
      </c>
      <c r="Z570">
        <v>5.05</v>
      </c>
      <c r="AA570">
        <v>11.11</v>
      </c>
      <c r="AB570">
        <v>134.38999999999999</v>
      </c>
      <c r="AC570">
        <v>338.79831932773106</v>
      </c>
      <c r="AD570">
        <v>61.086363636363622</v>
      </c>
      <c r="AE570">
        <v>78.349999999999994</v>
      </c>
      <c r="AF570">
        <v>18.13</v>
      </c>
      <c r="AG570">
        <v>1</v>
      </c>
      <c r="AH570">
        <v>13.14</v>
      </c>
      <c r="AI570">
        <v>59.14</v>
      </c>
      <c r="AJ570">
        <v>340.73</v>
      </c>
      <c r="AK570">
        <v>71.7</v>
      </c>
      <c r="AL570" t="s">
        <v>23</v>
      </c>
      <c r="AM570" t="s">
        <v>24</v>
      </c>
      <c r="AN570" t="str">
        <f t="shared" si="32"/>
        <v>Evening</v>
      </c>
      <c r="AO570" t="str">
        <f t="shared" si="33"/>
        <v>Off-Peak</v>
      </c>
      <c r="AP570" t="str">
        <f t="shared" si="34"/>
        <v>High</v>
      </c>
      <c r="AQ570" t="str">
        <f t="shared" si="35"/>
        <v>Medium</v>
      </c>
    </row>
    <row r="571" spans="1:43" x14ac:dyDescent="0.3">
      <c r="A571">
        <v>570</v>
      </c>
      <c r="B571" t="s">
        <v>29</v>
      </c>
      <c r="C571" t="s">
        <v>30</v>
      </c>
      <c r="D571" s="1">
        <v>46187</v>
      </c>
      <c r="E571" t="s">
        <v>26</v>
      </c>
      <c r="F571">
        <v>1</v>
      </c>
      <c r="G571">
        <v>17</v>
      </c>
      <c r="H571" t="s">
        <v>32</v>
      </c>
      <c r="I571" t="s">
        <v>46</v>
      </c>
      <c r="J571">
        <v>1.1499999999999999</v>
      </c>
      <c r="K571" t="s">
        <v>12</v>
      </c>
      <c r="L571">
        <v>0</v>
      </c>
      <c r="M571">
        <v>4.08</v>
      </c>
      <c r="N571">
        <v>95</v>
      </c>
      <c r="O571" t="s">
        <v>13</v>
      </c>
      <c r="P571">
        <v>19</v>
      </c>
      <c r="Q571">
        <v>3.19</v>
      </c>
      <c r="R571">
        <v>42.6</v>
      </c>
      <c r="S571">
        <v>79.86</v>
      </c>
      <c r="T571">
        <v>100</v>
      </c>
      <c r="U571">
        <v>1</v>
      </c>
      <c r="V571">
        <v>0</v>
      </c>
      <c r="W571">
        <v>179.86</v>
      </c>
      <c r="X571">
        <v>46.3</v>
      </c>
      <c r="Y571">
        <v>102.76</v>
      </c>
      <c r="Z571">
        <v>7.09</v>
      </c>
      <c r="AA571">
        <v>5.41</v>
      </c>
      <c r="AB571">
        <v>167.36</v>
      </c>
      <c r="AC571">
        <v>235.71830985915491</v>
      </c>
      <c r="AD571">
        <v>52.463949843260195</v>
      </c>
      <c r="AE571">
        <v>84.23</v>
      </c>
      <c r="AF571">
        <v>14.01</v>
      </c>
      <c r="AG571">
        <v>1</v>
      </c>
      <c r="AH571">
        <v>24.52</v>
      </c>
      <c r="AI571">
        <v>119.52</v>
      </c>
      <c r="AJ571">
        <v>266.97000000000003</v>
      </c>
      <c r="AK571">
        <v>70</v>
      </c>
      <c r="AL571" t="s">
        <v>23</v>
      </c>
      <c r="AM571" t="s">
        <v>24</v>
      </c>
      <c r="AN571" t="str">
        <f t="shared" si="32"/>
        <v>Evening</v>
      </c>
      <c r="AO571" t="str">
        <f t="shared" si="33"/>
        <v>Peak</v>
      </c>
      <c r="AP571" t="str">
        <f t="shared" si="34"/>
        <v>Medium</v>
      </c>
      <c r="AQ571" t="str">
        <f t="shared" si="35"/>
        <v>High</v>
      </c>
    </row>
    <row r="572" spans="1:43" x14ac:dyDescent="0.3">
      <c r="A572">
        <v>571</v>
      </c>
      <c r="B572" t="s">
        <v>23</v>
      </c>
      <c r="C572" t="s">
        <v>17</v>
      </c>
      <c r="D572" s="1">
        <v>46180</v>
      </c>
      <c r="E572" t="s">
        <v>26</v>
      </c>
      <c r="F572">
        <v>1</v>
      </c>
      <c r="G572">
        <v>12</v>
      </c>
      <c r="H572" t="s">
        <v>19</v>
      </c>
      <c r="I572" t="s">
        <v>50</v>
      </c>
      <c r="J572">
        <v>1.2</v>
      </c>
      <c r="K572" t="s">
        <v>12</v>
      </c>
      <c r="L572">
        <v>0</v>
      </c>
      <c r="M572">
        <v>2.35</v>
      </c>
      <c r="N572">
        <v>35</v>
      </c>
      <c r="O572" t="s">
        <v>22</v>
      </c>
      <c r="P572">
        <v>9</v>
      </c>
      <c r="Q572">
        <v>5.32</v>
      </c>
      <c r="R572">
        <v>33.6</v>
      </c>
      <c r="S572">
        <v>125.82</v>
      </c>
      <c r="T572">
        <v>39.42</v>
      </c>
      <c r="U572">
        <v>1.01</v>
      </c>
      <c r="V572">
        <v>1.26</v>
      </c>
      <c r="W572">
        <v>166.5</v>
      </c>
      <c r="X572">
        <v>49.1</v>
      </c>
      <c r="Y572">
        <v>104.17</v>
      </c>
      <c r="Z572">
        <v>11.29</v>
      </c>
      <c r="AA572">
        <v>2.5099999999999998</v>
      </c>
      <c r="AB572">
        <v>152.69999999999999</v>
      </c>
      <c r="AC572">
        <v>272.67857142857139</v>
      </c>
      <c r="AD572">
        <v>28.703007518796987</v>
      </c>
      <c r="AE572">
        <v>76.09</v>
      </c>
      <c r="AF572">
        <v>18.66</v>
      </c>
      <c r="AG572">
        <v>1</v>
      </c>
      <c r="AH572">
        <v>22.33</v>
      </c>
      <c r="AI572">
        <v>57.33</v>
      </c>
      <c r="AJ572">
        <v>269.58</v>
      </c>
      <c r="AK572">
        <v>71.37</v>
      </c>
      <c r="AL572" t="s">
        <v>14</v>
      </c>
      <c r="AM572" t="s">
        <v>15</v>
      </c>
      <c r="AN572" t="str">
        <f t="shared" si="32"/>
        <v>Afternoon</v>
      </c>
      <c r="AO572" t="str">
        <f t="shared" si="33"/>
        <v>Off-Peak</v>
      </c>
      <c r="AP572" t="str">
        <f t="shared" si="34"/>
        <v>High</v>
      </c>
      <c r="AQ572" t="str">
        <f t="shared" si="35"/>
        <v>Low</v>
      </c>
    </row>
    <row r="573" spans="1:43" x14ac:dyDescent="0.3">
      <c r="A573">
        <v>572</v>
      </c>
      <c r="B573" t="s">
        <v>48</v>
      </c>
      <c r="C573" t="s">
        <v>30</v>
      </c>
      <c r="D573" s="1">
        <v>46036</v>
      </c>
      <c r="E573" t="s">
        <v>18</v>
      </c>
      <c r="F573">
        <v>0</v>
      </c>
      <c r="G573">
        <v>11</v>
      </c>
      <c r="H573" t="s">
        <v>43</v>
      </c>
      <c r="I573" t="s">
        <v>50</v>
      </c>
      <c r="J573">
        <v>1.2</v>
      </c>
      <c r="K573" t="s">
        <v>21</v>
      </c>
      <c r="L573">
        <v>0</v>
      </c>
      <c r="M573">
        <v>1.63</v>
      </c>
      <c r="N573">
        <v>17</v>
      </c>
      <c r="O573" t="s">
        <v>22</v>
      </c>
      <c r="P573">
        <v>5</v>
      </c>
      <c r="Q573">
        <v>5.22</v>
      </c>
      <c r="R573">
        <v>31.6</v>
      </c>
      <c r="S573">
        <v>94.93</v>
      </c>
      <c r="T573">
        <v>24.7</v>
      </c>
      <c r="U573">
        <v>1</v>
      </c>
      <c r="V573">
        <v>0</v>
      </c>
      <c r="W573">
        <v>119.63</v>
      </c>
      <c r="X573">
        <v>36.4</v>
      </c>
      <c r="Y573">
        <v>105.83</v>
      </c>
      <c r="Z573">
        <v>15.16</v>
      </c>
      <c r="AA573">
        <v>11.45</v>
      </c>
      <c r="AB573">
        <v>93.02</v>
      </c>
      <c r="AC573">
        <v>176.62025316455694</v>
      </c>
      <c r="AD573">
        <v>17.819923371647509</v>
      </c>
      <c r="AE573">
        <v>75.73</v>
      </c>
      <c r="AF573">
        <v>11.65</v>
      </c>
      <c r="AG573">
        <v>0</v>
      </c>
      <c r="AH573">
        <v>13.72</v>
      </c>
      <c r="AI573">
        <v>30.72</v>
      </c>
      <c r="AJ573">
        <v>204.35</v>
      </c>
      <c r="AK573">
        <v>63.17</v>
      </c>
      <c r="AL573" t="s">
        <v>14</v>
      </c>
      <c r="AM573" t="s">
        <v>15</v>
      </c>
      <c r="AN573" t="str">
        <f t="shared" si="32"/>
        <v>Afternoon</v>
      </c>
      <c r="AO573" t="str">
        <f t="shared" si="33"/>
        <v>Off-Peak</v>
      </c>
      <c r="AP573" t="str">
        <f t="shared" si="34"/>
        <v>Medium</v>
      </c>
      <c r="AQ573" t="str">
        <f t="shared" si="35"/>
        <v>Low</v>
      </c>
    </row>
    <row r="574" spans="1:43" x14ac:dyDescent="0.3">
      <c r="A574">
        <v>573</v>
      </c>
      <c r="B574" t="s">
        <v>14</v>
      </c>
      <c r="C574" t="s">
        <v>8</v>
      </c>
      <c r="D574" s="1">
        <v>46177</v>
      </c>
      <c r="E574" t="s">
        <v>41</v>
      </c>
      <c r="F574">
        <v>0</v>
      </c>
      <c r="G574">
        <v>15</v>
      </c>
      <c r="H574" t="s">
        <v>32</v>
      </c>
      <c r="I574" t="s">
        <v>50</v>
      </c>
      <c r="J574">
        <v>1.2</v>
      </c>
      <c r="K574" t="s">
        <v>12</v>
      </c>
      <c r="L574">
        <v>0</v>
      </c>
      <c r="M574">
        <v>2.65</v>
      </c>
      <c r="N574">
        <v>38</v>
      </c>
      <c r="O574" t="s">
        <v>35</v>
      </c>
      <c r="P574">
        <v>20</v>
      </c>
      <c r="Q574">
        <v>7.43</v>
      </c>
      <c r="R574">
        <v>54.6</v>
      </c>
      <c r="S574">
        <v>106.7</v>
      </c>
      <c r="T574">
        <v>28.37</v>
      </c>
      <c r="U574">
        <v>1</v>
      </c>
      <c r="V574">
        <v>0</v>
      </c>
      <c r="W574">
        <v>135.07</v>
      </c>
      <c r="X574">
        <v>37.299999999999997</v>
      </c>
      <c r="Y574">
        <v>105.46</v>
      </c>
      <c r="Z574">
        <v>21.03</v>
      </c>
      <c r="AA574">
        <v>3.42</v>
      </c>
      <c r="AB574">
        <v>110.62</v>
      </c>
      <c r="AC574">
        <v>121.56043956043956</v>
      </c>
      <c r="AD574">
        <v>14.888290713324363</v>
      </c>
      <c r="AE574">
        <v>78.09</v>
      </c>
      <c r="AF574">
        <v>11.7</v>
      </c>
      <c r="AG574">
        <v>0</v>
      </c>
      <c r="AH574">
        <v>-32.159999999999997</v>
      </c>
      <c r="AI574">
        <v>5.84</v>
      </c>
      <c r="AJ574">
        <v>124.04</v>
      </c>
      <c r="AK574">
        <v>60</v>
      </c>
      <c r="AL574" t="s">
        <v>14</v>
      </c>
      <c r="AM574" t="s">
        <v>15</v>
      </c>
      <c r="AN574" t="str">
        <f t="shared" si="32"/>
        <v>Evening</v>
      </c>
      <c r="AO574" t="str">
        <f t="shared" si="33"/>
        <v>Off-Peak</v>
      </c>
      <c r="AP574" t="str">
        <f t="shared" si="34"/>
        <v>Low</v>
      </c>
      <c r="AQ574" t="str">
        <f t="shared" si="35"/>
        <v>Medium</v>
      </c>
    </row>
    <row r="575" spans="1:43" x14ac:dyDescent="0.3">
      <c r="A575">
        <v>574</v>
      </c>
      <c r="B575" t="s">
        <v>7</v>
      </c>
      <c r="C575" t="s">
        <v>8</v>
      </c>
      <c r="D575" s="1">
        <v>46276</v>
      </c>
      <c r="E575" t="s">
        <v>9</v>
      </c>
      <c r="F575">
        <v>0</v>
      </c>
      <c r="G575">
        <v>12</v>
      </c>
      <c r="H575" t="s">
        <v>10</v>
      </c>
      <c r="I575" t="s">
        <v>50</v>
      </c>
      <c r="J575">
        <v>1.2</v>
      </c>
      <c r="K575" t="s">
        <v>34</v>
      </c>
      <c r="L575">
        <v>1</v>
      </c>
      <c r="M575">
        <v>5</v>
      </c>
      <c r="N575">
        <v>111</v>
      </c>
      <c r="O575" t="s">
        <v>13</v>
      </c>
      <c r="P575">
        <v>38</v>
      </c>
      <c r="Q575">
        <v>4.03</v>
      </c>
      <c r="R575">
        <v>51.4</v>
      </c>
      <c r="S575">
        <v>79.349999999999994</v>
      </c>
      <c r="T575">
        <v>100</v>
      </c>
      <c r="U575">
        <v>1</v>
      </c>
      <c r="V575">
        <v>0</v>
      </c>
      <c r="W575">
        <v>179.35</v>
      </c>
      <c r="X575">
        <v>43.8</v>
      </c>
      <c r="Y575">
        <v>105.68</v>
      </c>
      <c r="Z575">
        <v>9.7200000000000006</v>
      </c>
      <c r="AA575">
        <v>6.75</v>
      </c>
      <c r="AB575">
        <v>162.88</v>
      </c>
      <c r="AC575">
        <v>190.13229571984434</v>
      </c>
      <c r="AD575">
        <v>40.416873449131508</v>
      </c>
      <c r="AE575">
        <v>81.98</v>
      </c>
      <c r="AF575">
        <v>14.77</v>
      </c>
      <c r="AG575">
        <v>1</v>
      </c>
      <c r="AH575">
        <v>-6.54</v>
      </c>
      <c r="AI575">
        <v>104.46</v>
      </c>
      <c r="AJ575">
        <v>202.1</v>
      </c>
      <c r="AK575">
        <v>79.930000000000007</v>
      </c>
      <c r="AL575" t="s">
        <v>14</v>
      </c>
      <c r="AM575" t="s">
        <v>15</v>
      </c>
      <c r="AN575" t="str">
        <f t="shared" si="32"/>
        <v>Afternoon</v>
      </c>
      <c r="AO575" t="str">
        <f t="shared" si="33"/>
        <v>Off-Peak</v>
      </c>
      <c r="AP575" t="str">
        <f t="shared" si="34"/>
        <v>Medium</v>
      </c>
      <c r="AQ575" t="str">
        <f t="shared" si="35"/>
        <v>High</v>
      </c>
    </row>
    <row r="576" spans="1:43" x14ac:dyDescent="0.3">
      <c r="A576">
        <v>575</v>
      </c>
      <c r="B576" t="s">
        <v>7</v>
      </c>
      <c r="C576" t="s">
        <v>8</v>
      </c>
      <c r="D576" s="1">
        <v>46027</v>
      </c>
      <c r="E576" t="s">
        <v>38</v>
      </c>
      <c r="F576">
        <v>0</v>
      </c>
      <c r="G576">
        <v>13</v>
      </c>
      <c r="H576" t="s">
        <v>10</v>
      </c>
      <c r="I576" t="s">
        <v>33</v>
      </c>
      <c r="J576">
        <v>1</v>
      </c>
      <c r="K576" t="s">
        <v>12</v>
      </c>
      <c r="L576">
        <v>0</v>
      </c>
      <c r="M576">
        <v>5</v>
      </c>
      <c r="N576">
        <v>73</v>
      </c>
      <c r="O576" t="s">
        <v>13</v>
      </c>
      <c r="P576">
        <v>34</v>
      </c>
      <c r="Q576">
        <v>1</v>
      </c>
      <c r="R576">
        <v>31.7</v>
      </c>
      <c r="S576">
        <v>49.15</v>
      </c>
      <c r="T576">
        <v>85.83</v>
      </c>
      <c r="U576">
        <v>1</v>
      </c>
      <c r="V576">
        <v>0</v>
      </c>
      <c r="W576">
        <v>134.97999999999999</v>
      </c>
      <c r="X576">
        <v>36.5</v>
      </c>
      <c r="Y576">
        <v>108.96</v>
      </c>
      <c r="Z576">
        <v>2.99</v>
      </c>
      <c r="AA576">
        <v>7.45</v>
      </c>
      <c r="AB576">
        <v>124.54</v>
      </c>
      <c r="AC576">
        <v>235.72239747634072</v>
      </c>
      <c r="AD576">
        <v>124.54</v>
      </c>
      <c r="AE576">
        <v>71.760000000000005</v>
      </c>
      <c r="AF576">
        <v>15.43</v>
      </c>
      <c r="AG576">
        <v>1</v>
      </c>
      <c r="AH576">
        <v>-5.77</v>
      </c>
      <c r="AI576">
        <v>67.23</v>
      </c>
      <c r="AJ576">
        <v>245.43</v>
      </c>
      <c r="AK576">
        <v>79.25</v>
      </c>
      <c r="AL576" t="s">
        <v>14</v>
      </c>
      <c r="AM576" t="s">
        <v>15</v>
      </c>
      <c r="AN576" t="str">
        <f t="shared" si="32"/>
        <v>Afternoon</v>
      </c>
      <c r="AO576" t="str">
        <f t="shared" si="33"/>
        <v>Off-Peak</v>
      </c>
      <c r="AP576" t="str">
        <f t="shared" si="34"/>
        <v>Medium</v>
      </c>
      <c r="AQ576" t="str">
        <f t="shared" si="35"/>
        <v>High</v>
      </c>
    </row>
    <row r="577" spans="1:43" x14ac:dyDescent="0.3">
      <c r="A577">
        <v>576</v>
      </c>
      <c r="B577" t="s">
        <v>48</v>
      </c>
      <c r="C577" t="s">
        <v>30</v>
      </c>
      <c r="D577" s="1">
        <v>46144</v>
      </c>
      <c r="E577" t="s">
        <v>31</v>
      </c>
      <c r="F577">
        <v>1</v>
      </c>
      <c r="G577">
        <v>12</v>
      </c>
      <c r="H577" t="s">
        <v>43</v>
      </c>
      <c r="I577" t="s">
        <v>46</v>
      </c>
      <c r="J577">
        <v>1.1499999999999999</v>
      </c>
      <c r="K577" t="s">
        <v>21</v>
      </c>
      <c r="L577">
        <v>0</v>
      </c>
      <c r="M577">
        <v>3.05</v>
      </c>
      <c r="N577">
        <v>35</v>
      </c>
      <c r="O577" t="s">
        <v>22</v>
      </c>
      <c r="P577">
        <v>11</v>
      </c>
      <c r="Q577">
        <v>2.99</v>
      </c>
      <c r="R577">
        <v>36.5</v>
      </c>
      <c r="S577">
        <v>77.69</v>
      </c>
      <c r="T577">
        <v>32.479999999999997</v>
      </c>
      <c r="U577">
        <v>1</v>
      </c>
      <c r="V577">
        <v>0</v>
      </c>
      <c r="W577">
        <v>110.17</v>
      </c>
      <c r="X577">
        <v>40.6</v>
      </c>
      <c r="Y577">
        <v>102.78</v>
      </c>
      <c r="Z577">
        <v>7.58</v>
      </c>
      <c r="AA577">
        <v>4.37</v>
      </c>
      <c r="AB577">
        <v>98.22</v>
      </c>
      <c r="AC577">
        <v>161.45753424657536</v>
      </c>
      <c r="AD577">
        <v>32.849498327759193</v>
      </c>
      <c r="AE577">
        <v>68.010000000000005</v>
      </c>
      <c r="AF577">
        <v>14.62</v>
      </c>
      <c r="AG577">
        <v>1</v>
      </c>
      <c r="AH577">
        <v>3.67</v>
      </c>
      <c r="AI577">
        <v>38.67</v>
      </c>
      <c r="AJ577">
        <v>156.78</v>
      </c>
      <c r="AK577">
        <v>68.59</v>
      </c>
      <c r="AL577" t="s">
        <v>14</v>
      </c>
      <c r="AM577" t="s">
        <v>15</v>
      </c>
      <c r="AN577" t="str">
        <f t="shared" si="32"/>
        <v>Afternoon</v>
      </c>
      <c r="AO577" t="str">
        <f t="shared" si="33"/>
        <v>Off-Peak</v>
      </c>
      <c r="AP577" t="str">
        <f t="shared" si="34"/>
        <v>Medium</v>
      </c>
      <c r="AQ577" t="str">
        <f t="shared" si="35"/>
        <v>Low</v>
      </c>
    </row>
    <row r="578" spans="1:43" x14ac:dyDescent="0.3">
      <c r="A578">
        <v>577</v>
      </c>
      <c r="B578" t="s">
        <v>23</v>
      </c>
      <c r="C578" t="s">
        <v>17</v>
      </c>
      <c r="D578" s="1">
        <v>46150</v>
      </c>
      <c r="E578" t="s">
        <v>9</v>
      </c>
      <c r="F578">
        <v>0</v>
      </c>
      <c r="G578">
        <v>11</v>
      </c>
      <c r="H578" t="s">
        <v>19</v>
      </c>
      <c r="I578" t="s">
        <v>50</v>
      </c>
      <c r="J578">
        <v>1.2</v>
      </c>
      <c r="K578" t="s">
        <v>21</v>
      </c>
      <c r="L578">
        <v>0</v>
      </c>
      <c r="M578">
        <v>2.39</v>
      </c>
      <c r="N578">
        <v>30</v>
      </c>
      <c r="O578" t="s">
        <v>22</v>
      </c>
      <c r="P578">
        <v>8</v>
      </c>
      <c r="Q578">
        <v>4.96</v>
      </c>
      <c r="R578">
        <v>42.5</v>
      </c>
      <c r="S578">
        <v>104.7</v>
      </c>
      <c r="T578">
        <v>29.76</v>
      </c>
      <c r="U578">
        <v>1.08</v>
      </c>
      <c r="V578">
        <v>8.3800000000000008</v>
      </c>
      <c r="W578">
        <v>142.84</v>
      </c>
      <c r="X578">
        <v>44.4</v>
      </c>
      <c r="Y578">
        <v>108.17</v>
      </c>
      <c r="Z578">
        <v>12.08</v>
      </c>
      <c r="AA578">
        <v>3.77</v>
      </c>
      <c r="AB578">
        <v>126.99</v>
      </c>
      <c r="AC578">
        <v>179.27999999999997</v>
      </c>
      <c r="AD578">
        <v>25.60282258064516</v>
      </c>
      <c r="AE578">
        <v>73.56</v>
      </c>
      <c r="AF578">
        <v>16.13</v>
      </c>
      <c r="AG578">
        <v>0</v>
      </c>
      <c r="AH578">
        <v>28.32</v>
      </c>
      <c r="AI578">
        <v>58.32</v>
      </c>
      <c r="AJ578">
        <v>149.38999999999999</v>
      </c>
      <c r="AK578">
        <v>62.38</v>
      </c>
      <c r="AL578" t="s">
        <v>23</v>
      </c>
      <c r="AM578" t="s">
        <v>24</v>
      </c>
      <c r="AN578" t="str">
        <f t="shared" si="32"/>
        <v>Afternoon</v>
      </c>
      <c r="AO578" t="str">
        <f t="shared" si="33"/>
        <v>Off-Peak</v>
      </c>
      <c r="AP578" t="str">
        <f t="shared" si="34"/>
        <v>Medium</v>
      </c>
      <c r="AQ578" t="str">
        <f t="shared" si="35"/>
        <v>Low</v>
      </c>
    </row>
    <row r="579" spans="1:43" x14ac:dyDescent="0.3">
      <c r="A579">
        <v>578</v>
      </c>
      <c r="B579" t="s">
        <v>29</v>
      </c>
      <c r="C579" t="s">
        <v>30</v>
      </c>
      <c r="D579" s="1">
        <v>46254</v>
      </c>
      <c r="E579" t="s">
        <v>41</v>
      </c>
      <c r="F579">
        <v>0</v>
      </c>
      <c r="G579">
        <v>18</v>
      </c>
      <c r="H579" t="s">
        <v>32</v>
      </c>
      <c r="I579" t="s">
        <v>46</v>
      </c>
      <c r="J579">
        <v>1.1499999999999999</v>
      </c>
      <c r="K579" t="s">
        <v>21</v>
      </c>
      <c r="L579">
        <v>0</v>
      </c>
      <c r="M579">
        <v>3.15</v>
      </c>
      <c r="N579">
        <v>99</v>
      </c>
      <c r="O579" t="s">
        <v>13</v>
      </c>
      <c r="P579">
        <v>17</v>
      </c>
      <c r="Q579">
        <v>7.79</v>
      </c>
      <c r="R579">
        <v>54.6</v>
      </c>
      <c r="S579">
        <v>121.46</v>
      </c>
      <c r="T579">
        <v>100</v>
      </c>
      <c r="U579">
        <v>1</v>
      </c>
      <c r="V579">
        <v>0</v>
      </c>
      <c r="W579">
        <v>221.46</v>
      </c>
      <c r="X579">
        <v>46.7</v>
      </c>
      <c r="Y579">
        <v>105.58</v>
      </c>
      <c r="Z579">
        <v>17.600000000000001</v>
      </c>
      <c r="AA579">
        <v>3.13</v>
      </c>
      <c r="AB579">
        <v>200.73</v>
      </c>
      <c r="AC579">
        <v>220.58241758241758</v>
      </c>
      <c r="AD579">
        <v>25.767650834403078</v>
      </c>
      <c r="AE579">
        <v>78.91</v>
      </c>
      <c r="AF579">
        <v>13.2</v>
      </c>
      <c r="AG579">
        <v>1</v>
      </c>
      <c r="AH579">
        <v>-13.21</v>
      </c>
      <c r="AI579">
        <v>85.79</v>
      </c>
      <c r="AJ579">
        <v>241.91</v>
      </c>
      <c r="AK579">
        <v>79.819999999999993</v>
      </c>
      <c r="AL579" t="s">
        <v>14</v>
      </c>
      <c r="AM579" t="s">
        <v>15</v>
      </c>
      <c r="AN579" t="str">
        <f t="shared" ref="AN579:AN642" si="36">IF(G579&lt;11,"Morning",IF(G579&lt;15,"Afternoon",IF(G579&lt;18,"Evening","Night")))</f>
        <v>Night</v>
      </c>
      <c r="AO579" t="str">
        <f t="shared" ref="AO579:AO642" si="37">IF(OR(AND(G579&gt;=7,G579&lt;=10),AND(G579&gt;=17,G579&lt;=20)),"Peak","Off-Peak")</f>
        <v>Peak</v>
      </c>
      <c r="AP579" t="str">
        <f t="shared" ref="AP579:AP642" si="38">IF(AC579&lt;150,"Low",IF(AC579&lt;=250,"Medium","High"))</f>
        <v>Medium</v>
      </c>
      <c r="AQ579" t="str">
        <f t="shared" ref="AQ579:AQ642" si="39">IF(N579&lt;=35,"Low",IF(N579&lt;=70,"Medium","High"))</f>
        <v>High</v>
      </c>
    </row>
    <row r="580" spans="1:43" x14ac:dyDescent="0.3">
      <c r="A580">
        <v>579</v>
      </c>
      <c r="B580" t="s">
        <v>23</v>
      </c>
      <c r="C580" t="s">
        <v>17</v>
      </c>
      <c r="D580" s="1">
        <v>46095</v>
      </c>
      <c r="E580" t="s">
        <v>31</v>
      </c>
      <c r="F580">
        <v>1</v>
      </c>
      <c r="G580">
        <v>14</v>
      </c>
      <c r="H580" t="s">
        <v>19</v>
      </c>
      <c r="I580" t="s">
        <v>50</v>
      </c>
      <c r="J580">
        <v>1.2</v>
      </c>
      <c r="K580" t="s">
        <v>21</v>
      </c>
      <c r="L580">
        <v>0</v>
      </c>
      <c r="M580">
        <v>3.44</v>
      </c>
      <c r="N580">
        <v>48</v>
      </c>
      <c r="O580" t="s">
        <v>35</v>
      </c>
      <c r="P580">
        <v>12</v>
      </c>
      <c r="Q580">
        <v>7.05</v>
      </c>
      <c r="R580">
        <v>48</v>
      </c>
      <c r="S580">
        <v>139.37</v>
      </c>
      <c r="T580">
        <v>43.61</v>
      </c>
      <c r="U580">
        <v>1</v>
      </c>
      <c r="V580">
        <v>0</v>
      </c>
      <c r="W580">
        <v>182.98</v>
      </c>
      <c r="X580">
        <v>38.299999999999997</v>
      </c>
      <c r="Y580">
        <v>104.9</v>
      </c>
      <c r="Z580">
        <v>19.329999999999998</v>
      </c>
      <c r="AA580">
        <v>2.7</v>
      </c>
      <c r="AB580">
        <v>160.94999999999999</v>
      </c>
      <c r="AC580">
        <v>201.18749999999997</v>
      </c>
      <c r="AD580">
        <v>22.829787234042552</v>
      </c>
      <c r="AE580">
        <v>79.27</v>
      </c>
      <c r="AF580">
        <v>15.47</v>
      </c>
      <c r="AG580">
        <v>1</v>
      </c>
      <c r="AH580">
        <v>36.630000000000003</v>
      </c>
      <c r="AI580">
        <v>84.63</v>
      </c>
      <c r="AJ580">
        <v>233.98</v>
      </c>
      <c r="AK580">
        <v>60</v>
      </c>
      <c r="AL580" t="s">
        <v>14</v>
      </c>
      <c r="AM580" t="s">
        <v>15</v>
      </c>
      <c r="AN580" t="str">
        <f t="shared" si="36"/>
        <v>Afternoon</v>
      </c>
      <c r="AO580" t="str">
        <f t="shared" si="37"/>
        <v>Off-Peak</v>
      </c>
      <c r="AP580" t="str">
        <f t="shared" si="38"/>
        <v>Medium</v>
      </c>
      <c r="AQ580" t="str">
        <f t="shared" si="39"/>
        <v>Medium</v>
      </c>
    </row>
    <row r="581" spans="1:43" x14ac:dyDescent="0.3">
      <c r="A581">
        <v>580</v>
      </c>
      <c r="B581" t="s">
        <v>7</v>
      </c>
      <c r="C581" t="s">
        <v>8</v>
      </c>
      <c r="D581" s="1">
        <v>46145</v>
      </c>
      <c r="E581" t="s">
        <v>26</v>
      </c>
      <c r="F581">
        <v>1</v>
      </c>
      <c r="G581">
        <v>14</v>
      </c>
      <c r="H581" t="s">
        <v>10</v>
      </c>
      <c r="I581" t="s">
        <v>37</v>
      </c>
      <c r="J581">
        <v>1.02</v>
      </c>
      <c r="K581" t="s">
        <v>34</v>
      </c>
      <c r="L581">
        <v>1</v>
      </c>
      <c r="M581">
        <v>3.19</v>
      </c>
      <c r="N581">
        <v>123</v>
      </c>
      <c r="O581" t="s">
        <v>13</v>
      </c>
      <c r="P581">
        <v>45</v>
      </c>
      <c r="Q581">
        <v>3.64</v>
      </c>
      <c r="R581">
        <v>39.9</v>
      </c>
      <c r="S581">
        <v>87.1</v>
      </c>
      <c r="T581">
        <v>100</v>
      </c>
      <c r="U581">
        <v>1</v>
      </c>
      <c r="V581">
        <v>0</v>
      </c>
      <c r="W581">
        <v>187.1</v>
      </c>
      <c r="X581">
        <v>45</v>
      </c>
      <c r="Y581">
        <v>102.99</v>
      </c>
      <c r="Z581">
        <v>8.32</v>
      </c>
      <c r="AA581">
        <v>7.08</v>
      </c>
      <c r="AB581">
        <v>171.7</v>
      </c>
      <c r="AC581">
        <v>258.19548872180451</v>
      </c>
      <c r="AD581">
        <v>47.170329670329664</v>
      </c>
      <c r="AE581">
        <v>90.65</v>
      </c>
      <c r="AF581">
        <v>12.6</v>
      </c>
      <c r="AG581">
        <v>1</v>
      </c>
      <c r="AH581">
        <v>-2.73</v>
      </c>
      <c r="AI581">
        <v>120.27</v>
      </c>
      <c r="AJ581">
        <v>278.13</v>
      </c>
      <c r="AK581">
        <v>83.1</v>
      </c>
      <c r="AL581" t="s">
        <v>14</v>
      </c>
      <c r="AM581" t="s">
        <v>15</v>
      </c>
      <c r="AN581" t="str">
        <f t="shared" si="36"/>
        <v>Afternoon</v>
      </c>
      <c r="AO581" t="str">
        <f t="shared" si="37"/>
        <v>Off-Peak</v>
      </c>
      <c r="AP581" t="str">
        <f t="shared" si="38"/>
        <v>High</v>
      </c>
      <c r="AQ581" t="str">
        <f t="shared" si="39"/>
        <v>High</v>
      </c>
    </row>
    <row r="582" spans="1:43" x14ac:dyDescent="0.3">
      <c r="A582">
        <v>581</v>
      </c>
      <c r="B582" t="s">
        <v>7</v>
      </c>
      <c r="C582" t="s">
        <v>8</v>
      </c>
      <c r="D582" s="1">
        <v>46208</v>
      </c>
      <c r="E582" t="s">
        <v>26</v>
      </c>
      <c r="F582">
        <v>1</v>
      </c>
      <c r="G582">
        <v>17</v>
      </c>
      <c r="H582" t="s">
        <v>32</v>
      </c>
      <c r="I582" t="s">
        <v>45</v>
      </c>
      <c r="J582">
        <v>1</v>
      </c>
      <c r="K582" t="s">
        <v>12</v>
      </c>
      <c r="L582">
        <v>0</v>
      </c>
      <c r="M582">
        <v>3.44</v>
      </c>
      <c r="N582">
        <v>33</v>
      </c>
      <c r="O582" t="s">
        <v>22</v>
      </c>
      <c r="P582">
        <v>16</v>
      </c>
      <c r="Q582">
        <v>2.31</v>
      </c>
      <c r="R582">
        <v>35.200000000000003</v>
      </c>
      <c r="S582">
        <v>55.07</v>
      </c>
      <c r="T582">
        <v>42.01</v>
      </c>
      <c r="U582">
        <v>1</v>
      </c>
      <c r="V582">
        <v>0</v>
      </c>
      <c r="W582">
        <v>97.08</v>
      </c>
      <c r="X582">
        <v>44.7</v>
      </c>
      <c r="Y582">
        <v>103.04</v>
      </c>
      <c r="Z582">
        <v>5.32</v>
      </c>
      <c r="AA582">
        <v>10.42</v>
      </c>
      <c r="AB582">
        <v>81.34</v>
      </c>
      <c r="AC582">
        <v>138.64772727272728</v>
      </c>
      <c r="AD582">
        <v>35.212121212121211</v>
      </c>
      <c r="AE582">
        <v>77.39</v>
      </c>
      <c r="AF582">
        <v>11.38</v>
      </c>
      <c r="AG582">
        <v>1</v>
      </c>
      <c r="AH582">
        <v>-8.5</v>
      </c>
      <c r="AI582">
        <v>24.5</v>
      </c>
      <c r="AJ582">
        <v>146.69</v>
      </c>
      <c r="AK582">
        <v>70.95</v>
      </c>
      <c r="AL582" t="s">
        <v>14</v>
      </c>
      <c r="AM582" t="s">
        <v>15</v>
      </c>
      <c r="AN582" t="str">
        <f t="shared" si="36"/>
        <v>Evening</v>
      </c>
      <c r="AO582" t="str">
        <f t="shared" si="37"/>
        <v>Peak</v>
      </c>
      <c r="AP582" t="str">
        <f t="shared" si="38"/>
        <v>Low</v>
      </c>
      <c r="AQ582" t="str">
        <f t="shared" si="39"/>
        <v>Low</v>
      </c>
    </row>
    <row r="583" spans="1:43" x14ac:dyDescent="0.3">
      <c r="A583">
        <v>582</v>
      </c>
      <c r="B583" t="s">
        <v>16</v>
      </c>
      <c r="C583" t="s">
        <v>17</v>
      </c>
      <c r="D583" s="1">
        <v>46038</v>
      </c>
      <c r="E583" t="s">
        <v>9</v>
      </c>
      <c r="F583">
        <v>0</v>
      </c>
      <c r="G583">
        <v>12</v>
      </c>
      <c r="H583" t="s">
        <v>19</v>
      </c>
      <c r="I583" t="s">
        <v>50</v>
      </c>
      <c r="J583">
        <v>1.2</v>
      </c>
      <c r="K583" t="s">
        <v>12</v>
      </c>
      <c r="L583">
        <v>0</v>
      </c>
      <c r="M583">
        <v>3.65</v>
      </c>
      <c r="N583">
        <v>26</v>
      </c>
      <c r="O583" t="s">
        <v>22</v>
      </c>
      <c r="P583">
        <v>5</v>
      </c>
      <c r="Q583">
        <v>3.76</v>
      </c>
      <c r="R583">
        <v>44</v>
      </c>
      <c r="S583">
        <v>116.72</v>
      </c>
      <c r="T583">
        <v>49.73</v>
      </c>
      <c r="U583">
        <v>1.1299999999999999</v>
      </c>
      <c r="V583">
        <v>15.17</v>
      </c>
      <c r="W583">
        <v>181.62</v>
      </c>
      <c r="X583">
        <v>47.9</v>
      </c>
      <c r="Y583">
        <v>103.88</v>
      </c>
      <c r="Z583">
        <v>8.17</v>
      </c>
      <c r="AA583">
        <v>3.27</v>
      </c>
      <c r="AB583">
        <v>170.18</v>
      </c>
      <c r="AC583">
        <v>232.06363636363639</v>
      </c>
      <c r="AD583">
        <v>45.260638297872347</v>
      </c>
      <c r="AE583">
        <v>67.59</v>
      </c>
      <c r="AF583">
        <v>13.54</v>
      </c>
      <c r="AG583">
        <v>0</v>
      </c>
      <c r="AH583">
        <v>15.68</v>
      </c>
      <c r="AI583">
        <v>41.68</v>
      </c>
      <c r="AJ583">
        <v>229.18</v>
      </c>
      <c r="AK583">
        <v>68.44</v>
      </c>
      <c r="AL583" t="s">
        <v>14</v>
      </c>
      <c r="AM583" t="s">
        <v>15</v>
      </c>
      <c r="AN583" t="str">
        <f t="shared" si="36"/>
        <v>Afternoon</v>
      </c>
      <c r="AO583" t="str">
        <f t="shared" si="37"/>
        <v>Off-Peak</v>
      </c>
      <c r="AP583" t="str">
        <f t="shared" si="38"/>
        <v>Medium</v>
      </c>
      <c r="AQ583" t="str">
        <f t="shared" si="39"/>
        <v>Low</v>
      </c>
    </row>
    <row r="584" spans="1:43" x14ac:dyDescent="0.3">
      <c r="A584">
        <v>583</v>
      </c>
      <c r="B584" t="s">
        <v>7</v>
      </c>
      <c r="C584" t="s">
        <v>8</v>
      </c>
      <c r="D584" s="1">
        <v>46229</v>
      </c>
      <c r="E584" t="s">
        <v>26</v>
      </c>
      <c r="F584">
        <v>1</v>
      </c>
      <c r="G584">
        <v>8</v>
      </c>
      <c r="H584" t="s">
        <v>49</v>
      </c>
      <c r="I584" t="s">
        <v>45</v>
      </c>
      <c r="J584">
        <v>1</v>
      </c>
      <c r="K584" t="s">
        <v>12</v>
      </c>
      <c r="L584">
        <v>0</v>
      </c>
      <c r="M584">
        <v>3.35</v>
      </c>
      <c r="N584">
        <v>49</v>
      </c>
      <c r="O584" t="s">
        <v>35</v>
      </c>
      <c r="P584">
        <v>20</v>
      </c>
      <c r="Q584">
        <v>1</v>
      </c>
      <c r="R584">
        <v>27.5</v>
      </c>
      <c r="S584">
        <v>44.99</v>
      </c>
      <c r="T584">
        <v>50.37</v>
      </c>
      <c r="U584">
        <v>1</v>
      </c>
      <c r="V584">
        <v>0</v>
      </c>
      <c r="W584">
        <v>95.36</v>
      </c>
      <c r="X584">
        <v>39.700000000000003</v>
      </c>
      <c r="Y584">
        <v>107.64</v>
      </c>
      <c r="Z584">
        <v>2.71</v>
      </c>
      <c r="AA584">
        <v>9.01</v>
      </c>
      <c r="AB584">
        <v>83.64</v>
      </c>
      <c r="AC584">
        <v>182.48727272727274</v>
      </c>
      <c r="AD584">
        <v>83.64</v>
      </c>
      <c r="AE584">
        <v>58.47</v>
      </c>
      <c r="AF584">
        <v>14.54</v>
      </c>
      <c r="AG584">
        <v>1</v>
      </c>
      <c r="AH584">
        <v>16.86</v>
      </c>
      <c r="AI584">
        <v>65.86</v>
      </c>
      <c r="AJ584">
        <v>200.15</v>
      </c>
      <c r="AK584">
        <v>66.45</v>
      </c>
      <c r="AL584" t="s">
        <v>14</v>
      </c>
      <c r="AM584" t="s">
        <v>15</v>
      </c>
      <c r="AN584" t="str">
        <f t="shared" si="36"/>
        <v>Morning</v>
      </c>
      <c r="AO584" t="str">
        <f t="shared" si="37"/>
        <v>Peak</v>
      </c>
      <c r="AP584" t="str">
        <f t="shared" si="38"/>
        <v>Medium</v>
      </c>
      <c r="AQ584" t="str">
        <f t="shared" si="39"/>
        <v>Medium</v>
      </c>
    </row>
    <row r="585" spans="1:43" x14ac:dyDescent="0.3">
      <c r="A585">
        <v>584</v>
      </c>
      <c r="B585" t="s">
        <v>7</v>
      </c>
      <c r="C585" t="s">
        <v>8</v>
      </c>
      <c r="D585" s="1">
        <v>46235</v>
      </c>
      <c r="E585" t="s">
        <v>31</v>
      </c>
      <c r="F585">
        <v>1</v>
      </c>
      <c r="G585">
        <v>20</v>
      </c>
      <c r="H585" t="s">
        <v>51</v>
      </c>
      <c r="I585" t="s">
        <v>28</v>
      </c>
      <c r="J585">
        <v>1.03</v>
      </c>
      <c r="K585" t="s">
        <v>12</v>
      </c>
      <c r="L585">
        <v>0</v>
      </c>
      <c r="M585">
        <v>3.92</v>
      </c>
      <c r="N585">
        <v>92</v>
      </c>
      <c r="O585" t="s">
        <v>13</v>
      </c>
      <c r="P585">
        <v>33</v>
      </c>
      <c r="Q585">
        <v>2.5</v>
      </c>
      <c r="R585">
        <v>29.1</v>
      </c>
      <c r="S585">
        <v>59.59</v>
      </c>
      <c r="T585">
        <v>100</v>
      </c>
      <c r="U585">
        <v>1</v>
      </c>
      <c r="V585">
        <v>0</v>
      </c>
      <c r="W585">
        <v>159.59</v>
      </c>
      <c r="X585">
        <v>46.3</v>
      </c>
      <c r="Y585">
        <v>104.77</v>
      </c>
      <c r="Z585">
        <v>5.66</v>
      </c>
      <c r="AA585">
        <v>6.13</v>
      </c>
      <c r="AB585">
        <v>147.80000000000001</v>
      </c>
      <c r="AC585">
        <v>304.74226804123708</v>
      </c>
      <c r="AD585">
        <v>59.120000000000005</v>
      </c>
      <c r="AE585">
        <v>73.209999999999994</v>
      </c>
      <c r="AF585">
        <v>12.98</v>
      </c>
      <c r="AG585">
        <v>1</v>
      </c>
      <c r="AH585">
        <v>12.75</v>
      </c>
      <c r="AI585">
        <v>104.75</v>
      </c>
      <c r="AJ585">
        <v>312.24</v>
      </c>
      <c r="AK585">
        <v>77.31</v>
      </c>
      <c r="AL585" t="s">
        <v>14</v>
      </c>
      <c r="AM585" t="s">
        <v>15</v>
      </c>
      <c r="AN585" t="str">
        <f t="shared" si="36"/>
        <v>Night</v>
      </c>
      <c r="AO585" t="str">
        <f t="shared" si="37"/>
        <v>Peak</v>
      </c>
      <c r="AP585" t="str">
        <f t="shared" si="38"/>
        <v>High</v>
      </c>
      <c r="AQ585" t="str">
        <f t="shared" si="39"/>
        <v>High</v>
      </c>
    </row>
    <row r="586" spans="1:43" x14ac:dyDescent="0.3">
      <c r="A586">
        <v>585</v>
      </c>
      <c r="B586" t="s">
        <v>48</v>
      </c>
      <c r="C586" t="s">
        <v>30</v>
      </c>
      <c r="D586" s="1">
        <v>46208</v>
      </c>
      <c r="E586" t="s">
        <v>26</v>
      </c>
      <c r="F586">
        <v>1</v>
      </c>
      <c r="G586">
        <v>7</v>
      </c>
      <c r="H586" t="s">
        <v>47</v>
      </c>
      <c r="I586" t="s">
        <v>33</v>
      </c>
      <c r="J586">
        <v>1</v>
      </c>
      <c r="K586" t="s">
        <v>12</v>
      </c>
      <c r="L586">
        <v>0</v>
      </c>
      <c r="M586">
        <v>3.45</v>
      </c>
      <c r="N586">
        <v>33</v>
      </c>
      <c r="O586" t="s">
        <v>22</v>
      </c>
      <c r="P586">
        <v>11</v>
      </c>
      <c r="Q586">
        <v>8.76</v>
      </c>
      <c r="R586">
        <v>64.7</v>
      </c>
      <c r="S586">
        <v>120.7</v>
      </c>
      <c r="T586">
        <v>45.3</v>
      </c>
      <c r="U586">
        <v>1</v>
      </c>
      <c r="V586">
        <v>0</v>
      </c>
      <c r="W586">
        <v>166</v>
      </c>
      <c r="X586">
        <v>46.3</v>
      </c>
      <c r="Y586">
        <v>101.54</v>
      </c>
      <c r="Z586">
        <v>19.21</v>
      </c>
      <c r="AA586">
        <v>2.35</v>
      </c>
      <c r="AB586">
        <v>144.44</v>
      </c>
      <c r="AC586">
        <v>133.94744976816074</v>
      </c>
      <c r="AD586">
        <v>16.488584474885844</v>
      </c>
      <c r="AE586">
        <v>63.88</v>
      </c>
      <c r="AF586">
        <v>15.56</v>
      </c>
      <c r="AG586">
        <v>1</v>
      </c>
      <c r="AH586">
        <v>-8.5399999999999991</v>
      </c>
      <c r="AI586">
        <v>24.46</v>
      </c>
      <c r="AJ586">
        <v>138.04</v>
      </c>
      <c r="AK586">
        <v>68.400000000000006</v>
      </c>
      <c r="AL586" t="s">
        <v>23</v>
      </c>
      <c r="AM586" t="s">
        <v>24</v>
      </c>
      <c r="AN586" t="str">
        <f t="shared" si="36"/>
        <v>Morning</v>
      </c>
      <c r="AO586" t="str">
        <f t="shared" si="37"/>
        <v>Peak</v>
      </c>
      <c r="AP586" t="str">
        <f t="shared" si="38"/>
        <v>Low</v>
      </c>
      <c r="AQ586" t="str">
        <f t="shared" si="39"/>
        <v>Low</v>
      </c>
    </row>
    <row r="587" spans="1:43" x14ac:dyDescent="0.3">
      <c r="A587">
        <v>586</v>
      </c>
      <c r="B587" t="s">
        <v>23</v>
      </c>
      <c r="C587" t="s">
        <v>17</v>
      </c>
      <c r="D587" s="1">
        <v>46190</v>
      </c>
      <c r="E587" t="s">
        <v>18</v>
      </c>
      <c r="F587">
        <v>0</v>
      </c>
      <c r="G587">
        <v>16</v>
      </c>
      <c r="H587" t="s">
        <v>19</v>
      </c>
      <c r="I587" t="s">
        <v>42</v>
      </c>
      <c r="J587">
        <v>1.08</v>
      </c>
      <c r="K587" t="s">
        <v>12</v>
      </c>
      <c r="L587">
        <v>0</v>
      </c>
      <c r="M587">
        <v>3.14</v>
      </c>
      <c r="N587">
        <v>14</v>
      </c>
      <c r="O587" t="s">
        <v>22</v>
      </c>
      <c r="P587">
        <v>2</v>
      </c>
      <c r="Q587">
        <v>3.76</v>
      </c>
      <c r="R587">
        <v>37.4</v>
      </c>
      <c r="S587">
        <v>108.47</v>
      </c>
      <c r="T587">
        <v>11.7</v>
      </c>
      <c r="U587">
        <v>1.04</v>
      </c>
      <c r="V587">
        <v>4.34</v>
      </c>
      <c r="W587">
        <v>124.51</v>
      </c>
      <c r="X587">
        <v>38.6</v>
      </c>
      <c r="Y587">
        <v>107.6</v>
      </c>
      <c r="Z587">
        <v>10.47</v>
      </c>
      <c r="AA587">
        <v>7.36</v>
      </c>
      <c r="AB587">
        <v>106.68</v>
      </c>
      <c r="AC587">
        <v>171.14438502673798</v>
      </c>
      <c r="AD587">
        <v>28.372340425531917</v>
      </c>
      <c r="AE587">
        <v>67.28</v>
      </c>
      <c r="AF587">
        <v>19.02</v>
      </c>
      <c r="AG587">
        <v>0</v>
      </c>
      <c r="AH587">
        <v>10.53</v>
      </c>
      <c r="AI587">
        <v>24.53</v>
      </c>
      <c r="AJ587">
        <v>147.47</v>
      </c>
      <c r="AK587">
        <v>68.8</v>
      </c>
      <c r="AL587" t="s">
        <v>23</v>
      </c>
      <c r="AM587" t="s">
        <v>24</v>
      </c>
      <c r="AN587" t="str">
        <f t="shared" si="36"/>
        <v>Evening</v>
      </c>
      <c r="AO587" t="str">
        <f t="shared" si="37"/>
        <v>Off-Peak</v>
      </c>
      <c r="AP587" t="str">
        <f t="shared" si="38"/>
        <v>Medium</v>
      </c>
      <c r="AQ587" t="str">
        <f t="shared" si="39"/>
        <v>Low</v>
      </c>
    </row>
    <row r="588" spans="1:43" x14ac:dyDescent="0.3">
      <c r="A588">
        <v>587</v>
      </c>
      <c r="B588" t="s">
        <v>25</v>
      </c>
      <c r="C588" t="s">
        <v>17</v>
      </c>
      <c r="D588" s="1">
        <v>46215</v>
      </c>
      <c r="E588" t="s">
        <v>26</v>
      </c>
      <c r="F588">
        <v>1</v>
      </c>
      <c r="G588">
        <v>11</v>
      </c>
      <c r="H588" t="s">
        <v>19</v>
      </c>
      <c r="I588" t="s">
        <v>46</v>
      </c>
      <c r="J588">
        <v>1.1499999999999999</v>
      </c>
      <c r="K588" t="s">
        <v>12</v>
      </c>
      <c r="L588">
        <v>0</v>
      </c>
      <c r="M588">
        <v>2.38</v>
      </c>
      <c r="N588">
        <v>57</v>
      </c>
      <c r="O588" t="s">
        <v>35</v>
      </c>
      <c r="P588">
        <v>11</v>
      </c>
      <c r="Q588">
        <v>5.1100000000000003</v>
      </c>
      <c r="R588">
        <v>38.1</v>
      </c>
      <c r="S588">
        <v>122.75</v>
      </c>
      <c r="T588">
        <v>65.91</v>
      </c>
      <c r="U588">
        <v>1.1000000000000001</v>
      </c>
      <c r="V588">
        <v>12.28</v>
      </c>
      <c r="W588">
        <v>200.94</v>
      </c>
      <c r="X588">
        <v>44.3</v>
      </c>
      <c r="Y588">
        <v>106.63</v>
      </c>
      <c r="Z588">
        <v>12.29</v>
      </c>
      <c r="AA588">
        <v>4.5199999999999996</v>
      </c>
      <c r="AB588">
        <v>184.13</v>
      </c>
      <c r="AC588">
        <v>289.96850393700788</v>
      </c>
      <c r="AD588">
        <v>36.033268101761252</v>
      </c>
      <c r="AE588">
        <v>78.5</v>
      </c>
      <c r="AF588">
        <v>13.42</v>
      </c>
      <c r="AG588">
        <v>1</v>
      </c>
      <c r="AH588">
        <v>-12.5</v>
      </c>
      <c r="AI588">
        <v>44.5</v>
      </c>
      <c r="AJ588">
        <v>282.22000000000003</v>
      </c>
      <c r="AK588">
        <v>73.63</v>
      </c>
      <c r="AL588" t="s">
        <v>23</v>
      </c>
      <c r="AM588" t="s">
        <v>24</v>
      </c>
      <c r="AN588" t="str">
        <f t="shared" si="36"/>
        <v>Afternoon</v>
      </c>
      <c r="AO588" t="str">
        <f t="shared" si="37"/>
        <v>Off-Peak</v>
      </c>
      <c r="AP588" t="str">
        <f t="shared" si="38"/>
        <v>High</v>
      </c>
      <c r="AQ588" t="str">
        <f t="shared" si="39"/>
        <v>Medium</v>
      </c>
    </row>
    <row r="589" spans="1:43" x14ac:dyDescent="0.3">
      <c r="A589">
        <v>588</v>
      </c>
      <c r="B589" t="s">
        <v>7</v>
      </c>
      <c r="C589" t="s">
        <v>8</v>
      </c>
      <c r="D589" s="1">
        <v>46224</v>
      </c>
      <c r="E589" t="s">
        <v>44</v>
      </c>
      <c r="F589">
        <v>0</v>
      </c>
      <c r="G589">
        <v>10</v>
      </c>
      <c r="H589" t="s">
        <v>49</v>
      </c>
      <c r="I589" t="s">
        <v>45</v>
      </c>
      <c r="J589">
        <v>1</v>
      </c>
      <c r="K589" t="s">
        <v>12</v>
      </c>
      <c r="L589">
        <v>0</v>
      </c>
      <c r="M589">
        <v>4.4800000000000004</v>
      </c>
      <c r="N589">
        <v>36</v>
      </c>
      <c r="O589" t="s">
        <v>35</v>
      </c>
      <c r="P589">
        <v>15</v>
      </c>
      <c r="Q589">
        <v>1.1499999999999999</v>
      </c>
      <c r="R589">
        <v>29.6</v>
      </c>
      <c r="S589">
        <v>55.5</v>
      </c>
      <c r="T589">
        <v>32.92</v>
      </c>
      <c r="U589">
        <v>1</v>
      </c>
      <c r="V589">
        <v>0</v>
      </c>
      <c r="W589">
        <v>88.42</v>
      </c>
      <c r="X589">
        <v>45.1</v>
      </c>
      <c r="Y589">
        <v>109.49</v>
      </c>
      <c r="Z589">
        <v>2.79</v>
      </c>
      <c r="AA589">
        <v>8.0500000000000007</v>
      </c>
      <c r="AB589">
        <v>77.58</v>
      </c>
      <c r="AC589">
        <v>157.25675675675674</v>
      </c>
      <c r="AD589">
        <v>67.460869565217394</v>
      </c>
      <c r="AE589">
        <v>75.56</v>
      </c>
      <c r="AF589">
        <v>14.82</v>
      </c>
      <c r="AG589">
        <v>0</v>
      </c>
      <c r="AH589">
        <v>-8.9600000000000009</v>
      </c>
      <c r="AI589">
        <v>27.04</v>
      </c>
      <c r="AJ589">
        <v>162.61000000000001</v>
      </c>
      <c r="AK589">
        <v>68.319999999999993</v>
      </c>
      <c r="AL589" t="s">
        <v>14</v>
      </c>
      <c r="AM589" t="s">
        <v>15</v>
      </c>
      <c r="AN589" t="str">
        <f t="shared" si="36"/>
        <v>Morning</v>
      </c>
      <c r="AO589" t="str">
        <f t="shared" si="37"/>
        <v>Peak</v>
      </c>
      <c r="AP589" t="str">
        <f t="shared" si="38"/>
        <v>Medium</v>
      </c>
      <c r="AQ589" t="str">
        <f t="shared" si="39"/>
        <v>Medium</v>
      </c>
    </row>
    <row r="590" spans="1:43" x14ac:dyDescent="0.3">
      <c r="A590">
        <v>589</v>
      </c>
      <c r="B590" t="s">
        <v>16</v>
      </c>
      <c r="C590" t="s">
        <v>17</v>
      </c>
      <c r="D590" s="1">
        <v>46256</v>
      </c>
      <c r="E590" t="s">
        <v>31</v>
      </c>
      <c r="F590">
        <v>1</v>
      </c>
      <c r="G590">
        <v>7</v>
      </c>
      <c r="H590" t="s">
        <v>27</v>
      </c>
      <c r="I590" t="s">
        <v>20</v>
      </c>
      <c r="J590">
        <v>1.25</v>
      </c>
      <c r="K590" t="s">
        <v>12</v>
      </c>
      <c r="L590">
        <v>0</v>
      </c>
      <c r="M590">
        <v>3.82</v>
      </c>
      <c r="N590">
        <v>111</v>
      </c>
      <c r="O590" t="s">
        <v>13</v>
      </c>
      <c r="P590">
        <v>25</v>
      </c>
      <c r="Q590">
        <v>7.75</v>
      </c>
      <c r="R590">
        <v>54.7</v>
      </c>
      <c r="S590">
        <v>141.71</v>
      </c>
      <c r="T590">
        <v>100</v>
      </c>
      <c r="U590">
        <v>1.33</v>
      </c>
      <c r="V590">
        <v>46.76</v>
      </c>
      <c r="W590">
        <v>288.47000000000003</v>
      </c>
      <c r="X590">
        <v>39.1</v>
      </c>
      <c r="Y590">
        <v>105.29</v>
      </c>
      <c r="Z590">
        <v>20.86</v>
      </c>
      <c r="AA590">
        <v>5.49</v>
      </c>
      <c r="AB590">
        <v>262.12</v>
      </c>
      <c r="AC590">
        <v>287.51736745886654</v>
      </c>
      <c r="AD590">
        <v>33.821935483870966</v>
      </c>
      <c r="AE590">
        <v>95.75</v>
      </c>
      <c r="AF590">
        <v>12.26</v>
      </c>
      <c r="AG590">
        <v>1</v>
      </c>
      <c r="AH590">
        <v>1.58</v>
      </c>
      <c r="AI590">
        <v>112.58</v>
      </c>
      <c r="AJ590">
        <v>309.12</v>
      </c>
      <c r="AK590">
        <v>85.93</v>
      </c>
      <c r="AL590" t="s">
        <v>23</v>
      </c>
      <c r="AM590" t="s">
        <v>24</v>
      </c>
      <c r="AN590" t="str">
        <f t="shared" si="36"/>
        <v>Morning</v>
      </c>
      <c r="AO590" t="str">
        <f t="shared" si="37"/>
        <v>Peak</v>
      </c>
      <c r="AP590" t="str">
        <f t="shared" si="38"/>
        <v>High</v>
      </c>
      <c r="AQ590" t="str">
        <f t="shared" si="39"/>
        <v>High</v>
      </c>
    </row>
    <row r="591" spans="1:43" x14ac:dyDescent="0.3">
      <c r="A591">
        <v>590</v>
      </c>
      <c r="B591" t="s">
        <v>16</v>
      </c>
      <c r="C591" t="s">
        <v>17</v>
      </c>
      <c r="D591" s="1">
        <v>46133</v>
      </c>
      <c r="E591" t="s">
        <v>44</v>
      </c>
      <c r="F591">
        <v>0</v>
      </c>
      <c r="G591">
        <v>21</v>
      </c>
      <c r="H591" t="s">
        <v>19</v>
      </c>
      <c r="I591" t="s">
        <v>33</v>
      </c>
      <c r="J591">
        <v>1</v>
      </c>
      <c r="K591" t="s">
        <v>12</v>
      </c>
      <c r="L591">
        <v>0</v>
      </c>
      <c r="M591">
        <v>4.72</v>
      </c>
      <c r="N591">
        <v>89</v>
      </c>
      <c r="O591" t="s">
        <v>13</v>
      </c>
      <c r="P591">
        <v>17</v>
      </c>
      <c r="Q591">
        <v>3.5</v>
      </c>
      <c r="R591">
        <v>47.1</v>
      </c>
      <c r="S591">
        <v>90.85</v>
      </c>
      <c r="T591">
        <v>80.489999999999995</v>
      </c>
      <c r="U591">
        <v>1.25</v>
      </c>
      <c r="V591">
        <v>22.71</v>
      </c>
      <c r="W591">
        <v>194.05</v>
      </c>
      <c r="X591">
        <v>41.8</v>
      </c>
      <c r="Y591">
        <v>106.54</v>
      </c>
      <c r="Z591">
        <v>8.92</v>
      </c>
      <c r="AA591">
        <v>8.66</v>
      </c>
      <c r="AB591">
        <v>176.47</v>
      </c>
      <c r="AC591">
        <v>224.80254777070061</v>
      </c>
      <c r="AD591">
        <v>50.42</v>
      </c>
      <c r="AE591">
        <v>82.98</v>
      </c>
      <c r="AF591">
        <v>19.39</v>
      </c>
      <c r="AG591">
        <v>1</v>
      </c>
      <c r="AH591">
        <v>-9.3000000000000007</v>
      </c>
      <c r="AI591">
        <v>79.7</v>
      </c>
      <c r="AJ591">
        <v>246.97</v>
      </c>
      <c r="AK591">
        <v>75.98</v>
      </c>
      <c r="AL591" t="s">
        <v>14</v>
      </c>
      <c r="AM591" t="s">
        <v>15</v>
      </c>
      <c r="AN591" t="str">
        <f t="shared" si="36"/>
        <v>Night</v>
      </c>
      <c r="AO591" t="str">
        <f t="shared" si="37"/>
        <v>Off-Peak</v>
      </c>
      <c r="AP591" t="str">
        <f t="shared" si="38"/>
        <v>Medium</v>
      </c>
      <c r="AQ591" t="str">
        <f t="shared" si="39"/>
        <v>High</v>
      </c>
    </row>
    <row r="592" spans="1:43" x14ac:dyDescent="0.3">
      <c r="A592">
        <v>591</v>
      </c>
      <c r="B592" t="s">
        <v>16</v>
      </c>
      <c r="C592" t="s">
        <v>17</v>
      </c>
      <c r="D592" s="1">
        <v>46140</v>
      </c>
      <c r="E592" t="s">
        <v>44</v>
      </c>
      <c r="F592">
        <v>0</v>
      </c>
      <c r="G592">
        <v>13</v>
      </c>
      <c r="H592" t="s">
        <v>19</v>
      </c>
      <c r="I592" t="s">
        <v>39</v>
      </c>
      <c r="J592">
        <v>1.05</v>
      </c>
      <c r="K592" t="s">
        <v>21</v>
      </c>
      <c r="L592">
        <v>0</v>
      </c>
      <c r="M592">
        <v>1.07</v>
      </c>
      <c r="N592">
        <v>25</v>
      </c>
      <c r="O592" t="s">
        <v>22</v>
      </c>
      <c r="P592">
        <v>5</v>
      </c>
      <c r="Q592">
        <v>4.9800000000000004</v>
      </c>
      <c r="R592">
        <v>27.6</v>
      </c>
      <c r="S592">
        <v>124.76</v>
      </c>
      <c r="T592">
        <v>27.26</v>
      </c>
      <c r="U592">
        <v>1.03</v>
      </c>
      <c r="V592">
        <v>3.74</v>
      </c>
      <c r="W592">
        <v>155.76</v>
      </c>
      <c r="X592">
        <v>41.5</v>
      </c>
      <c r="Y592">
        <v>104.79</v>
      </c>
      <c r="Z592">
        <v>12.58</v>
      </c>
      <c r="AA592">
        <v>11.19</v>
      </c>
      <c r="AB592">
        <v>131.99</v>
      </c>
      <c r="AC592">
        <v>286.93478260869568</v>
      </c>
      <c r="AD592">
        <v>26.504016064257026</v>
      </c>
      <c r="AE592">
        <v>89.27</v>
      </c>
      <c r="AF592">
        <v>15.79</v>
      </c>
      <c r="AG592">
        <v>0</v>
      </c>
      <c r="AH592">
        <v>18.79</v>
      </c>
      <c r="AI592">
        <v>43.79</v>
      </c>
      <c r="AJ592">
        <v>263.24</v>
      </c>
      <c r="AK592">
        <v>66.06</v>
      </c>
      <c r="AL592" t="s">
        <v>14</v>
      </c>
      <c r="AM592" t="s">
        <v>15</v>
      </c>
      <c r="AN592" t="str">
        <f t="shared" si="36"/>
        <v>Afternoon</v>
      </c>
      <c r="AO592" t="str">
        <f t="shared" si="37"/>
        <v>Off-Peak</v>
      </c>
      <c r="AP592" t="str">
        <f t="shared" si="38"/>
        <v>High</v>
      </c>
      <c r="AQ592" t="str">
        <f t="shared" si="39"/>
        <v>Low</v>
      </c>
    </row>
    <row r="593" spans="1:43" x14ac:dyDescent="0.3">
      <c r="A593">
        <v>592</v>
      </c>
      <c r="B593" t="s">
        <v>23</v>
      </c>
      <c r="C593" t="s">
        <v>17</v>
      </c>
      <c r="D593" s="1">
        <v>46187</v>
      </c>
      <c r="E593" t="s">
        <v>26</v>
      </c>
      <c r="F593">
        <v>1</v>
      </c>
      <c r="G593">
        <v>12</v>
      </c>
      <c r="H593" t="s">
        <v>19</v>
      </c>
      <c r="I593" t="s">
        <v>11</v>
      </c>
      <c r="J593">
        <v>1.18</v>
      </c>
      <c r="K593" t="s">
        <v>21</v>
      </c>
      <c r="L593">
        <v>0</v>
      </c>
      <c r="M593">
        <v>4.0199999999999996</v>
      </c>
      <c r="N593">
        <v>42</v>
      </c>
      <c r="O593" t="s">
        <v>35</v>
      </c>
      <c r="P593">
        <v>8</v>
      </c>
      <c r="Q593">
        <v>5.77</v>
      </c>
      <c r="R593">
        <v>45.1</v>
      </c>
      <c r="S593">
        <v>127.06</v>
      </c>
      <c r="T593">
        <v>59.79</v>
      </c>
      <c r="U593">
        <v>1.01</v>
      </c>
      <c r="V593">
        <v>1.27</v>
      </c>
      <c r="W593">
        <v>188.12</v>
      </c>
      <c r="X593">
        <v>46.6</v>
      </c>
      <c r="Y593">
        <v>106.81</v>
      </c>
      <c r="Z593">
        <v>13.22</v>
      </c>
      <c r="AA593">
        <v>4.45</v>
      </c>
      <c r="AB593">
        <v>170.45</v>
      </c>
      <c r="AC593">
        <v>226.76274944567623</v>
      </c>
      <c r="AD593">
        <v>29.540727902946273</v>
      </c>
      <c r="AE593">
        <v>81.08</v>
      </c>
      <c r="AF593">
        <v>17.75</v>
      </c>
      <c r="AG593">
        <v>1</v>
      </c>
      <c r="AH593">
        <v>-5.67</v>
      </c>
      <c r="AI593">
        <v>36.33</v>
      </c>
      <c r="AJ593">
        <v>204.69</v>
      </c>
      <c r="AK593">
        <v>73.92</v>
      </c>
      <c r="AL593" t="s">
        <v>14</v>
      </c>
      <c r="AM593" t="s">
        <v>15</v>
      </c>
      <c r="AN593" t="str">
        <f t="shared" si="36"/>
        <v>Afternoon</v>
      </c>
      <c r="AO593" t="str">
        <f t="shared" si="37"/>
        <v>Off-Peak</v>
      </c>
      <c r="AP593" t="str">
        <f t="shared" si="38"/>
        <v>Medium</v>
      </c>
      <c r="AQ593" t="str">
        <f t="shared" si="39"/>
        <v>Medium</v>
      </c>
    </row>
    <row r="594" spans="1:43" x14ac:dyDescent="0.3">
      <c r="A594">
        <v>593</v>
      </c>
      <c r="B594" t="s">
        <v>14</v>
      </c>
      <c r="C594" t="s">
        <v>8</v>
      </c>
      <c r="D594" s="1">
        <v>46072</v>
      </c>
      <c r="E594" t="s">
        <v>41</v>
      </c>
      <c r="F594">
        <v>0</v>
      </c>
      <c r="G594">
        <v>18</v>
      </c>
      <c r="H594" t="s">
        <v>51</v>
      </c>
      <c r="I594" t="s">
        <v>50</v>
      </c>
      <c r="J594">
        <v>1.2</v>
      </c>
      <c r="K594" t="s">
        <v>12</v>
      </c>
      <c r="L594">
        <v>0</v>
      </c>
      <c r="M594">
        <v>5</v>
      </c>
      <c r="N594">
        <v>88</v>
      </c>
      <c r="O594" t="s">
        <v>13</v>
      </c>
      <c r="P594">
        <v>39</v>
      </c>
      <c r="Q594">
        <v>7.56</v>
      </c>
      <c r="R594">
        <v>60.4</v>
      </c>
      <c r="S594">
        <v>119.96</v>
      </c>
      <c r="T594">
        <v>96.77</v>
      </c>
      <c r="U594">
        <v>1</v>
      </c>
      <c r="V594">
        <v>0</v>
      </c>
      <c r="W594">
        <v>216.73</v>
      </c>
      <c r="X594">
        <v>35</v>
      </c>
      <c r="Y594">
        <v>104.36</v>
      </c>
      <c r="Z594">
        <v>22.54</v>
      </c>
      <c r="AA594">
        <v>11.4</v>
      </c>
      <c r="AB594">
        <v>182.79</v>
      </c>
      <c r="AC594">
        <v>181.57947019867549</v>
      </c>
      <c r="AD594">
        <v>24.178571428571427</v>
      </c>
      <c r="AE594">
        <v>87.73</v>
      </c>
      <c r="AF594">
        <v>13.3</v>
      </c>
      <c r="AG594">
        <v>1</v>
      </c>
      <c r="AH594">
        <v>-0.31</v>
      </c>
      <c r="AI594">
        <v>87.69</v>
      </c>
      <c r="AJ594">
        <v>198.4</v>
      </c>
      <c r="AK594">
        <v>90.56</v>
      </c>
      <c r="AL594" t="s">
        <v>14</v>
      </c>
      <c r="AM594" t="s">
        <v>15</v>
      </c>
      <c r="AN594" t="str">
        <f t="shared" si="36"/>
        <v>Night</v>
      </c>
      <c r="AO594" t="str">
        <f t="shared" si="37"/>
        <v>Peak</v>
      </c>
      <c r="AP594" t="str">
        <f t="shared" si="38"/>
        <v>Medium</v>
      </c>
      <c r="AQ594" t="str">
        <f t="shared" si="39"/>
        <v>High</v>
      </c>
    </row>
    <row r="595" spans="1:43" x14ac:dyDescent="0.3">
      <c r="A595">
        <v>594</v>
      </c>
      <c r="B595" t="s">
        <v>23</v>
      </c>
      <c r="C595" t="s">
        <v>17</v>
      </c>
      <c r="D595" s="1">
        <v>46243</v>
      </c>
      <c r="E595" t="s">
        <v>26</v>
      </c>
      <c r="F595">
        <v>1</v>
      </c>
      <c r="G595">
        <v>7</v>
      </c>
      <c r="H595" t="s">
        <v>27</v>
      </c>
      <c r="I595" t="s">
        <v>42</v>
      </c>
      <c r="J595">
        <v>1.08</v>
      </c>
      <c r="K595" t="s">
        <v>12</v>
      </c>
      <c r="L595">
        <v>0</v>
      </c>
      <c r="M595">
        <v>4.12</v>
      </c>
      <c r="N595">
        <v>97</v>
      </c>
      <c r="O595" t="s">
        <v>13</v>
      </c>
      <c r="P595">
        <v>21</v>
      </c>
      <c r="Q595">
        <v>4.46</v>
      </c>
      <c r="R595">
        <v>52.6</v>
      </c>
      <c r="S595">
        <v>109.8</v>
      </c>
      <c r="T595">
        <v>100</v>
      </c>
      <c r="U595">
        <v>1.34</v>
      </c>
      <c r="V595">
        <v>37.33</v>
      </c>
      <c r="W595">
        <v>247.13</v>
      </c>
      <c r="X595">
        <v>42.5</v>
      </c>
      <c r="Y595">
        <v>101.38</v>
      </c>
      <c r="Z595">
        <v>10.63</v>
      </c>
      <c r="AA595">
        <v>4.04</v>
      </c>
      <c r="AB595">
        <v>232.46</v>
      </c>
      <c r="AC595">
        <v>265.16349809885929</v>
      </c>
      <c r="AD595">
        <v>52.121076233183857</v>
      </c>
      <c r="AE595">
        <v>76.89</v>
      </c>
      <c r="AF595">
        <v>15.4</v>
      </c>
      <c r="AG595">
        <v>1</v>
      </c>
      <c r="AH595">
        <v>-10.199999999999999</v>
      </c>
      <c r="AI595">
        <v>86.8</v>
      </c>
      <c r="AJ595">
        <v>261.87</v>
      </c>
      <c r="AK595">
        <v>77.12</v>
      </c>
      <c r="AL595" t="s">
        <v>23</v>
      </c>
      <c r="AM595" t="s">
        <v>24</v>
      </c>
      <c r="AN595" t="str">
        <f t="shared" si="36"/>
        <v>Morning</v>
      </c>
      <c r="AO595" t="str">
        <f t="shared" si="37"/>
        <v>Peak</v>
      </c>
      <c r="AP595" t="str">
        <f t="shared" si="38"/>
        <v>High</v>
      </c>
      <c r="AQ595" t="str">
        <f t="shared" si="39"/>
        <v>High</v>
      </c>
    </row>
    <row r="596" spans="1:43" x14ac:dyDescent="0.3">
      <c r="A596">
        <v>595</v>
      </c>
      <c r="B596" t="s">
        <v>48</v>
      </c>
      <c r="C596" t="s">
        <v>30</v>
      </c>
      <c r="D596" s="1">
        <v>46221</v>
      </c>
      <c r="E596" t="s">
        <v>31</v>
      </c>
      <c r="F596">
        <v>1</v>
      </c>
      <c r="G596">
        <v>16</v>
      </c>
      <c r="H596" t="s">
        <v>32</v>
      </c>
      <c r="I596" t="s">
        <v>20</v>
      </c>
      <c r="J596">
        <v>1.25</v>
      </c>
      <c r="K596" t="s">
        <v>12</v>
      </c>
      <c r="L596">
        <v>0</v>
      </c>
      <c r="M596">
        <v>3.45</v>
      </c>
      <c r="N596">
        <v>36</v>
      </c>
      <c r="O596" t="s">
        <v>35</v>
      </c>
      <c r="P596">
        <v>11</v>
      </c>
      <c r="Q596">
        <v>3.56</v>
      </c>
      <c r="R596">
        <v>43.1</v>
      </c>
      <c r="S596">
        <v>64.989999999999995</v>
      </c>
      <c r="T596">
        <v>51.2</v>
      </c>
      <c r="U596">
        <v>1</v>
      </c>
      <c r="V596">
        <v>0</v>
      </c>
      <c r="W596">
        <v>116.19</v>
      </c>
      <c r="X596">
        <v>37.799999999999997</v>
      </c>
      <c r="Y596">
        <v>109.87</v>
      </c>
      <c r="Z596">
        <v>10.36</v>
      </c>
      <c r="AA596">
        <v>2.71</v>
      </c>
      <c r="AB596">
        <v>103.12</v>
      </c>
      <c r="AC596">
        <v>143.55452436194895</v>
      </c>
      <c r="AD596">
        <v>28.966292134831463</v>
      </c>
      <c r="AE596">
        <v>66.28</v>
      </c>
      <c r="AF596">
        <v>16.68</v>
      </c>
      <c r="AG596">
        <v>1</v>
      </c>
      <c r="AH596">
        <v>18.559999999999999</v>
      </c>
      <c r="AI596">
        <v>54.56</v>
      </c>
      <c r="AJ596">
        <v>157.03</v>
      </c>
      <c r="AK596">
        <v>65.41</v>
      </c>
      <c r="AL596" t="s">
        <v>14</v>
      </c>
      <c r="AM596" t="s">
        <v>15</v>
      </c>
      <c r="AN596" t="str">
        <f t="shared" si="36"/>
        <v>Evening</v>
      </c>
      <c r="AO596" t="str">
        <f t="shared" si="37"/>
        <v>Off-Peak</v>
      </c>
      <c r="AP596" t="str">
        <f t="shared" si="38"/>
        <v>Low</v>
      </c>
      <c r="AQ596" t="str">
        <f t="shared" si="39"/>
        <v>Medium</v>
      </c>
    </row>
    <row r="597" spans="1:43" x14ac:dyDescent="0.3">
      <c r="A597">
        <v>596</v>
      </c>
      <c r="B597" t="s">
        <v>16</v>
      </c>
      <c r="C597" t="s">
        <v>17</v>
      </c>
      <c r="D597" s="1">
        <v>46185</v>
      </c>
      <c r="E597" t="s">
        <v>9</v>
      </c>
      <c r="F597">
        <v>0</v>
      </c>
      <c r="G597">
        <v>14</v>
      </c>
      <c r="H597" t="s">
        <v>19</v>
      </c>
      <c r="I597" t="s">
        <v>42</v>
      </c>
      <c r="J597">
        <v>1.08</v>
      </c>
      <c r="K597" t="s">
        <v>12</v>
      </c>
      <c r="L597">
        <v>0</v>
      </c>
      <c r="M597">
        <v>3.45</v>
      </c>
      <c r="N597">
        <v>11</v>
      </c>
      <c r="O597" t="s">
        <v>22</v>
      </c>
      <c r="P597">
        <v>3</v>
      </c>
      <c r="Q597">
        <v>1.41</v>
      </c>
      <c r="R597">
        <v>19.899999999999999</v>
      </c>
      <c r="S597">
        <v>68.78</v>
      </c>
      <c r="T597">
        <v>14.3</v>
      </c>
      <c r="U597">
        <v>1.01</v>
      </c>
      <c r="V597">
        <v>0.69</v>
      </c>
      <c r="W597">
        <v>83.77</v>
      </c>
      <c r="X597">
        <v>44.7</v>
      </c>
      <c r="Y597">
        <v>107.2</v>
      </c>
      <c r="Z597">
        <v>3.38</v>
      </c>
      <c r="AA597">
        <v>3.93</v>
      </c>
      <c r="AB597">
        <v>76.459999999999994</v>
      </c>
      <c r="AC597">
        <v>230.5326633165829</v>
      </c>
      <c r="AD597">
        <v>54.226950354609926</v>
      </c>
      <c r="AE597">
        <v>69.290000000000006</v>
      </c>
      <c r="AF597">
        <v>16.84</v>
      </c>
      <c r="AG597">
        <v>0</v>
      </c>
      <c r="AH597">
        <v>-6.99</v>
      </c>
      <c r="AI597">
        <v>5</v>
      </c>
      <c r="AJ597">
        <v>205.84</v>
      </c>
      <c r="AK597">
        <v>64.27</v>
      </c>
      <c r="AL597" t="s">
        <v>14</v>
      </c>
      <c r="AM597" t="s">
        <v>15</v>
      </c>
      <c r="AN597" t="str">
        <f t="shared" si="36"/>
        <v>Afternoon</v>
      </c>
      <c r="AO597" t="str">
        <f t="shared" si="37"/>
        <v>Off-Peak</v>
      </c>
      <c r="AP597" t="str">
        <f t="shared" si="38"/>
        <v>Medium</v>
      </c>
      <c r="AQ597" t="str">
        <f t="shared" si="39"/>
        <v>Low</v>
      </c>
    </row>
    <row r="598" spans="1:43" x14ac:dyDescent="0.3">
      <c r="A598">
        <v>597</v>
      </c>
      <c r="B598" t="s">
        <v>25</v>
      </c>
      <c r="C598" t="s">
        <v>17</v>
      </c>
      <c r="D598" s="1">
        <v>46100</v>
      </c>
      <c r="E598" t="s">
        <v>41</v>
      </c>
      <c r="F598">
        <v>0</v>
      </c>
      <c r="G598">
        <v>15</v>
      </c>
      <c r="H598" t="s">
        <v>19</v>
      </c>
      <c r="I598" t="s">
        <v>28</v>
      </c>
      <c r="J598">
        <v>1.03</v>
      </c>
      <c r="K598" t="s">
        <v>21</v>
      </c>
      <c r="L598">
        <v>0</v>
      </c>
      <c r="M598">
        <v>2.4900000000000002</v>
      </c>
      <c r="N598">
        <v>29</v>
      </c>
      <c r="O598" t="s">
        <v>22</v>
      </c>
      <c r="P598">
        <v>6</v>
      </c>
      <c r="Q598">
        <v>1.05</v>
      </c>
      <c r="R598">
        <v>29.4</v>
      </c>
      <c r="S598">
        <v>79.81</v>
      </c>
      <c r="T598">
        <v>24.82</v>
      </c>
      <c r="U598">
        <v>1.0900000000000001</v>
      </c>
      <c r="V598">
        <v>7.18</v>
      </c>
      <c r="W598">
        <v>111.81</v>
      </c>
      <c r="X598">
        <v>45.2</v>
      </c>
      <c r="Y598">
        <v>106.09</v>
      </c>
      <c r="Z598">
        <v>2.4700000000000002</v>
      </c>
      <c r="AA598">
        <v>10.15</v>
      </c>
      <c r="AB598">
        <v>99.19</v>
      </c>
      <c r="AC598">
        <v>202.42857142857142</v>
      </c>
      <c r="AD598">
        <v>94.466666666666654</v>
      </c>
      <c r="AE598">
        <v>74.23</v>
      </c>
      <c r="AF598">
        <v>13.57</v>
      </c>
      <c r="AG598">
        <v>0</v>
      </c>
      <c r="AH598">
        <v>20.13</v>
      </c>
      <c r="AI598">
        <v>49.13</v>
      </c>
      <c r="AJ598">
        <v>200.76</v>
      </c>
      <c r="AK598">
        <v>60.17</v>
      </c>
      <c r="AL598" t="s">
        <v>23</v>
      </c>
      <c r="AM598" t="s">
        <v>24</v>
      </c>
      <c r="AN598" t="str">
        <f t="shared" si="36"/>
        <v>Evening</v>
      </c>
      <c r="AO598" t="str">
        <f t="shared" si="37"/>
        <v>Off-Peak</v>
      </c>
      <c r="AP598" t="str">
        <f t="shared" si="38"/>
        <v>Medium</v>
      </c>
      <c r="AQ598" t="str">
        <f t="shared" si="39"/>
        <v>Low</v>
      </c>
    </row>
    <row r="599" spans="1:43" x14ac:dyDescent="0.3">
      <c r="A599">
        <v>598</v>
      </c>
      <c r="B599" t="s">
        <v>16</v>
      </c>
      <c r="C599" t="s">
        <v>17</v>
      </c>
      <c r="D599" s="1">
        <v>46112</v>
      </c>
      <c r="E599" t="s">
        <v>44</v>
      </c>
      <c r="F599">
        <v>0</v>
      </c>
      <c r="G599">
        <v>8</v>
      </c>
      <c r="H599" t="s">
        <v>27</v>
      </c>
      <c r="I599" t="s">
        <v>46</v>
      </c>
      <c r="J599">
        <v>1.1499999999999999</v>
      </c>
      <c r="K599" t="s">
        <v>12</v>
      </c>
      <c r="L599">
        <v>0</v>
      </c>
      <c r="M599">
        <v>4.54</v>
      </c>
      <c r="N599">
        <v>68</v>
      </c>
      <c r="O599" t="s">
        <v>35</v>
      </c>
      <c r="P599">
        <v>10</v>
      </c>
      <c r="Q599">
        <v>4.3899999999999997</v>
      </c>
      <c r="R599">
        <v>52.7</v>
      </c>
      <c r="S599">
        <v>107.73</v>
      </c>
      <c r="T599">
        <v>73.34</v>
      </c>
      <c r="U599">
        <v>1.25</v>
      </c>
      <c r="V599">
        <v>26.93</v>
      </c>
      <c r="W599">
        <v>208</v>
      </c>
      <c r="X599">
        <v>42.5</v>
      </c>
      <c r="Y599">
        <v>104.81</v>
      </c>
      <c r="Z599">
        <v>10.83</v>
      </c>
      <c r="AA599">
        <v>8.7799999999999994</v>
      </c>
      <c r="AB599">
        <v>188.39</v>
      </c>
      <c r="AC599">
        <v>214.48576850094872</v>
      </c>
      <c r="AD599">
        <v>42.913439635535305</v>
      </c>
      <c r="AE599">
        <v>72.41</v>
      </c>
      <c r="AF599">
        <v>15.7</v>
      </c>
      <c r="AG599">
        <v>1</v>
      </c>
      <c r="AH599">
        <v>19.03</v>
      </c>
      <c r="AI599">
        <v>87.03</v>
      </c>
      <c r="AJ599">
        <v>222.12</v>
      </c>
      <c r="AK599">
        <v>68.760000000000005</v>
      </c>
      <c r="AL599" t="s">
        <v>23</v>
      </c>
      <c r="AM599" t="s">
        <v>24</v>
      </c>
      <c r="AN599" t="str">
        <f t="shared" si="36"/>
        <v>Morning</v>
      </c>
      <c r="AO599" t="str">
        <f t="shared" si="37"/>
        <v>Peak</v>
      </c>
      <c r="AP599" t="str">
        <f t="shared" si="38"/>
        <v>Medium</v>
      </c>
      <c r="AQ599" t="str">
        <f t="shared" si="39"/>
        <v>Medium</v>
      </c>
    </row>
    <row r="600" spans="1:43" x14ac:dyDescent="0.3">
      <c r="A600">
        <v>599</v>
      </c>
      <c r="B600" t="s">
        <v>25</v>
      </c>
      <c r="C600" t="s">
        <v>17</v>
      </c>
      <c r="D600" s="1">
        <v>46135</v>
      </c>
      <c r="E600" t="s">
        <v>41</v>
      </c>
      <c r="F600">
        <v>0</v>
      </c>
      <c r="G600">
        <v>22</v>
      </c>
      <c r="H600" t="s">
        <v>19</v>
      </c>
      <c r="I600" t="s">
        <v>20</v>
      </c>
      <c r="J600">
        <v>1.25</v>
      </c>
      <c r="K600" t="s">
        <v>34</v>
      </c>
      <c r="L600">
        <v>1</v>
      </c>
      <c r="M600">
        <v>2.85</v>
      </c>
      <c r="N600">
        <v>45</v>
      </c>
      <c r="O600" t="s">
        <v>35</v>
      </c>
      <c r="P600">
        <v>10</v>
      </c>
      <c r="Q600">
        <v>5.01</v>
      </c>
      <c r="R600">
        <v>36.1</v>
      </c>
      <c r="S600">
        <v>116.17</v>
      </c>
      <c r="T600">
        <v>30.79</v>
      </c>
      <c r="U600">
        <v>1.1599999999999999</v>
      </c>
      <c r="V600">
        <v>18.59</v>
      </c>
      <c r="W600">
        <v>165.55</v>
      </c>
      <c r="X600">
        <v>43.1</v>
      </c>
      <c r="Y600">
        <v>107.11</v>
      </c>
      <c r="Z600">
        <v>12.44</v>
      </c>
      <c r="AA600">
        <v>11.71</v>
      </c>
      <c r="AB600">
        <v>141.4</v>
      </c>
      <c r="AC600">
        <v>235.01385041551248</v>
      </c>
      <c r="AD600">
        <v>28.223552894211579</v>
      </c>
      <c r="AE600">
        <v>67.59</v>
      </c>
      <c r="AF600">
        <v>13.43</v>
      </c>
      <c r="AG600">
        <v>0</v>
      </c>
      <c r="AH600">
        <v>-3.69</v>
      </c>
      <c r="AI600">
        <v>41.31</v>
      </c>
      <c r="AJ600">
        <v>247.38</v>
      </c>
      <c r="AK600">
        <v>75.930000000000007</v>
      </c>
      <c r="AL600" t="s">
        <v>23</v>
      </c>
      <c r="AM600" t="s">
        <v>24</v>
      </c>
      <c r="AN600" t="str">
        <f t="shared" si="36"/>
        <v>Night</v>
      </c>
      <c r="AO600" t="str">
        <f t="shared" si="37"/>
        <v>Off-Peak</v>
      </c>
      <c r="AP600" t="str">
        <f t="shared" si="38"/>
        <v>Medium</v>
      </c>
      <c r="AQ600" t="str">
        <f t="shared" si="39"/>
        <v>Medium</v>
      </c>
    </row>
    <row r="601" spans="1:43" x14ac:dyDescent="0.3">
      <c r="A601">
        <v>600</v>
      </c>
      <c r="B601" t="s">
        <v>25</v>
      </c>
      <c r="C601" t="s">
        <v>17</v>
      </c>
      <c r="D601" s="1">
        <v>46193</v>
      </c>
      <c r="E601" t="s">
        <v>31</v>
      </c>
      <c r="F601">
        <v>1</v>
      </c>
      <c r="G601">
        <v>10</v>
      </c>
      <c r="H601" t="s">
        <v>19</v>
      </c>
      <c r="I601" t="s">
        <v>39</v>
      </c>
      <c r="J601">
        <v>1.05</v>
      </c>
      <c r="K601" t="s">
        <v>12</v>
      </c>
      <c r="L601">
        <v>0</v>
      </c>
      <c r="M601">
        <v>2.5099999999999998</v>
      </c>
      <c r="N601">
        <v>56</v>
      </c>
      <c r="O601" t="s">
        <v>35</v>
      </c>
      <c r="P601">
        <v>7</v>
      </c>
      <c r="Q601">
        <v>5.6</v>
      </c>
      <c r="R601">
        <v>30.6</v>
      </c>
      <c r="S601">
        <v>118.89</v>
      </c>
      <c r="T601">
        <v>60.73</v>
      </c>
      <c r="U601">
        <v>1.03</v>
      </c>
      <c r="V601">
        <v>3.57</v>
      </c>
      <c r="W601">
        <v>183.19</v>
      </c>
      <c r="X601">
        <v>39.700000000000003</v>
      </c>
      <c r="Y601">
        <v>101.27</v>
      </c>
      <c r="Z601">
        <v>14.28</v>
      </c>
      <c r="AA601">
        <v>9.1</v>
      </c>
      <c r="AB601">
        <v>159.81</v>
      </c>
      <c r="AC601">
        <v>313.35294117647061</v>
      </c>
      <c r="AD601">
        <v>28.537500000000001</v>
      </c>
      <c r="AE601">
        <v>79.81</v>
      </c>
      <c r="AF601">
        <v>11.52</v>
      </c>
      <c r="AG601">
        <v>1</v>
      </c>
      <c r="AH601">
        <v>3.45</v>
      </c>
      <c r="AI601">
        <v>59.45</v>
      </c>
      <c r="AJ601">
        <v>297.39</v>
      </c>
      <c r="AK601">
        <v>77.97</v>
      </c>
      <c r="AL601" t="s">
        <v>23</v>
      </c>
      <c r="AM601" t="s">
        <v>24</v>
      </c>
      <c r="AN601" t="str">
        <f t="shared" si="36"/>
        <v>Morning</v>
      </c>
      <c r="AO601" t="str">
        <f t="shared" si="37"/>
        <v>Peak</v>
      </c>
      <c r="AP601" t="str">
        <f t="shared" si="38"/>
        <v>High</v>
      </c>
      <c r="AQ601" t="str">
        <f t="shared" si="39"/>
        <v>Medium</v>
      </c>
    </row>
    <row r="602" spans="1:43" x14ac:dyDescent="0.3">
      <c r="A602">
        <v>601</v>
      </c>
      <c r="B602" t="s">
        <v>25</v>
      </c>
      <c r="C602" t="s">
        <v>17</v>
      </c>
      <c r="D602" s="1">
        <v>46223</v>
      </c>
      <c r="E602" t="s">
        <v>38</v>
      </c>
      <c r="F602">
        <v>0</v>
      </c>
      <c r="G602">
        <v>17</v>
      </c>
      <c r="H602" t="s">
        <v>40</v>
      </c>
      <c r="I602" t="s">
        <v>45</v>
      </c>
      <c r="J602">
        <v>1</v>
      </c>
      <c r="K602" t="s">
        <v>21</v>
      </c>
      <c r="L602">
        <v>0</v>
      </c>
      <c r="M602">
        <v>5</v>
      </c>
      <c r="N602">
        <v>76</v>
      </c>
      <c r="O602" t="s">
        <v>13</v>
      </c>
      <c r="P602">
        <v>11</v>
      </c>
      <c r="Q602">
        <v>1.98</v>
      </c>
      <c r="R602">
        <v>36.6</v>
      </c>
      <c r="S602">
        <v>93.44</v>
      </c>
      <c r="T602">
        <v>86.86</v>
      </c>
      <c r="U602">
        <v>1.27</v>
      </c>
      <c r="V602">
        <v>25.23</v>
      </c>
      <c r="W602">
        <v>205.53</v>
      </c>
      <c r="X602">
        <v>39.700000000000003</v>
      </c>
      <c r="Y602">
        <v>103.26</v>
      </c>
      <c r="Z602">
        <v>5.16</v>
      </c>
      <c r="AA602">
        <v>6.13</v>
      </c>
      <c r="AB602">
        <v>194.24</v>
      </c>
      <c r="AC602">
        <v>318.42622950819674</v>
      </c>
      <c r="AD602">
        <v>98.101010101010104</v>
      </c>
      <c r="AE602">
        <v>70.040000000000006</v>
      </c>
      <c r="AF602">
        <v>19.57</v>
      </c>
      <c r="AG602">
        <v>1</v>
      </c>
      <c r="AH602">
        <v>-4.1100000000000003</v>
      </c>
      <c r="AI602">
        <v>71.89</v>
      </c>
      <c r="AJ602">
        <v>297.27</v>
      </c>
      <c r="AK602">
        <v>78.94</v>
      </c>
      <c r="AL602" t="s">
        <v>23</v>
      </c>
      <c r="AM602" t="s">
        <v>24</v>
      </c>
      <c r="AN602" t="str">
        <f t="shared" si="36"/>
        <v>Evening</v>
      </c>
      <c r="AO602" t="str">
        <f t="shared" si="37"/>
        <v>Peak</v>
      </c>
      <c r="AP602" t="str">
        <f t="shared" si="38"/>
        <v>High</v>
      </c>
      <c r="AQ602" t="str">
        <f t="shared" si="39"/>
        <v>High</v>
      </c>
    </row>
    <row r="603" spans="1:43" x14ac:dyDescent="0.3">
      <c r="A603">
        <v>602</v>
      </c>
      <c r="B603" t="s">
        <v>16</v>
      </c>
      <c r="C603" t="s">
        <v>17</v>
      </c>
      <c r="D603" s="1">
        <v>46196</v>
      </c>
      <c r="E603" t="s">
        <v>44</v>
      </c>
      <c r="F603">
        <v>0</v>
      </c>
      <c r="G603">
        <v>18</v>
      </c>
      <c r="H603" t="s">
        <v>40</v>
      </c>
      <c r="I603" t="s">
        <v>20</v>
      </c>
      <c r="J603">
        <v>1.25</v>
      </c>
      <c r="K603" t="s">
        <v>12</v>
      </c>
      <c r="L603">
        <v>0</v>
      </c>
      <c r="M603">
        <v>4.88</v>
      </c>
      <c r="N603">
        <v>88</v>
      </c>
      <c r="O603" t="s">
        <v>13</v>
      </c>
      <c r="P603">
        <v>20</v>
      </c>
      <c r="Q603">
        <v>2.52</v>
      </c>
      <c r="R603">
        <v>44.5</v>
      </c>
      <c r="S603">
        <v>92.87</v>
      </c>
      <c r="T603">
        <v>100</v>
      </c>
      <c r="U603">
        <v>1.32</v>
      </c>
      <c r="V603">
        <v>29.72</v>
      </c>
      <c r="W603">
        <v>222.59</v>
      </c>
      <c r="X603">
        <v>46.2</v>
      </c>
      <c r="Y603">
        <v>101.25</v>
      </c>
      <c r="Z603">
        <v>5.52</v>
      </c>
      <c r="AA603">
        <v>10.92</v>
      </c>
      <c r="AB603">
        <v>206.15</v>
      </c>
      <c r="AC603">
        <v>277.95505617977528</v>
      </c>
      <c r="AD603">
        <v>81.805555555555557</v>
      </c>
      <c r="AE603">
        <v>66.77</v>
      </c>
      <c r="AF603">
        <v>18</v>
      </c>
      <c r="AG603">
        <v>1</v>
      </c>
      <c r="AH603">
        <v>11.19</v>
      </c>
      <c r="AI603">
        <v>99.19</v>
      </c>
      <c r="AJ603">
        <v>288.82</v>
      </c>
      <c r="AK603">
        <v>75.540000000000006</v>
      </c>
      <c r="AL603" t="s">
        <v>23</v>
      </c>
      <c r="AM603" t="s">
        <v>24</v>
      </c>
      <c r="AN603" t="str">
        <f t="shared" si="36"/>
        <v>Night</v>
      </c>
      <c r="AO603" t="str">
        <f t="shared" si="37"/>
        <v>Peak</v>
      </c>
      <c r="AP603" t="str">
        <f t="shared" si="38"/>
        <v>High</v>
      </c>
      <c r="AQ603" t="str">
        <f t="shared" si="39"/>
        <v>High</v>
      </c>
    </row>
    <row r="604" spans="1:43" x14ac:dyDescent="0.3">
      <c r="A604">
        <v>603</v>
      </c>
      <c r="B604" t="s">
        <v>16</v>
      </c>
      <c r="C604" t="s">
        <v>17</v>
      </c>
      <c r="D604" s="1">
        <v>46262</v>
      </c>
      <c r="E604" t="s">
        <v>9</v>
      </c>
      <c r="F604">
        <v>0</v>
      </c>
      <c r="G604">
        <v>12</v>
      </c>
      <c r="H604" t="s">
        <v>19</v>
      </c>
      <c r="I604" t="s">
        <v>20</v>
      </c>
      <c r="J604">
        <v>1.25</v>
      </c>
      <c r="K604" t="s">
        <v>12</v>
      </c>
      <c r="L604">
        <v>0</v>
      </c>
      <c r="M604">
        <v>2.4300000000000002</v>
      </c>
      <c r="N604">
        <v>5</v>
      </c>
      <c r="O604" t="s">
        <v>22</v>
      </c>
      <c r="P604">
        <v>1</v>
      </c>
      <c r="Q604">
        <v>4.34</v>
      </c>
      <c r="R604">
        <v>45.2</v>
      </c>
      <c r="S604">
        <v>113.2</v>
      </c>
      <c r="T604">
        <v>14.78</v>
      </c>
      <c r="U604">
        <v>1.0900000000000001</v>
      </c>
      <c r="V604">
        <v>10.19</v>
      </c>
      <c r="W604">
        <v>138.16999999999999</v>
      </c>
      <c r="X604">
        <v>37</v>
      </c>
      <c r="Y604">
        <v>101.26</v>
      </c>
      <c r="Z604">
        <v>11.87</v>
      </c>
      <c r="AA604">
        <v>11.58</v>
      </c>
      <c r="AB604">
        <v>114.72</v>
      </c>
      <c r="AC604">
        <v>152.28318584070794</v>
      </c>
      <c r="AD604">
        <v>26.433179723502306</v>
      </c>
      <c r="AE604">
        <v>63.42</v>
      </c>
      <c r="AF604">
        <v>14.91</v>
      </c>
      <c r="AG604">
        <v>0</v>
      </c>
      <c r="AH604">
        <v>0.08</v>
      </c>
      <c r="AI604">
        <v>5.08</v>
      </c>
      <c r="AJ604">
        <v>160.16</v>
      </c>
      <c r="AK604">
        <v>66.739999999999995</v>
      </c>
      <c r="AL604" t="s">
        <v>14</v>
      </c>
      <c r="AM604" t="s">
        <v>15</v>
      </c>
      <c r="AN604" t="str">
        <f t="shared" si="36"/>
        <v>Afternoon</v>
      </c>
      <c r="AO604" t="str">
        <f t="shared" si="37"/>
        <v>Off-Peak</v>
      </c>
      <c r="AP604" t="str">
        <f t="shared" si="38"/>
        <v>Medium</v>
      </c>
      <c r="AQ604" t="str">
        <f t="shared" si="39"/>
        <v>Low</v>
      </c>
    </row>
    <row r="605" spans="1:43" x14ac:dyDescent="0.3">
      <c r="A605">
        <v>604</v>
      </c>
      <c r="B605" t="s">
        <v>7</v>
      </c>
      <c r="C605" t="s">
        <v>8</v>
      </c>
      <c r="D605" s="1">
        <v>46270</v>
      </c>
      <c r="E605" t="s">
        <v>31</v>
      </c>
      <c r="F605">
        <v>1</v>
      </c>
      <c r="G605">
        <v>9</v>
      </c>
      <c r="H605" t="s">
        <v>49</v>
      </c>
      <c r="I605" t="s">
        <v>42</v>
      </c>
      <c r="J605">
        <v>1.08</v>
      </c>
      <c r="K605" t="s">
        <v>21</v>
      </c>
      <c r="L605">
        <v>0</v>
      </c>
      <c r="M605">
        <v>2.41</v>
      </c>
      <c r="N605">
        <v>47</v>
      </c>
      <c r="O605" t="s">
        <v>35</v>
      </c>
      <c r="P605">
        <v>19</v>
      </c>
      <c r="Q605">
        <v>2.78</v>
      </c>
      <c r="R605">
        <v>25.8</v>
      </c>
      <c r="S605">
        <v>65.77</v>
      </c>
      <c r="T605">
        <v>46.65</v>
      </c>
      <c r="U605">
        <v>1</v>
      </c>
      <c r="V605">
        <v>0</v>
      </c>
      <c r="W605">
        <v>112.42</v>
      </c>
      <c r="X605">
        <v>46.6</v>
      </c>
      <c r="Y605">
        <v>100.21</v>
      </c>
      <c r="Z605">
        <v>5.97</v>
      </c>
      <c r="AA605">
        <v>9.92</v>
      </c>
      <c r="AB605">
        <v>96.53</v>
      </c>
      <c r="AC605">
        <v>224.48837209302326</v>
      </c>
      <c r="AD605">
        <v>34.723021582733814</v>
      </c>
      <c r="AE605">
        <v>73.89</v>
      </c>
      <c r="AF605">
        <v>14.68</v>
      </c>
      <c r="AG605">
        <v>1</v>
      </c>
      <c r="AH605">
        <v>-3.26</v>
      </c>
      <c r="AI605">
        <v>43.74</v>
      </c>
      <c r="AJ605">
        <v>239.7</v>
      </c>
      <c r="AK605">
        <v>70.08</v>
      </c>
      <c r="AL605" t="s">
        <v>14</v>
      </c>
      <c r="AM605" t="s">
        <v>15</v>
      </c>
      <c r="AN605" t="str">
        <f t="shared" si="36"/>
        <v>Morning</v>
      </c>
      <c r="AO605" t="str">
        <f t="shared" si="37"/>
        <v>Peak</v>
      </c>
      <c r="AP605" t="str">
        <f t="shared" si="38"/>
        <v>Medium</v>
      </c>
      <c r="AQ605" t="str">
        <f t="shared" si="39"/>
        <v>Medium</v>
      </c>
    </row>
    <row r="606" spans="1:43" x14ac:dyDescent="0.3">
      <c r="A606">
        <v>605</v>
      </c>
      <c r="B606" t="s">
        <v>16</v>
      </c>
      <c r="C606" t="s">
        <v>17</v>
      </c>
      <c r="D606" s="1">
        <v>46204</v>
      </c>
      <c r="E606" t="s">
        <v>18</v>
      </c>
      <c r="F606">
        <v>0</v>
      </c>
      <c r="G606">
        <v>11</v>
      </c>
      <c r="H606" t="s">
        <v>19</v>
      </c>
      <c r="I606" t="s">
        <v>46</v>
      </c>
      <c r="J606">
        <v>1.1499999999999999</v>
      </c>
      <c r="K606" t="s">
        <v>12</v>
      </c>
      <c r="L606">
        <v>0</v>
      </c>
      <c r="M606">
        <v>2.48</v>
      </c>
      <c r="N606">
        <v>34</v>
      </c>
      <c r="O606" t="s">
        <v>22</v>
      </c>
      <c r="P606">
        <v>9</v>
      </c>
      <c r="Q606">
        <v>15</v>
      </c>
      <c r="R606">
        <v>94.2</v>
      </c>
      <c r="S606">
        <v>228.23</v>
      </c>
      <c r="T606">
        <v>21.21</v>
      </c>
      <c r="U606">
        <v>1.03</v>
      </c>
      <c r="V606">
        <v>6.85</v>
      </c>
      <c r="W606">
        <v>256.29000000000002</v>
      </c>
      <c r="X606">
        <v>44.8</v>
      </c>
      <c r="Y606">
        <v>107.56</v>
      </c>
      <c r="Z606">
        <v>35.99</v>
      </c>
      <c r="AA606">
        <v>7.57</v>
      </c>
      <c r="AB606">
        <v>212.73</v>
      </c>
      <c r="AC606">
        <v>135.49681528662418</v>
      </c>
      <c r="AD606">
        <v>14.181999999999999</v>
      </c>
      <c r="AE606">
        <v>66.790000000000006</v>
      </c>
      <c r="AF606">
        <v>15.31</v>
      </c>
      <c r="AG606">
        <v>0</v>
      </c>
      <c r="AH606">
        <v>3.69</v>
      </c>
      <c r="AI606">
        <v>37.69</v>
      </c>
      <c r="AJ606">
        <v>130.13</v>
      </c>
      <c r="AK606">
        <v>69.400000000000006</v>
      </c>
      <c r="AL606" t="s">
        <v>23</v>
      </c>
      <c r="AM606" t="s">
        <v>24</v>
      </c>
      <c r="AN606" t="str">
        <f t="shared" si="36"/>
        <v>Afternoon</v>
      </c>
      <c r="AO606" t="str">
        <f t="shared" si="37"/>
        <v>Off-Peak</v>
      </c>
      <c r="AP606" t="str">
        <f t="shared" si="38"/>
        <v>Low</v>
      </c>
      <c r="AQ606" t="str">
        <f t="shared" si="39"/>
        <v>Low</v>
      </c>
    </row>
    <row r="607" spans="1:43" x14ac:dyDescent="0.3">
      <c r="A607">
        <v>606</v>
      </c>
      <c r="B607" t="s">
        <v>29</v>
      </c>
      <c r="C607" t="s">
        <v>30</v>
      </c>
      <c r="D607" s="1">
        <v>46118</v>
      </c>
      <c r="E607" t="s">
        <v>38</v>
      </c>
      <c r="F607">
        <v>0</v>
      </c>
      <c r="G607">
        <v>19</v>
      </c>
      <c r="H607" t="s">
        <v>32</v>
      </c>
      <c r="I607" t="s">
        <v>45</v>
      </c>
      <c r="J607">
        <v>1</v>
      </c>
      <c r="K607" t="s">
        <v>21</v>
      </c>
      <c r="L607">
        <v>0</v>
      </c>
      <c r="M607">
        <v>4.6900000000000004</v>
      </c>
      <c r="N607">
        <v>49</v>
      </c>
      <c r="O607" t="s">
        <v>35</v>
      </c>
      <c r="P607">
        <v>10</v>
      </c>
      <c r="Q607">
        <v>2.4700000000000002</v>
      </c>
      <c r="R607">
        <v>26.7</v>
      </c>
      <c r="S607">
        <v>62.42</v>
      </c>
      <c r="T607">
        <v>59.03</v>
      </c>
      <c r="U607">
        <v>1</v>
      </c>
      <c r="V607">
        <v>0</v>
      </c>
      <c r="W607">
        <v>121.45</v>
      </c>
      <c r="X607">
        <v>48.3</v>
      </c>
      <c r="Y607">
        <v>102.27</v>
      </c>
      <c r="Z607">
        <v>5.24</v>
      </c>
      <c r="AA607">
        <v>10.26</v>
      </c>
      <c r="AB607">
        <v>105.95</v>
      </c>
      <c r="AC607">
        <v>238.08988764044943</v>
      </c>
      <c r="AD607">
        <v>42.89473684210526</v>
      </c>
      <c r="AE607">
        <v>74.099999999999994</v>
      </c>
      <c r="AF607">
        <v>20</v>
      </c>
      <c r="AG607">
        <v>1</v>
      </c>
      <c r="AH607">
        <v>-20.73</v>
      </c>
      <c r="AI607">
        <v>28.27</v>
      </c>
      <c r="AJ607">
        <v>257.44</v>
      </c>
      <c r="AK607">
        <v>61.88</v>
      </c>
      <c r="AL607" t="s">
        <v>14</v>
      </c>
      <c r="AM607" t="s">
        <v>15</v>
      </c>
      <c r="AN607" t="str">
        <f t="shared" si="36"/>
        <v>Night</v>
      </c>
      <c r="AO607" t="str">
        <f t="shared" si="37"/>
        <v>Peak</v>
      </c>
      <c r="AP607" t="str">
        <f t="shared" si="38"/>
        <v>Medium</v>
      </c>
      <c r="AQ607" t="str">
        <f t="shared" si="39"/>
        <v>Medium</v>
      </c>
    </row>
    <row r="608" spans="1:43" x14ac:dyDescent="0.3">
      <c r="A608">
        <v>607</v>
      </c>
      <c r="B608" t="s">
        <v>48</v>
      </c>
      <c r="C608" t="s">
        <v>30</v>
      </c>
      <c r="D608" s="1">
        <v>46177</v>
      </c>
      <c r="E608" t="s">
        <v>41</v>
      </c>
      <c r="F608">
        <v>0</v>
      </c>
      <c r="G608">
        <v>21</v>
      </c>
      <c r="H608" t="s">
        <v>36</v>
      </c>
      <c r="I608" t="s">
        <v>45</v>
      </c>
      <c r="J608">
        <v>1</v>
      </c>
      <c r="K608" t="s">
        <v>12</v>
      </c>
      <c r="L608">
        <v>0</v>
      </c>
      <c r="M608">
        <v>2.2000000000000002</v>
      </c>
      <c r="N608">
        <v>14</v>
      </c>
      <c r="O608" t="s">
        <v>22</v>
      </c>
      <c r="P608">
        <v>2</v>
      </c>
      <c r="Q608">
        <v>5.25</v>
      </c>
      <c r="R608">
        <v>38.6</v>
      </c>
      <c r="S608">
        <v>96.11</v>
      </c>
      <c r="T608">
        <v>25.72</v>
      </c>
      <c r="U608">
        <v>1</v>
      </c>
      <c r="V608">
        <v>0</v>
      </c>
      <c r="W608">
        <v>121.83</v>
      </c>
      <c r="X608">
        <v>38.9</v>
      </c>
      <c r="Y608">
        <v>108.32</v>
      </c>
      <c r="Z608">
        <v>14.62</v>
      </c>
      <c r="AA608">
        <v>3.79</v>
      </c>
      <c r="AB608">
        <v>103.42</v>
      </c>
      <c r="AC608">
        <v>160.75647668393782</v>
      </c>
      <c r="AD608">
        <v>19.699047619047619</v>
      </c>
      <c r="AE608">
        <v>77.92</v>
      </c>
      <c r="AF608">
        <v>16.559999999999999</v>
      </c>
      <c r="AG608">
        <v>0</v>
      </c>
      <c r="AH608">
        <v>1.86</v>
      </c>
      <c r="AI608">
        <v>15.86</v>
      </c>
      <c r="AJ608">
        <v>168.07</v>
      </c>
      <c r="AK608">
        <v>74.790000000000006</v>
      </c>
      <c r="AL608" t="s">
        <v>14</v>
      </c>
      <c r="AM608" t="s">
        <v>15</v>
      </c>
      <c r="AN608" t="str">
        <f t="shared" si="36"/>
        <v>Night</v>
      </c>
      <c r="AO608" t="str">
        <f t="shared" si="37"/>
        <v>Off-Peak</v>
      </c>
      <c r="AP608" t="str">
        <f t="shared" si="38"/>
        <v>Medium</v>
      </c>
      <c r="AQ608" t="str">
        <f t="shared" si="39"/>
        <v>Low</v>
      </c>
    </row>
    <row r="609" spans="1:43" x14ac:dyDescent="0.3">
      <c r="A609">
        <v>608</v>
      </c>
      <c r="B609" t="s">
        <v>29</v>
      </c>
      <c r="C609" t="s">
        <v>30</v>
      </c>
      <c r="D609" s="1">
        <v>46132</v>
      </c>
      <c r="E609" t="s">
        <v>38</v>
      </c>
      <c r="F609">
        <v>0</v>
      </c>
      <c r="G609">
        <v>21</v>
      </c>
      <c r="H609" t="s">
        <v>36</v>
      </c>
      <c r="I609" t="s">
        <v>20</v>
      </c>
      <c r="J609">
        <v>1.25</v>
      </c>
      <c r="K609" t="s">
        <v>12</v>
      </c>
      <c r="L609">
        <v>0</v>
      </c>
      <c r="M609">
        <v>3.29</v>
      </c>
      <c r="N609">
        <v>17</v>
      </c>
      <c r="O609" t="s">
        <v>22</v>
      </c>
      <c r="P609">
        <v>3</v>
      </c>
      <c r="Q609">
        <v>6.91</v>
      </c>
      <c r="R609">
        <v>50.1</v>
      </c>
      <c r="S609">
        <v>89.57</v>
      </c>
      <c r="T609">
        <v>18.09</v>
      </c>
      <c r="U609">
        <v>1</v>
      </c>
      <c r="V609">
        <v>0</v>
      </c>
      <c r="W609">
        <v>107.66</v>
      </c>
      <c r="X609">
        <v>42.6</v>
      </c>
      <c r="Y609">
        <v>109.04</v>
      </c>
      <c r="Z609">
        <v>17.690000000000001</v>
      </c>
      <c r="AA609">
        <v>11</v>
      </c>
      <c r="AB609">
        <v>78.97</v>
      </c>
      <c r="AC609">
        <v>94.574850299401191</v>
      </c>
      <c r="AD609">
        <v>11.428364688856728</v>
      </c>
      <c r="AE609">
        <v>77.959999999999994</v>
      </c>
      <c r="AF609">
        <v>18</v>
      </c>
      <c r="AG609">
        <v>0</v>
      </c>
      <c r="AH609">
        <v>12.74</v>
      </c>
      <c r="AI609">
        <v>29.74</v>
      </c>
      <c r="AJ609">
        <v>114.33</v>
      </c>
      <c r="AK609">
        <v>72.8</v>
      </c>
      <c r="AL609" t="s">
        <v>14</v>
      </c>
      <c r="AM609" t="s">
        <v>15</v>
      </c>
      <c r="AN609" t="str">
        <f t="shared" si="36"/>
        <v>Night</v>
      </c>
      <c r="AO609" t="str">
        <f t="shared" si="37"/>
        <v>Off-Peak</v>
      </c>
      <c r="AP609" t="str">
        <f t="shared" si="38"/>
        <v>Low</v>
      </c>
      <c r="AQ609" t="str">
        <f t="shared" si="39"/>
        <v>Low</v>
      </c>
    </row>
    <row r="610" spans="1:43" x14ac:dyDescent="0.3">
      <c r="A610">
        <v>609</v>
      </c>
      <c r="B610" t="s">
        <v>23</v>
      </c>
      <c r="C610" t="s">
        <v>17</v>
      </c>
      <c r="D610" s="1">
        <v>46185</v>
      </c>
      <c r="E610" t="s">
        <v>9</v>
      </c>
      <c r="F610">
        <v>0</v>
      </c>
      <c r="G610">
        <v>10</v>
      </c>
      <c r="H610" t="s">
        <v>19</v>
      </c>
      <c r="I610" t="s">
        <v>45</v>
      </c>
      <c r="J610">
        <v>1</v>
      </c>
      <c r="K610" t="s">
        <v>12</v>
      </c>
      <c r="L610">
        <v>0</v>
      </c>
      <c r="M610">
        <v>3.6</v>
      </c>
      <c r="N610">
        <v>22</v>
      </c>
      <c r="O610" t="s">
        <v>22</v>
      </c>
      <c r="P610">
        <v>3</v>
      </c>
      <c r="Q610">
        <v>7.2</v>
      </c>
      <c r="R610">
        <v>60.5</v>
      </c>
      <c r="S610">
        <v>126.19</v>
      </c>
      <c r="T610">
        <v>30.22</v>
      </c>
      <c r="U610">
        <v>1.06</v>
      </c>
      <c r="V610">
        <v>7.57</v>
      </c>
      <c r="W610">
        <v>163.98</v>
      </c>
      <c r="X610">
        <v>35.6</v>
      </c>
      <c r="Y610">
        <v>101.69</v>
      </c>
      <c r="Z610">
        <v>20.57</v>
      </c>
      <c r="AA610">
        <v>12</v>
      </c>
      <c r="AB610">
        <v>131.41</v>
      </c>
      <c r="AC610">
        <v>130.32396694214876</v>
      </c>
      <c r="AD610">
        <v>18.251388888888886</v>
      </c>
      <c r="AE610">
        <v>68.47</v>
      </c>
      <c r="AF610">
        <v>16.7</v>
      </c>
      <c r="AG610">
        <v>0</v>
      </c>
      <c r="AH610">
        <v>5.07</v>
      </c>
      <c r="AI610">
        <v>27.07</v>
      </c>
      <c r="AJ610">
        <v>129.41</v>
      </c>
      <c r="AK610">
        <v>61.53</v>
      </c>
      <c r="AL610" t="s">
        <v>23</v>
      </c>
      <c r="AM610" t="s">
        <v>24</v>
      </c>
      <c r="AN610" t="str">
        <f t="shared" si="36"/>
        <v>Morning</v>
      </c>
      <c r="AO610" t="str">
        <f t="shared" si="37"/>
        <v>Peak</v>
      </c>
      <c r="AP610" t="str">
        <f t="shared" si="38"/>
        <v>Low</v>
      </c>
      <c r="AQ610" t="str">
        <f t="shared" si="39"/>
        <v>Low</v>
      </c>
    </row>
    <row r="611" spans="1:43" x14ac:dyDescent="0.3">
      <c r="A611">
        <v>610</v>
      </c>
      <c r="B611" t="s">
        <v>23</v>
      </c>
      <c r="C611" t="s">
        <v>17</v>
      </c>
      <c r="D611" s="1">
        <v>46232</v>
      </c>
      <c r="E611" t="s">
        <v>18</v>
      </c>
      <c r="F611">
        <v>0</v>
      </c>
      <c r="G611">
        <v>16</v>
      </c>
      <c r="H611" t="s">
        <v>19</v>
      </c>
      <c r="I611" t="s">
        <v>28</v>
      </c>
      <c r="J611">
        <v>1.03</v>
      </c>
      <c r="K611" t="s">
        <v>21</v>
      </c>
      <c r="L611">
        <v>0</v>
      </c>
      <c r="M611">
        <v>2.93</v>
      </c>
      <c r="N611">
        <v>42</v>
      </c>
      <c r="O611" t="s">
        <v>35</v>
      </c>
      <c r="P611">
        <v>9</v>
      </c>
      <c r="Q611">
        <v>2.74</v>
      </c>
      <c r="R611">
        <v>38.5</v>
      </c>
      <c r="S611">
        <v>85.85</v>
      </c>
      <c r="T611">
        <v>40.99</v>
      </c>
      <c r="U611">
        <v>1.08</v>
      </c>
      <c r="V611">
        <v>6.87</v>
      </c>
      <c r="W611">
        <v>133.71</v>
      </c>
      <c r="X611">
        <v>48.7</v>
      </c>
      <c r="Y611">
        <v>107.09</v>
      </c>
      <c r="Z611">
        <v>6.02</v>
      </c>
      <c r="AA611">
        <v>8.65</v>
      </c>
      <c r="AB611">
        <v>119.04</v>
      </c>
      <c r="AC611">
        <v>185.51688311688312</v>
      </c>
      <c r="AD611">
        <v>43.445255474452551</v>
      </c>
      <c r="AE611">
        <v>64.930000000000007</v>
      </c>
      <c r="AF611">
        <v>14.06</v>
      </c>
      <c r="AG611">
        <v>0</v>
      </c>
      <c r="AH611">
        <v>17.27</v>
      </c>
      <c r="AI611">
        <v>59.27</v>
      </c>
      <c r="AJ611">
        <v>159.44</v>
      </c>
      <c r="AK611">
        <v>68.55</v>
      </c>
      <c r="AL611" t="s">
        <v>23</v>
      </c>
      <c r="AM611" t="s">
        <v>24</v>
      </c>
      <c r="AN611" t="str">
        <f t="shared" si="36"/>
        <v>Evening</v>
      </c>
      <c r="AO611" t="str">
        <f t="shared" si="37"/>
        <v>Off-Peak</v>
      </c>
      <c r="AP611" t="str">
        <f t="shared" si="38"/>
        <v>Medium</v>
      </c>
      <c r="AQ611" t="str">
        <f t="shared" si="39"/>
        <v>Medium</v>
      </c>
    </row>
    <row r="612" spans="1:43" x14ac:dyDescent="0.3">
      <c r="A612">
        <v>611</v>
      </c>
      <c r="B612" t="s">
        <v>16</v>
      </c>
      <c r="C612" t="s">
        <v>17</v>
      </c>
      <c r="D612" s="1">
        <v>46118</v>
      </c>
      <c r="E612" t="s">
        <v>38</v>
      </c>
      <c r="F612">
        <v>0</v>
      </c>
      <c r="G612">
        <v>9</v>
      </c>
      <c r="H612" t="s">
        <v>27</v>
      </c>
      <c r="I612" t="s">
        <v>42</v>
      </c>
      <c r="J612">
        <v>1.08</v>
      </c>
      <c r="K612" t="s">
        <v>12</v>
      </c>
      <c r="L612">
        <v>0</v>
      </c>
      <c r="M612">
        <v>4.91</v>
      </c>
      <c r="N612">
        <v>93</v>
      </c>
      <c r="O612" t="s">
        <v>13</v>
      </c>
      <c r="P612">
        <v>21</v>
      </c>
      <c r="Q612">
        <v>5.79</v>
      </c>
      <c r="R612">
        <v>58.5</v>
      </c>
      <c r="S612">
        <v>142.31</v>
      </c>
      <c r="T612">
        <v>100</v>
      </c>
      <c r="U612">
        <v>1.35</v>
      </c>
      <c r="V612">
        <v>49.81</v>
      </c>
      <c r="W612">
        <v>292.12</v>
      </c>
      <c r="X612">
        <v>45.1</v>
      </c>
      <c r="Y612">
        <v>104.6</v>
      </c>
      <c r="Z612">
        <v>13.42</v>
      </c>
      <c r="AA612">
        <v>3.96</v>
      </c>
      <c r="AB612">
        <v>274.74</v>
      </c>
      <c r="AC612">
        <v>281.78461538461539</v>
      </c>
      <c r="AD612">
        <v>47.450777202072537</v>
      </c>
      <c r="AE612">
        <v>74.84</v>
      </c>
      <c r="AF612">
        <v>18.87</v>
      </c>
      <c r="AG612">
        <v>1</v>
      </c>
      <c r="AH612">
        <v>-2.66</v>
      </c>
      <c r="AI612">
        <v>90.34</v>
      </c>
      <c r="AJ612">
        <v>288.99</v>
      </c>
      <c r="AK612">
        <v>81.98</v>
      </c>
      <c r="AL612" t="s">
        <v>23</v>
      </c>
      <c r="AM612" t="s">
        <v>24</v>
      </c>
      <c r="AN612" t="str">
        <f t="shared" si="36"/>
        <v>Morning</v>
      </c>
      <c r="AO612" t="str">
        <f t="shared" si="37"/>
        <v>Peak</v>
      </c>
      <c r="AP612" t="str">
        <f t="shared" si="38"/>
        <v>High</v>
      </c>
      <c r="AQ612" t="str">
        <f t="shared" si="39"/>
        <v>High</v>
      </c>
    </row>
    <row r="613" spans="1:43" x14ac:dyDescent="0.3">
      <c r="A613">
        <v>612</v>
      </c>
      <c r="B613" t="s">
        <v>29</v>
      </c>
      <c r="C613" t="s">
        <v>30</v>
      </c>
      <c r="D613" s="1">
        <v>46153</v>
      </c>
      <c r="E613" t="s">
        <v>38</v>
      </c>
      <c r="F613">
        <v>0</v>
      </c>
      <c r="G613">
        <v>18</v>
      </c>
      <c r="H613" t="s">
        <v>32</v>
      </c>
      <c r="I613" t="s">
        <v>37</v>
      </c>
      <c r="J613">
        <v>1.02</v>
      </c>
      <c r="K613" t="s">
        <v>34</v>
      </c>
      <c r="L613">
        <v>1</v>
      </c>
      <c r="M613">
        <v>4.3600000000000003</v>
      </c>
      <c r="N613">
        <v>76</v>
      </c>
      <c r="O613" t="s">
        <v>13</v>
      </c>
      <c r="P613">
        <v>21</v>
      </c>
      <c r="Q613">
        <v>5.3</v>
      </c>
      <c r="R613">
        <v>42.5</v>
      </c>
      <c r="S613">
        <v>81.81</v>
      </c>
      <c r="T613">
        <v>69.430000000000007</v>
      </c>
      <c r="U613">
        <v>1</v>
      </c>
      <c r="V613">
        <v>0</v>
      </c>
      <c r="W613">
        <v>151.24</v>
      </c>
      <c r="X613">
        <v>44.3</v>
      </c>
      <c r="Y613">
        <v>109.19</v>
      </c>
      <c r="Z613">
        <v>13.06</v>
      </c>
      <c r="AA613">
        <v>3.44</v>
      </c>
      <c r="AB613">
        <v>134.74</v>
      </c>
      <c r="AC613">
        <v>190.22117647058823</v>
      </c>
      <c r="AD613">
        <v>25.422641509433966</v>
      </c>
      <c r="AE613">
        <v>83.33</v>
      </c>
      <c r="AF613">
        <v>17.18</v>
      </c>
      <c r="AG613">
        <v>1</v>
      </c>
      <c r="AH613">
        <v>-3.89</v>
      </c>
      <c r="AI613">
        <v>72.11</v>
      </c>
      <c r="AJ613">
        <v>204.4</v>
      </c>
      <c r="AK613">
        <v>78.680000000000007</v>
      </c>
      <c r="AL613" t="s">
        <v>23</v>
      </c>
      <c r="AM613" t="s">
        <v>24</v>
      </c>
      <c r="AN613" t="str">
        <f t="shared" si="36"/>
        <v>Night</v>
      </c>
      <c r="AO613" t="str">
        <f t="shared" si="37"/>
        <v>Peak</v>
      </c>
      <c r="AP613" t="str">
        <f t="shared" si="38"/>
        <v>Medium</v>
      </c>
      <c r="AQ613" t="str">
        <f t="shared" si="39"/>
        <v>High</v>
      </c>
    </row>
    <row r="614" spans="1:43" x14ac:dyDescent="0.3">
      <c r="A614">
        <v>613</v>
      </c>
      <c r="B614" t="s">
        <v>16</v>
      </c>
      <c r="C614" t="s">
        <v>17</v>
      </c>
      <c r="D614" s="1">
        <v>46034</v>
      </c>
      <c r="E614" t="s">
        <v>38</v>
      </c>
      <c r="F614">
        <v>0</v>
      </c>
      <c r="G614">
        <v>13</v>
      </c>
      <c r="H614" t="s">
        <v>19</v>
      </c>
      <c r="I614" t="s">
        <v>37</v>
      </c>
      <c r="J614">
        <v>1.02</v>
      </c>
      <c r="K614" t="s">
        <v>21</v>
      </c>
      <c r="L614">
        <v>0</v>
      </c>
      <c r="M614">
        <v>2.83</v>
      </c>
      <c r="N614">
        <v>29</v>
      </c>
      <c r="O614" t="s">
        <v>22</v>
      </c>
      <c r="P614">
        <v>5</v>
      </c>
      <c r="Q614">
        <v>5.96</v>
      </c>
      <c r="R614">
        <v>50.5</v>
      </c>
      <c r="S614">
        <v>118.88</v>
      </c>
      <c r="T614">
        <v>47.14</v>
      </c>
      <c r="U614">
        <v>1.1100000000000001</v>
      </c>
      <c r="V614">
        <v>13.08</v>
      </c>
      <c r="W614">
        <v>179.1</v>
      </c>
      <c r="X614">
        <v>46</v>
      </c>
      <c r="Y614">
        <v>104.84</v>
      </c>
      <c r="Z614">
        <v>13.59</v>
      </c>
      <c r="AA614">
        <v>11.59</v>
      </c>
      <c r="AB614">
        <v>153.91999999999999</v>
      </c>
      <c r="AC614">
        <v>182.87524752475247</v>
      </c>
      <c r="AD614">
        <v>25.825503355704697</v>
      </c>
      <c r="AE614">
        <v>81.430000000000007</v>
      </c>
      <c r="AF614">
        <v>13.57</v>
      </c>
      <c r="AG614">
        <v>0</v>
      </c>
      <c r="AH614">
        <v>-13.76</v>
      </c>
      <c r="AI614">
        <v>15.24</v>
      </c>
      <c r="AJ614">
        <v>190.79</v>
      </c>
      <c r="AK614">
        <v>64.48</v>
      </c>
      <c r="AL614" t="s">
        <v>14</v>
      </c>
      <c r="AM614" t="s">
        <v>15</v>
      </c>
      <c r="AN614" t="str">
        <f t="shared" si="36"/>
        <v>Afternoon</v>
      </c>
      <c r="AO614" t="str">
        <f t="shared" si="37"/>
        <v>Off-Peak</v>
      </c>
      <c r="AP614" t="str">
        <f t="shared" si="38"/>
        <v>Medium</v>
      </c>
      <c r="AQ614" t="str">
        <f t="shared" si="39"/>
        <v>Low</v>
      </c>
    </row>
    <row r="615" spans="1:43" x14ac:dyDescent="0.3">
      <c r="A615">
        <v>614</v>
      </c>
      <c r="B615" t="s">
        <v>48</v>
      </c>
      <c r="C615" t="s">
        <v>30</v>
      </c>
      <c r="D615" s="1">
        <v>46213</v>
      </c>
      <c r="E615" t="s">
        <v>9</v>
      </c>
      <c r="F615">
        <v>0</v>
      </c>
      <c r="G615">
        <v>18</v>
      </c>
      <c r="H615" t="s">
        <v>32</v>
      </c>
      <c r="I615" t="s">
        <v>20</v>
      </c>
      <c r="J615">
        <v>1.25</v>
      </c>
      <c r="K615" t="s">
        <v>21</v>
      </c>
      <c r="L615">
        <v>0</v>
      </c>
      <c r="M615">
        <v>3.32</v>
      </c>
      <c r="N615">
        <v>79</v>
      </c>
      <c r="O615" t="s">
        <v>13</v>
      </c>
      <c r="P615">
        <v>21</v>
      </c>
      <c r="Q615">
        <v>4.29</v>
      </c>
      <c r="R615">
        <v>43.1</v>
      </c>
      <c r="S615">
        <v>90.87</v>
      </c>
      <c r="T615">
        <v>76.98</v>
      </c>
      <c r="U615">
        <v>1</v>
      </c>
      <c r="V615">
        <v>0</v>
      </c>
      <c r="W615">
        <v>167.85</v>
      </c>
      <c r="X615">
        <v>39.299999999999997</v>
      </c>
      <c r="Y615">
        <v>103.79</v>
      </c>
      <c r="Z615">
        <v>11.35</v>
      </c>
      <c r="AA615">
        <v>10.71</v>
      </c>
      <c r="AB615">
        <v>145.79</v>
      </c>
      <c r="AC615">
        <v>202.95591647331784</v>
      </c>
      <c r="AD615">
        <v>33.983682983682982</v>
      </c>
      <c r="AE615">
        <v>81.14</v>
      </c>
      <c r="AF615">
        <v>15.12</v>
      </c>
      <c r="AG615">
        <v>1</v>
      </c>
      <c r="AH615">
        <v>-3.09</v>
      </c>
      <c r="AI615">
        <v>75.91</v>
      </c>
      <c r="AJ615">
        <v>187.77</v>
      </c>
      <c r="AK615">
        <v>82.7</v>
      </c>
      <c r="AL615" t="s">
        <v>14</v>
      </c>
      <c r="AM615" t="s">
        <v>15</v>
      </c>
      <c r="AN615" t="str">
        <f t="shared" si="36"/>
        <v>Night</v>
      </c>
      <c r="AO615" t="str">
        <f t="shared" si="37"/>
        <v>Peak</v>
      </c>
      <c r="AP615" t="str">
        <f t="shared" si="38"/>
        <v>Medium</v>
      </c>
      <c r="AQ615" t="str">
        <f t="shared" si="39"/>
        <v>High</v>
      </c>
    </row>
    <row r="616" spans="1:43" x14ac:dyDescent="0.3">
      <c r="A616">
        <v>615</v>
      </c>
      <c r="B616" t="s">
        <v>25</v>
      </c>
      <c r="C616" t="s">
        <v>17</v>
      </c>
      <c r="D616" s="1">
        <v>46149</v>
      </c>
      <c r="E616" t="s">
        <v>41</v>
      </c>
      <c r="F616">
        <v>0</v>
      </c>
      <c r="G616">
        <v>17</v>
      </c>
      <c r="H616" t="s">
        <v>40</v>
      </c>
      <c r="I616" t="s">
        <v>11</v>
      </c>
      <c r="J616">
        <v>1.18</v>
      </c>
      <c r="K616" t="s">
        <v>12</v>
      </c>
      <c r="L616">
        <v>0</v>
      </c>
      <c r="M616">
        <v>4.91</v>
      </c>
      <c r="N616">
        <v>76</v>
      </c>
      <c r="O616" t="s">
        <v>13</v>
      </c>
      <c r="P616">
        <v>9</v>
      </c>
      <c r="Q616">
        <v>6.94</v>
      </c>
      <c r="R616">
        <v>50.5</v>
      </c>
      <c r="S616">
        <v>153.75</v>
      </c>
      <c r="T616">
        <v>93.34</v>
      </c>
      <c r="U616">
        <v>1.28</v>
      </c>
      <c r="V616">
        <v>43.05</v>
      </c>
      <c r="W616">
        <v>290.14</v>
      </c>
      <c r="X616">
        <v>44.1</v>
      </c>
      <c r="Y616">
        <v>102.95</v>
      </c>
      <c r="Z616">
        <v>16.22</v>
      </c>
      <c r="AA616">
        <v>9.49</v>
      </c>
      <c r="AB616">
        <v>264.43</v>
      </c>
      <c r="AC616">
        <v>314.17425742574255</v>
      </c>
      <c r="AD616">
        <v>38.102305475504323</v>
      </c>
      <c r="AE616">
        <v>87.69</v>
      </c>
      <c r="AF616">
        <v>18.39</v>
      </c>
      <c r="AG616">
        <v>1</v>
      </c>
      <c r="AH616">
        <v>32.49</v>
      </c>
      <c r="AI616">
        <v>108.49</v>
      </c>
      <c r="AJ616">
        <v>317.27</v>
      </c>
      <c r="AK616">
        <v>68.05</v>
      </c>
      <c r="AL616" t="s">
        <v>23</v>
      </c>
      <c r="AM616" t="s">
        <v>24</v>
      </c>
      <c r="AN616" t="str">
        <f t="shared" si="36"/>
        <v>Evening</v>
      </c>
      <c r="AO616" t="str">
        <f t="shared" si="37"/>
        <v>Peak</v>
      </c>
      <c r="AP616" t="str">
        <f t="shared" si="38"/>
        <v>High</v>
      </c>
      <c r="AQ616" t="str">
        <f t="shared" si="39"/>
        <v>High</v>
      </c>
    </row>
    <row r="617" spans="1:43" x14ac:dyDescent="0.3">
      <c r="A617">
        <v>616</v>
      </c>
      <c r="B617" t="s">
        <v>25</v>
      </c>
      <c r="C617" t="s">
        <v>17</v>
      </c>
      <c r="D617" s="1">
        <v>46141</v>
      </c>
      <c r="E617" t="s">
        <v>18</v>
      </c>
      <c r="F617">
        <v>0</v>
      </c>
      <c r="G617">
        <v>22</v>
      </c>
      <c r="H617" t="s">
        <v>19</v>
      </c>
      <c r="I617" t="s">
        <v>46</v>
      </c>
      <c r="J617">
        <v>1.1499999999999999</v>
      </c>
      <c r="K617" t="s">
        <v>21</v>
      </c>
      <c r="L617">
        <v>0</v>
      </c>
      <c r="M617">
        <v>2.39</v>
      </c>
      <c r="N617">
        <v>30</v>
      </c>
      <c r="O617" t="s">
        <v>22</v>
      </c>
      <c r="P617">
        <v>6</v>
      </c>
      <c r="Q617">
        <v>4.67</v>
      </c>
      <c r="R617">
        <v>28.2</v>
      </c>
      <c r="S617">
        <v>117.78</v>
      </c>
      <c r="T617">
        <v>29.28</v>
      </c>
      <c r="U617">
        <v>1.1100000000000001</v>
      </c>
      <c r="V617">
        <v>12.96</v>
      </c>
      <c r="W617">
        <v>160.02000000000001</v>
      </c>
      <c r="X617">
        <v>47</v>
      </c>
      <c r="Y617">
        <v>109.04</v>
      </c>
      <c r="Z617">
        <v>10.83</v>
      </c>
      <c r="AA617">
        <v>11.49</v>
      </c>
      <c r="AB617">
        <v>137.69999999999999</v>
      </c>
      <c r="AC617">
        <v>292.97872340425533</v>
      </c>
      <c r="AD617">
        <v>29.486081370449678</v>
      </c>
      <c r="AE617">
        <v>88.23</v>
      </c>
      <c r="AF617">
        <v>10.34</v>
      </c>
      <c r="AG617">
        <v>0</v>
      </c>
      <c r="AH617">
        <v>7.13</v>
      </c>
      <c r="AI617">
        <v>37.130000000000003</v>
      </c>
      <c r="AJ617">
        <v>305.75</v>
      </c>
      <c r="AK617">
        <v>73.78</v>
      </c>
      <c r="AL617" t="s">
        <v>23</v>
      </c>
      <c r="AM617" t="s">
        <v>24</v>
      </c>
      <c r="AN617" t="str">
        <f t="shared" si="36"/>
        <v>Night</v>
      </c>
      <c r="AO617" t="str">
        <f t="shared" si="37"/>
        <v>Off-Peak</v>
      </c>
      <c r="AP617" t="str">
        <f t="shared" si="38"/>
        <v>High</v>
      </c>
      <c r="AQ617" t="str">
        <f t="shared" si="39"/>
        <v>Low</v>
      </c>
    </row>
    <row r="618" spans="1:43" x14ac:dyDescent="0.3">
      <c r="A618">
        <v>617</v>
      </c>
      <c r="B618" t="s">
        <v>14</v>
      </c>
      <c r="C618" t="s">
        <v>8</v>
      </c>
      <c r="D618" s="1">
        <v>46160</v>
      </c>
      <c r="E618" t="s">
        <v>38</v>
      </c>
      <c r="F618">
        <v>0</v>
      </c>
      <c r="G618">
        <v>14</v>
      </c>
      <c r="H618" t="s">
        <v>10</v>
      </c>
      <c r="I618" t="s">
        <v>42</v>
      </c>
      <c r="J618">
        <v>1.08</v>
      </c>
      <c r="K618" t="s">
        <v>34</v>
      </c>
      <c r="L618">
        <v>1</v>
      </c>
      <c r="M618">
        <v>4.88</v>
      </c>
      <c r="N618">
        <v>90</v>
      </c>
      <c r="O618" t="s">
        <v>13</v>
      </c>
      <c r="P618">
        <v>39</v>
      </c>
      <c r="Q618">
        <v>1.26</v>
      </c>
      <c r="R618">
        <v>38.4</v>
      </c>
      <c r="S618">
        <v>64.959999999999994</v>
      </c>
      <c r="T618">
        <v>96.84</v>
      </c>
      <c r="U618">
        <v>1</v>
      </c>
      <c r="V618">
        <v>0</v>
      </c>
      <c r="W618">
        <v>161.80000000000001</v>
      </c>
      <c r="X618">
        <v>36.4</v>
      </c>
      <c r="Y618">
        <v>102.26</v>
      </c>
      <c r="Z618">
        <v>3.53</v>
      </c>
      <c r="AA618">
        <v>7.03</v>
      </c>
      <c r="AB618">
        <v>151.24</v>
      </c>
      <c r="AC618">
        <v>236.3125</v>
      </c>
      <c r="AD618">
        <v>120.03174603174604</v>
      </c>
      <c r="AE618">
        <v>75.33</v>
      </c>
      <c r="AF618">
        <v>14.32</v>
      </c>
      <c r="AG618">
        <v>1</v>
      </c>
      <c r="AH618">
        <v>-5.78</v>
      </c>
      <c r="AI618">
        <v>84.22</v>
      </c>
      <c r="AJ618">
        <v>248</v>
      </c>
      <c r="AK618">
        <v>76.239999999999995</v>
      </c>
      <c r="AL618" t="s">
        <v>14</v>
      </c>
      <c r="AM618" t="s">
        <v>15</v>
      </c>
      <c r="AN618" t="str">
        <f t="shared" si="36"/>
        <v>Afternoon</v>
      </c>
      <c r="AO618" t="str">
        <f t="shared" si="37"/>
        <v>Off-Peak</v>
      </c>
      <c r="AP618" t="str">
        <f t="shared" si="38"/>
        <v>Medium</v>
      </c>
      <c r="AQ618" t="str">
        <f t="shared" si="39"/>
        <v>High</v>
      </c>
    </row>
    <row r="619" spans="1:43" x14ac:dyDescent="0.3">
      <c r="A619">
        <v>618</v>
      </c>
      <c r="B619" t="s">
        <v>14</v>
      </c>
      <c r="C619" t="s">
        <v>8</v>
      </c>
      <c r="D619" s="1">
        <v>46078</v>
      </c>
      <c r="E619" t="s">
        <v>18</v>
      </c>
      <c r="F619">
        <v>0</v>
      </c>
      <c r="G619">
        <v>12</v>
      </c>
      <c r="H619" t="s">
        <v>10</v>
      </c>
      <c r="I619" t="s">
        <v>42</v>
      </c>
      <c r="J619">
        <v>1.08</v>
      </c>
      <c r="K619" t="s">
        <v>12</v>
      </c>
      <c r="L619">
        <v>0</v>
      </c>
      <c r="M619">
        <v>4.04</v>
      </c>
      <c r="N619">
        <v>89</v>
      </c>
      <c r="O619" t="s">
        <v>13</v>
      </c>
      <c r="P619">
        <v>23</v>
      </c>
      <c r="Q619">
        <v>4.57</v>
      </c>
      <c r="R619">
        <v>43.8</v>
      </c>
      <c r="S619">
        <v>84.2</v>
      </c>
      <c r="T619">
        <v>94.69</v>
      </c>
      <c r="U619">
        <v>1</v>
      </c>
      <c r="V619">
        <v>0</v>
      </c>
      <c r="W619">
        <v>178.89</v>
      </c>
      <c r="X619">
        <v>49.4</v>
      </c>
      <c r="Y619">
        <v>108.28</v>
      </c>
      <c r="Z619">
        <v>10.02</v>
      </c>
      <c r="AA619">
        <v>10.88</v>
      </c>
      <c r="AB619">
        <v>157.99</v>
      </c>
      <c r="AC619">
        <v>216.42465753424659</v>
      </c>
      <c r="AD619">
        <v>34.571115973741797</v>
      </c>
      <c r="AE619">
        <v>91.01</v>
      </c>
      <c r="AF619">
        <v>15.67</v>
      </c>
      <c r="AG619">
        <v>1</v>
      </c>
      <c r="AH619">
        <v>-12.09</v>
      </c>
      <c r="AI619">
        <v>76.91</v>
      </c>
      <c r="AJ619">
        <v>219.66</v>
      </c>
      <c r="AK619">
        <v>70.98</v>
      </c>
      <c r="AL619" t="s">
        <v>14</v>
      </c>
      <c r="AM619" t="s">
        <v>15</v>
      </c>
      <c r="AN619" t="str">
        <f t="shared" si="36"/>
        <v>Afternoon</v>
      </c>
      <c r="AO619" t="str">
        <f t="shared" si="37"/>
        <v>Off-Peak</v>
      </c>
      <c r="AP619" t="str">
        <f t="shared" si="38"/>
        <v>Medium</v>
      </c>
      <c r="AQ619" t="str">
        <f t="shared" si="39"/>
        <v>High</v>
      </c>
    </row>
    <row r="620" spans="1:43" x14ac:dyDescent="0.3">
      <c r="A620">
        <v>619</v>
      </c>
      <c r="B620" t="s">
        <v>7</v>
      </c>
      <c r="C620" t="s">
        <v>8</v>
      </c>
      <c r="D620" s="1">
        <v>46177</v>
      </c>
      <c r="E620" t="s">
        <v>41</v>
      </c>
      <c r="F620">
        <v>0</v>
      </c>
      <c r="G620">
        <v>15</v>
      </c>
      <c r="H620" t="s">
        <v>32</v>
      </c>
      <c r="I620" t="s">
        <v>46</v>
      </c>
      <c r="J620">
        <v>1.1499999999999999</v>
      </c>
      <c r="K620" t="s">
        <v>12</v>
      </c>
      <c r="L620">
        <v>0</v>
      </c>
      <c r="M620">
        <v>2.16</v>
      </c>
      <c r="N620">
        <v>39</v>
      </c>
      <c r="O620" t="s">
        <v>35</v>
      </c>
      <c r="P620">
        <v>19</v>
      </c>
      <c r="Q620">
        <v>4.96</v>
      </c>
      <c r="R620">
        <v>32.5</v>
      </c>
      <c r="S620">
        <v>84.11</v>
      </c>
      <c r="T620">
        <v>42.66</v>
      </c>
      <c r="U620">
        <v>1</v>
      </c>
      <c r="V620">
        <v>0</v>
      </c>
      <c r="W620">
        <v>126.77</v>
      </c>
      <c r="X620">
        <v>48.4</v>
      </c>
      <c r="Y620">
        <v>101.94</v>
      </c>
      <c r="Z620">
        <v>10.45</v>
      </c>
      <c r="AA620">
        <v>3.63</v>
      </c>
      <c r="AB620">
        <v>112.69</v>
      </c>
      <c r="AC620">
        <v>208.04307692307694</v>
      </c>
      <c r="AD620">
        <v>22.719758064516128</v>
      </c>
      <c r="AE620">
        <v>73.040000000000006</v>
      </c>
      <c r="AF620">
        <v>10.02</v>
      </c>
      <c r="AG620">
        <v>0</v>
      </c>
      <c r="AH620">
        <v>-20.98</v>
      </c>
      <c r="AI620">
        <v>18.02</v>
      </c>
      <c r="AJ620">
        <v>236.47</v>
      </c>
      <c r="AK620">
        <v>67.2</v>
      </c>
      <c r="AL620" t="s">
        <v>14</v>
      </c>
      <c r="AM620" t="s">
        <v>15</v>
      </c>
      <c r="AN620" t="str">
        <f t="shared" si="36"/>
        <v>Evening</v>
      </c>
      <c r="AO620" t="str">
        <f t="shared" si="37"/>
        <v>Off-Peak</v>
      </c>
      <c r="AP620" t="str">
        <f t="shared" si="38"/>
        <v>Medium</v>
      </c>
      <c r="AQ620" t="str">
        <f t="shared" si="39"/>
        <v>Medium</v>
      </c>
    </row>
    <row r="621" spans="1:43" x14ac:dyDescent="0.3">
      <c r="A621">
        <v>620</v>
      </c>
      <c r="B621" t="s">
        <v>7</v>
      </c>
      <c r="C621" t="s">
        <v>8</v>
      </c>
      <c r="D621" s="1">
        <v>46215</v>
      </c>
      <c r="E621" t="s">
        <v>26</v>
      </c>
      <c r="F621">
        <v>1</v>
      </c>
      <c r="G621">
        <v>9</v>
      </c>
      <c r="H621" t="s">
        <v>49</v>
      </c>
      <c r="I621" t="s">
        <v>42</v>
      </c>
      <c r="J621">
        <v>1.08</v>
      </c>
      <c r="K621" t="s">
        <v>12</v>
      </c>
      <c r="L621">
        <v>0</v>
      </c>
      <c r="M621">
        <v>2.5099999999999998</v>
      </c>
      <c r="N621">
        <v>31</v>
      </c>
      <c r="O621" t="s">
        <v>22</v>
      </c>
      <c r="P621">
        <v>15</v>
      </c>
      <c r="Q621">
        <v>6.62</v>
      </c>
      <c r="R621">
        <v>46.8</v>
      </c>
      <c r="S621">
        <v>101.51</v>
      </c>
      <c r="T621">
        <v>45.48</v>
      </c>
      <c r="U621">
        <v>1</v>
      </c>
      <c r="V621">
        <v>0</v>
      </c>
      <c r="W621">
        <v>146.99</v>
      </c>
      <c r="X621">
        <v>49.4</v>
      </c>
      <c r="Y621">
        <v>106.43</v>
      </c>
      <c r="Z621">
        <v>14.24</v>
      </c>
      <c r="AA621">
        <v>3.83</v>
      </c>
      <c r="AB621">
        <v>128.91999999999999</v>
      </c>
      <c r="AC621">
        <v>165.28205128205127</v>
      </c>
      <c r="AD621">
        <v>19.474320241691842</v>
      </c>
      <c r="AE621">
        <v>82.64</v>
      </c>
      <c r="AF621">
        <v>11.15</v>
      </c>
      <c r="AG621">
        <v>1</v>
      </c>
      <c r="AH621">
        <v>-9.4600000000000009</v>
      </c>
      <c r="AI621">
        <v>21.54</v>
      </c>
      <c r="AJ621">
        <v>149.29</v>
      </c>
      <c r="AK621">
        <v>65.010000000000005</v>
      </c>
      <c r="AL621" t="s">
        <v>14</v>
      </c>
      <c r="AM621" t="s">
        <v>15</v>
      </c>
      <c r="AN621" t="str">
        <f t="shared" si="36"/>
        <v>Morning</v>
      </c>
      <c r="AO621" t="str">
        <f t="shared" si="37"/>
        <v>Peak</v>
      </c>
      <c r="AP621" t="str">
        <f t="shared" si="38"/>
        <v>Medium</v>
      </c>
      <c r="AQ621" t="str">
        <f t="shared" si="39"/>
        <v>Low</v>
      </c>
    </row>
    <row r="622" spans="1:43" x14ac:dyDescent="0.3">
      <c r="A622">
        <v>621</v>
      </c>
      <c r="B622" t="s">
        <v>29</v>
      </c>
      <c r="C622" t="s">
        <v>30</v>
      </c>
      <c r="D622" s="1">
        <v>46113</v>
      </c>
      <c r="E622" t="s">
        <v>18</v>
      </c>
      <c r="F622">
        <v>0</v>
      </c>
      <c r="G622">
        <v>8</v>
      </c>
      <c r="H622" t="s">
        <v>47</v>
      </c>
      <c r="I622" t="s">
        <v>50</v>
      </c>
      <c r="J622">
        <v>1.2</v>
      </c>
      <c r="K622" t="s">
        <v>12</v>
      </c>
      <c r="L622">
        <v>0</v>
      </c>
      <c r="M622">
        <v>4.1100000000000003</v>
      </c>
      <c r="N622">
        <v>36</v>
      </c>
      <c r="O622" t="s">
        <v>35</v>
      </c>
      <c r="P622">
        <v>8</v>
      </c>
      <c r="Q622">
        <v>4.4000000000000004</v>
      </c>
      <c r="R622">
        <v>46</v>
      </c>
      <c r="S622">
        <v>82.56</v>
      </c>
      <c r="T622">
        <v>47.98</v>
      </c>
      <c r="U622">
        <v>1</v>
      </c>
      <c r="V622">
        <v>0</v>
      </c>
      <c r="W622">
        <v>130.54</v>
      </c>
      <c r="X622">
        <v>47.1</v>
      </c>
      <c r="Y622">
        <v>104.51</v>
      </c>
      <c r="Z622">
        <v>9.75</v>
      </c>
      <c r="AA622">
        <v>7.12</v>
      </c>
      <c r="AB622">
        <v>113.67</v>
      </c>
      <c r="AC622">
        <v>148.26521739130433</v>
      </c>
      <c r="AD622">
        <v>25.834090909090907</v>
      </c>
      <c r="AE622">
        <v>80.55</v>
      </c>
      <c r="AF622">
        <v>16.36</v>
      </c>
      <c r="AG622">
        <v>0</v>
      </c>
      <c r="AH622">
        <v>14.39</v>
      </c>
      <c r="AI622">
        <v>50.39</v>
      </c>
      <c r="AJ622">
        <v>166.67</v>
      </c>
      <c r="AK622">
        <v>71.86</v>
      </c>
      <c r="AL622" t="s">
        <v>23</v>
      </c>
      <c r="AM622" t="s">
        <v>24</v>
      </c>
      <c r="AN622" t="str">
        <f t="shared" si="36"/>
        <v>Morning</v>
      </c>
      <c r="AO622" t="str">
        <f t="shared" si="37"/>
        <v>Peak</v>
      </c>
      <c r="AP622" t="str">
        <f t="shared" si="38"/>
        <v>Low</v>
      </c>
      <c r="AQ622" t="str">
        <f t="shared" si="39"/>
        <v>Medium</v>
      </c>
    </row>
    <row r="623" spans="1:43" x14ac:dyDescent="0.3">
      <c r="A623">
        <v>622</v>
      </c>
      <c r="B623" t="s">
        <v>29</v>
      </c>
      <c r="C623" t="s">
        <v>30</v>
      </c>
      <c r="D623" s="1">
        <v>46056</v>
      </c>
      <c r="E623" t="s">
        <v>44</v>
      </c>
      <c r="F623">
        <v>0</v>
      </c>
      <c r="G623">
        <v>15</v>
      </c>
      <c r="H623" t="s">
        <v>43</v>
      </c>
      <c r="I623" t="s">
        <v>33</v>
      </c>
      <c r="J623">
        <v>1</v>
      </c>
      <c r="K623" t="s">
        <v>21</v>
      </c>
      <c r="L623">
        <v>0</v>
      </c>
      <c r="M623">
        <v>3.16</v>
      </c>
      <c r="N623">
        <v>33</v>
      </c>
      <c r="O623" t="s">
        <v>22</v>
      </c>
      <c r="P623">
        <v>10</v>
      </c>
      <c r="Q623">
        <v>11.83</v>
      </c>
      <c r="R623">
        <v>73.5</v>
      </c>
      <c r="S623">
        <v>151.68</v>
      </c>
      <c r="T623">
        <v>48.78</v>
      </c>
      <c r="U623">
        <v>1</v>
      </c>
      <c r="V623">
        <v>0</v>
      </c>
      <c r="W623">
        <v>200.46</v>
      </c>
      <c r="X623">
        <v>39.4</v>
      </c>
      <c r="Y623">
        <v>101.05</v>
      </c>
      <c r="Z623">
        <v>30.32</v>
      </c>
      <c r="AA623">
        <v>5.33</v>
      </c>
      <c r="AB623">
        <v>164.81</v>
      </c>
      <c r="AC623">
        <v>134.53877551020406</v>
      </c>
      <c r="AD623">
        <v>13.931530008453086</v>
      </c>
      <c r="AE623">
        <v>58.82</v>
      </c>
      <c r="AF623">
        <v>16.57</v>
      </c>
      <c r="AG623">
        <v>0</v>
      </c>
      <c r="AH623">
        <v>-3.41</v>
      </c>
      <c r="AI623">
        <v>29.59</v>
      </c>
      <c r="AJ623">
        <v>149.94999999999999</v>
      </c>
      <c r="AK623">
        <v>63.08</v>
      </c>
      <c r="AL623" t="s">
        <v>14</v>
      </c>
      <c r="AM623" t="s">
        <v>15</v>
      </c>
      <c r="AN623" t="str">
        <f t="shared" si="36"/>
        <v>Evening</v>
      </c>
      <c r="AO623" t="str">
        <f t="shared" si="37"/>
        <v>Off-Peak</v>
      </c>
      <c r="AP623" t="str">
        <f t="shared" si="38"/>
        <v>Low</v>
      </c>
      <c r="AQ623" t="str">
        <f t="shared" si="39"/>
        <v>Low</v>
      </c>
    </row>
    <row r="624" spans="1:43" x14ac:dyDescent="0.3">
      <c r="A624">
        <v>623</v>
      </c>
      <c r="B624" t="s">
        <v>14</v>
      </c>
      <c r="C624" t="s">
        <v>8</v>
      </c>
      <c r="D624" s="1">
        <v>46122</v>
      </c>
      <c r="E624" t="s">
        <v>9</v>
      </c>
      <c r="F624">
        <v>0</v>
      </c>
      <c r="G624">
        <v>20</v>
      </c>
      <c r="H624" t="s">
        <v>51</v>
      </c>
      <c r="I624" t="s">
        <v>50</v>
      </c>
      <c r="J624">
        <v>1.2</v>
      </c>
      <c r="K624" t="s">
        <v>12</v>
      </c>
      <c r="L624">
        <v>0</v>
      </c>
      <c r="M624">
        <v>3.29</v>
      </c>
      <c r="N624">
        <v>75</v>
      </c>
      <c r="O624" t="s">
        <v>13</v>
      </c>
      <c r="P624">
        <v>32</v>
      </c>
      <c r="Q624">
        <v>3.65</v>
      </c>
      <c r="R624">
        <v>29.9</v>
      </c>
      <c r="S624">
        <v>68</v>
      </c>
      <c r="T624">
        <v>87.82</v>
      </c>
      <c r="U624">
        <v>1</v>
      </c>
      <c r="V624">
        <v>0</v>
      </c>
      <c r="W624">
        <v>155.82</v>
      </c>
      <c r="X624">
        <v>43.7</v>
      </c>
      <c r="Y624">
        <v>101.26</v>
      </c>
      <c r="Z624">
        <v>8.4600000000000009</v>
      </c>
      <c r="AA624">
        <v>6.33</v>
      </c>
      <c r="AB624">
        <v>141.03</v>
      </c>
      <c r="AC624">
        <v>283.00334448160538</v>
      </c>
      <c r="AD624">
        <v>38.638356164383566</v>
      </c>
      <c r="AE624">
        <v>70.27</v>
      </c>
      <c r="AF624">
        <v>15.39</v>
      </c>
      <c r="AG624">
        <v>1</v>
      </c>
      <c r="AH624">
        <v>-11.37</v>
      </c>
      <c r="AI624">
        <v>63.63</v>
      </c>
      <c r="AJ624">
        <v>288.02</v>
      </c>
      <c r="AK624">
        <v>72.83</v>
      </c>
      <c r="AL624" t="s">
        <v>14</v>
      </c>
      <c r="AM624" t="s">
        <v>15</v>
      </c>
      <c r="AN624" t="str">
        <f t="shared" si="36"/>
        <v>Night</v>
      </c>
      <c r="AO624" t="str">
        <f t="shared" si="37"/>
        <v>Peak</v>
      </c>
      <c r="AP624" t="str">
        <f t="shared" si="38"/>
        <v>High</v>
      </c>
      <c r="AQ624" t="str">
        <f t="shared" si="39"/>
        <v>High</v>
      </c>
    </row>
    <row r="625" spans="1:43" x14ac:dyDescent="0.3">
      <c r="A625">
        <v>624</v>
      </c>
      <c r="B625" t="s">
        <v>48</v>
      </c>
      <c r="C625" t="s">
        <v>30</v>
      </c>
      <c r="D625" s="1">
        <v>46074</v>
      </c>
      <c r="E625" t="s">
        <v>31</v>
      </c>
      <c r="F625">
        <v>1</v>
      </c>
      <c r="G625">
        <v>15</v>
      </c>
      <c r="H625" t="s">
        <v>43</v>
      </c>
      <c r="I625" t="s">
        <v>11</v>
      </c>
      <c r="J625">
        <v>1.18</v>
      </c>
      <c r="K625" t="s">
        <v>12</v>
      </c>
      <c r="L625">
        <v>0</v>
      </c>
      <c r="M625">
        <v>3.24</v>
      </c>
      <c r="N625">
        <v>60</v>
      </c>
      <c r="O625" t="s">
        <v>35</v>
      </c>
      <c r="P625">
        <v>12</v>
      </c>
      <c r="Q625">
        <v>2.63</v>
      </c>
      <c r="R625">
        <v>42.2</v>
      </c>
      <c r="S625">
        <v>82.24</v>
      </c>
      <c r="T625">
        <v>84.14</v>
      </c>
      <c r="U625">
        <v>1</v>
      </c>
      <c r="V625">
        <v>0</v>
      </c>
      <c r="W625">
        <v>166.38</v>
      </c>
      <c r="X625">
        <v>36.799999999999997</v>
      </c>
      <c r="Y625">
        <v>102.82</v>
      </c>
      <c r="Z625">
        <v>7.34</v>
      </c>
      <c r="AA625">
        <v>9.98</v>
      </c>
      <c r="AB625">
        <v>149.06</v>
      </c>
      <c r="AC625">
        <v>211.93364928909952</v>
      </c>
      <c r="AD625">
        <v>56.676806083650192</v>
      </c>
      <c r="AE625">
        <v>67.03</v>
      </c>
      <c r="AF625">
        <v>17.93</v>
      </c>
      <c r="AG625">
        <v>1</v>
      </c>
      <c r="AH625">
        <v>-9.7200000000000006</v>
      </c>
      <c r="AI625">
        <v>50.28</v>
      </c>
      <c r="AJ625">
        <v>211.33</v>
      </c>
      <c r="AK625">
        <v>70.650000000000006</v>
      </c>
      <c r="AL625" t="s">
        <v>14</v>
      </c>
      <c r="AM625" t="s">
        <v>15</v>
      </c>
      <c r="AN625" t="str">
        <f t="shared" si="36"/>
        <v>Evening</v>
      </c>
      <c r="AO625" t="str">
        <f t="shared" si="37"/>
        <v>Off-Peak</v>
      </c>
      <c r="AP625" t="str">
        <f t="shared" si="38"/>
        <v>Medium</v>
      </c>
      <c r="AQ625" t="str">
        <f t="shared" si="39"/>
        <v>Medium</v>
      </c>
    </row>
    <row r="626" spans="1:43" x14ac:dyDescent="0.3">
      <c r="A626">
        <v>625</v>
      </c>
      <c r="B626" t="s">
        <v>25</v>
      </c>
      <c r="C626" t="s">
        <v>17</v>
      </c>
      <c r="D626" s="1">
        <v>46119</v>
      </c>
      <c r="E626" t="s">
        <v>44</v>
      </c>
      <c r="F626">
        <v>0</v>
      </c>
      <c r="G626">
        <v>19</v>
      </c>
      <c r="H626" t="s">
        <v>40</v>
      </c>
      <c r="I626" t="s">
        <v>33</v>
      </c>
      <c r="J626">
        <v>1</v>
      </c>
      <c r="K626" t="s">
        <v>12</v>
      </c>
      <c r="L626">
        <v>0</v>
      </c>
      <c r="M626">
        <v>3.98</v>
      </c>
      <c r="N626">
        <v>69</v>
      </c>
      <c r="O626" t="s">
        <v>35</v>
      </c>
      <c r="P626">
        <v>10</v>
      </c>
      <c r="Q626">
        <v>9.51</v>
      </c>
      <c r="R626">
        <v>71.8</v>
      </c>
      <c r="S626">
        <v>169.9</v>
      </c>
      <c r="T626">
        <v>80.03</v>
      </c>
      <c r="U626">
        <v>1.23</v>
      </c>
      <c r="V626">
        <v>39.08</v>
      </c>
      <c r="W626">
        <v>289.01</v>
      </c>
      <c r="X626">
        <v>46.3</v>
      </c>
      <c r="Y626">
        <v>107.67</v>
      </c>
      <c r="Z626">
        <v>22.11</v>
      </c>
      <c r="AA626">
        <v>2.5299999999999998</v>
      </c>
      <c r="AB626">
        <v>264.37</v>
      </c>
      <c r="AC626">
        <v>220.92200557103067</v>
      </c>
      <c r="AD626">
        <v>27.799158780231338</v>
      </c>
      <c r="AE626">
        <v>63.26</v>
      </c>
      <c r="AF626">
        <v>15.72</v>
      </c>
      <c r="AG626">
        <v>1</v>
      </c>
      <c r="AH626">
        <v>12.74</v>
      </c>
      <c r="AI626">
        <v>81.739999999999995</v>
      </c>
      <c r="AJ626">
        <v>228.51</v>
      </c>
      <c r="AK626">
        <v>71.92</v>
      </c>
      <c r="AL626" t="s">
        <v>23</v>
      </c>
      <c r="AM626" t="s">
        <v>24</v>
      </c>
      <c r="AN626" t="str">
        <f t="shared" si="36"/>
        <v>Night</v>
      </c>
      <c r="AO626" t="str">
        <f t="shared" si="37"/>
        <v>Peak</v>
      </c>
      <c r="AP626" t="str">
        <f t="shared" si="38"/>
        <v>Medium</v>
      </c>
      <c r="AQ626" t="str">
        <f t="shared" si="39"/>
        <v>Medium</v>
      </c>
    </row>
    <row r="627" spans="1:43" x14ac:dyDescent="0.3">
      <c r="A627">
        <v>626</v>
      </c>
      <c r="B627" t="s">
        <v>14</v>
      </c>
      <c r="C627" t="s">
        <v>8</v>
      </c>
      <c r="D627" s="1">
        <v>46184</v>
      </c>
      <c r="E627" t="s">
        <v>41</v>
      </c>
      <c r="F627">
        <v>0</v>
      </c>
      <c r="G627">
        <v>9</v>
      </c>
      <c r="H627" t="s">
        <v>49</v>
      </c>
      <c r="I627" t="s">
        <v>28</v>
      </c>
      <c r="J627">
        <v>1.03</v>
      </c>
      <c r="K627" t="s">
        <v>12</v>
      </c>
      <c r="L627">
        <v>0</v>
      </c>
      <c r="M627">
        <v>5</v>
      </c>
      <c r="N627">
        <v>25</v>
      </c>
      <c r="O627" t="s">
        <v>22</v>
      </c>
      <c r="P627">
        <v>11</v>
      </c>
      <c r="Q627">
        <v>3.58</v>
      </c>
      <c r="R627">
        <v>42.4</v>
      </c>
      <c r="S627">
        <v>77.14</v>
      </c>
      <c r="T627">
        <v>38.270000000000003</v>
      </c>
      <c r="U627">
        <v>1</v>
      </c>
      <c r="V627">
        <v>0</v>
      </c>
      <c r="W627">
        <v>115.41</v>
      </c>
      <c r="X627">
        <v>37.299999999999997</v>
      </c>
      <c r="Y627">
        <v>107.29</v>
      </c>
      <c r="Z627">
        <v>10.3</v>
      </c>
      <c r="AA627">
        <v>9.2100000000000009</v>
      </c>
      <c r="AB627">
        <v>95.9</v>
      </c>
      <c r="AC627">
        <v>135.70754716981133</v>
      </c>
      <c r="AD627">
        <v>26.787709497206706</v>
      </c>
      <c r="AE627">
        <v>81.03</v>
      </c>
      <c r="AF627">
        <v>17.88</v>
      </c>
      <c r="AG627">
        <v>0</v>
      </c>
      <c r="AH627">
        <v>1.78</v>
      </c>
      <c r="AI627">
        <v>26.78</v>
      </c>
      <c r="AJ627">
        <v>138.32</v>
      </c>
      <c r="AK627">
        <v>72.08</v>
      </c>
      <c r="AL627" t="s">
        <v>14</v>
      </c>
      <c r="AM627" t="s">
        <v>15</v>
      </c>
      <c r="AN627" t="str">
        <f t="shared" si="36"/>
        <v>Morning</v>
      </c>
      <c r="AO627" t="str">
        <f t="shared" si="37"/>
        <v>Peak</v>
      </c>
      <c r="AP627" t="str">
        <f t="shared" si="38"/>
        <v>Low</v>
      </c>
      <c r="AQ627" t="str">
        <f t="shared" si="39"/>
        <v>Low</v>
      </c>
    </row>
    <row r="628" spans="1:43" x14ac:dyDescent="0.3">
      <c r="A628">
        <v>627</v>
      </c>
      <c r="B628" t="s">
        <v>48</v>
      </c>
      <c r="C628" t="s">
        <v>30</v>
      </c>
      <c r="D628" s="1">
        <v>46052</v>
      </c>
      <c r="E628" t="s">
        <v>9</v>
      </c>
      <c r="F628">
        <v>0</v>
      </c>
      <c r="G628">
        <v>14</v>
      </c>
      <c r="H628" t="s">
        <v>43</v>
      </c>
      <c r="I628" t="s">
        <v>46</v>
      </c>
      <c r="J628">
        <v>1.1499999999999999</v>
      </c>
      <c r="K628" t="s">
        <v>12</v>
      </c>
      <c r="L628">
        <v>0</v>
      </c>
      <c r="M628">
        <v>3.23</v>
      </c>
      <c r="N628">
        <v>27</v>
      </c>
      <c r="O628" t="s">
        <v>22</v>
      </c>
      <c r="P628">
        <v>9</v>
      </c>
      <c r="Q628">
        <v>4.1100000000000003</v>
      </c>
      <c r="R628">
        <v>37.9</v>
      </c>
      <c r="S628">
        <v>76.349999999999994</v>
      </c>
      <c r="T628">
        <v>33.590000000000003</v>
      </c>
      <c r="U628">
        <v>1</v>
      </c>
      <c r="V628">
        <v>0</v>
      </c>
      <c r="W628">
        <v>109.94</v>
      </c>
      <c r="X628">
        <v>48</v>
      </c>
      <c r="Y628">
        <v>102.05</v>
      </c>
      <c r="Z628">
        <v>8.73</v>
      </c>
      <c r="AA628">
        <v>2.88</v>
      </c>
      <c r="AB628">
        <v>98.33</v>
      </c>
      <c r="AC628">
        <v>155.6675461741425</v>
      </c>
      <c r="AD628">
        <v>23.924574209245741</v>
      </c>
      <c r="AE628">
        <v>90.71</v>
      </c>
      <c r="AF628">
        <v>13.28</v>
      </c>
      <c r="AG628">
        <v>0</v>
      </c>
      <c r="AH628">
        <v>-6.41</v>
      </c>
      <c r="AI628">
        <v>20.59</v>
      </c>
      <c r="AJ628">
        <v>146.68</v>
      </c>
      <c r="AK628">
        <v>71.069999999999993</v>
      </c>
      <c r="AL628" t="s">
        <v>14</v>
      </c>
      <c r="AM628" t="s">
        <v>15</v>
      </c>
      <c r="AN628" t="str">
        <f t="shared" si="36"/>
        <v>Afternoon</v>
      </c>
      <c r="AO628" t="str">
        <f t="shared" si="37"/>
        <v>Off-Peak</v>
      </c>
      <c r="AP628" t="str">
        <f t="shared" si="38"/>
        <v>Medium</v>
      </c>
      <c r="AQ628" t="str">
        <f t="shared" si="39"/>
        <v>Low</v>
      </c>
    </row>
    <row r="629" spans="1:43" x14ac:dyDescent="0.3">
      <c r="A629">
        <v>628</v>
      </c>
      <c r="B629" t="s">
        <v>48</v>
      </c>
      <c r="C629" t="s">
        <v>30</v>
      </c>
      <c r="D629" s="1">
        <v>46215</v>
      </c>
      <c r="E629" t="s">
        <v>26</v>
      </c>
      <c r="F629">
        <v>1</v>
      </c>
      <c r="G629">
        <v>16</v>
      </c>
      <c r="H629" t="s">
        <v>32</v>
      </c>
      <c r="I629" t="s">
        <v>28</v>
      </c>
      <c r="J629">
        <v>1.03</v>
      </c>
      <c r="K629" t="s">
        <v>34</v>
      </c>
      <c r="L629">
        <v>1</v>
      </c>
      <c r="M629">
        <v>3.2</v>
      </c>
      <c r="N629">
        <v>36</v>
      </c>
      <c r="O629" t="s">
        <v>35</v>
      </c>
      <c r="P629">
        <v>10</v>
      </c>
      <c r="Q629">
        <v>4.96</v>
      </c>
      <c r="R629">
        <v>44.9</v>
      </c>
      <c r="S629">
        <v>87.83</v>
      </c>
      <c r="T629">
        <v>39.909999999999997</v>
      </c>
      <c r="U629">
        <v>1</v>
      </c>
      <c r="V629">
        <v>0</v>
      </c>
      <c r="W629">
        <v>127.74</v>
      </c>
      <c r="X629">
        <v>38.6</v>
      </c>
      <c r="Y629">
        <v>104.76</v>
      </c>
      <c r="Z629">
        <v>13.46</v>
      </c>
      <c r="AA629">
        <v>10.48</v>
      </c>
      <c r="AB629">
        <v>103.8</v>
      </c>
      <c r="AC629">
        <v>138.70824053452117</v>
      </c>
      <c r="AD629">
        <v>20.927419354838708</v>
      </c>
      <c r="AE629">
        <v>72.819999999999993</v>
      </c>
      <c r="AF629">
        <v>14.76</v>
      </c>
      <c r="AG629">
        <v>1</v>
      </c>
      <c r="AH629">
        <v>-1.63</v>
      </c>
      <c r="AI629">
        <v>34.369999999999997</v>
      </c>
      <c r="AJ629">
        <v>137.27000000000001</v>
      </c>
      <c r="AK629">
        <v>75.31</v>
      </c>
      <c r="AL629" t="s">
        <v>23</v>
      </c>
      <c r="AM629" t="s">
        <v>24</v>
      </c>
      <c r="AN629" t="str">
        <f t="shared" si="36"/>
        <v>Evening</v>
      </c>
      <c r="AO629" t="str">
        <f t="shared" si="37"/>
        <v>Off-Peak</v>
      </c>
      <c r="AP629" t="str">
        <f t="shared" si="38"/>
        <v>Low</v>
      </c>
      <c r="AQ629" t="str">
        <f t="shared" si="39"/>
        <v>Medium</v>
      </c>
    </row>
    <row r="630" spans="1:43" x14ac:dyDescent="0.3">
      <c r="A630">
        <v>629</v>
      </c>
      <c r="B630" t="s">
        <v>29</v>
      </c>
      <c r="C630" t="s">
        <v>30</v>
      </c>
      <c r="D630" s="1">
        <v>46080</v>
      </c>
      <c r="E630" t="s">
        <v>9</v>
      </c>
      <c r="F630">
        <v>0</v>
      </c>
      <c r="G630">
        <v>12</v>
      </c>
      <c r="H630" t="s">
        <v>43</v>
      </c>
      <c r="I630" t="s">
        <v>37</v>
      </c>
      <c r="J630">
        <v>1.02</v>
      </c>
      <c r="K630" t="s">
        <v>12</v>
      </c>
      <c r="L630">
        <v>0</v>
      </c>
      <c r="M630">
        <v>4.1399999999999997</v>
      </c>
      <c r="N630">
        <v>21</v>
      </c>
      <c r="O630" t="s">
        <v>22</v>
      </c>
      <c r="P630">
        <v>6</v>
      </c>
      <c r="Q630">
        <v>4.67</v>
      </c>
      <c r="R630">
        <v>39.9</v>
      </c>
      <c r="S630">
        <v>97.77</v>
      </c>
      <c r="T630">
        <v>25.71</v>
      </c>
      <c r="U630">
        <v>1</v>
      </c>
      <c r="V630">
        <v>0</v>
      </c>
      <c r="W630">
        <v>123.48</v>
      </c>
      <c r="X630">
        <v>37.4</v>
      </c>
      <c r="Y630">
        <v>100.97</v>
      </c>
      <c r="Z630">
        <v>12.61</v>
      </c>
      <c r="AA630">
        <v>4.0199999999999996</v>
      </c>
      <c r="AB630">
        <v>106.85</v>
      </c>
      <c r="AC630">
        <v>160.67669172932332</v>
      </c>
      <c r="AD630">
        <v>22.880085653104924</v>
      </c>
      <c r="AE630">
        <v>80.510000000000005</v>
      </c>
      <c r="AF630">
        <v>18.88</v>
      </c>
      <c r="AG630">
        <v>0</v>
      </c>
      <c r="AH630">
        <v>36.090000000000003</v>
      </c>
      <c r="AI630">
        <v>57.09</v>
      </c>
      <c r="AJ630">
        <v>155.27000000000001</v>
      </c>
      <c r="AK630">
        <v>60</v>
      </c>
      <c r="AL630" t="s">
        <v>14</v>
      </c>
      <c r="AM630" t="s">
        <v>15</v>
      </c>
      <c r="AN630" t="str">
        <f t="shared" si="36"/>
        <v>Afternoon</v>
      </c>
      <c r="AO630" t="str">
        <f t="shared" si="37"/>
        <v>Off-Peak</v>
      </c>
      <c r="AP630" t="str">
        <f t="shared" si="38"/>
        <v>Medium</v>
      </c>
      <c r="AQ630" t="str">
        <f t="shared" si="39"/>
        <v>Low</v>
      </c>
    </row>
    <row r="631" spans="1:43" x14ac:dyDescent="0.3">
      <c r="A631">
        <v>630</v>
      </c>
      <c r="B631" t="s">
        <v>48</v>
      </c>
      <c r="C631" t="s">
        <v>30</v>
      </c>
      <c r="D631" s="1">
        <v>46253</v>
      </c>
      <c r="E631" t="s">
        <v>18</v>
      </c>
      <c r="F631">
        <v>0</v>
      </c>
      <c r="G631">
        <v>7</v>
      </c>
      <c r="H631" t="s">
        <v>47</v>
      </c>
      <c r="I631" t="s">
        <v>28</v>
      </c>
      <c r="J631">
        <v>1.03</v>
      </c>
      <c r="K631" t="s">
        <v>12</v>
      </c>
      <c r="L631">
        <v>0</v>
      </c>
      <c r="M631">
        <v>1.53</v>
      </c>
      <c r="N631">
        <v>15</v>
      </c>
      <c r="O631" t="s">
        <v>22</v>
      </c>
      <c r="P631">
        <v>4</v>
      </c>
      <c r="Q631">
        <v>5.93</v>
      </c>
      <c r="R631">
        <v>42.4</v>
      </c>
      <c r="S631">
        <v>100.98</v>
      </c>
      <c r="T631">
        <v>23.53</v>
      </c>
      <c r="U631">
        <v>1</v>
      </c>
      <c r="V631">
        <v>0</v>
      </c>
      <c r="W631">
        <v>124.51</v>
      </c>
      <c r="X631">
        <v>36.1</v>
      </c>
      <c r="Y631">
        <v>107.16</v>
      </c>
      <c r="Z631">
        <v>17.62</v>
      </c>
      <c r="AA631">
        <v>9.35</v>
      </c>
      <c r="AB631">
        <v>97.54</v>
      </c>
      <c r="AC631">
        <v>138.02830188679246</v>
      </c>
      <c r="AD631">
        <v>16.448566610455313</v>
      </c>
      <c r="AE631">
        <v>85.08</v>
      </c>
      <c r="AF631">
        <v>15.27</v>
      </c>
      <c r="AG631">
        <v>0</v>
      </c>
      <c r="AH631">
        <v>21.29</v>
      </c>
      <c r="AI631">
        <v>36.29</v>
      </c>
      <c r="AJ631">
        <v>133.16</v>
      </c>
      <c r="AK631">
        <v>61.05</v>
      </c>
      <c r="AL631" t="s">
        <v>23</v>
      </c>
      <c r="AM631" t="s">
        <v>24</v>
      </c>
      <c r="AN631" t="str">
        <f t="shared" si="36"/>
        <v>Morning</v>
      </c>
      <c r="AO631" t="str">
        <f t="shared" si="37"/>
        <v>Peak</v>
      </c>
      <c r="AP631" t="str">
        <f t="shared" si="38"/>
        <v>Low</v>
      </c>
      <c r="AQ631" t="str">
        <f t="shared" si="39"/>
        <v>Low</v>
      </c>
    </row>
    <row r="632" spans="1:43" x14ac:dyDescent="0.3">
      <c r="A632">
        <v>631</v>
      </c>
      <c r="B632" t="s">
        <v>16</v>
      </c>
      <c r="C632" t="s">
        <v>17</v>
      </c>
      <c r="D632" s="1">
        <v>46211</v>
      </c>
      <c r="E632" t="s">
        <v>18</v>
      </c>
      <c r="F632">
        <v>0</v>
      </c>
      <c r="G632">
        <v>8</v>
      </c>
      <c r="H632" t="s">
        <v>27</v>
      </c>
      <c r="I632" t="s">
        <v>50</v>
      </c>
      <c r="J632">
        <v>1.2</v>
      </c>
      <c r="K632" t="s">
        <v>21</v>
      </c>
      <c r="L632">
        <v>0</v>
      </c>
      <c r="M632">
        <v>4.18</v>
      </c>
      <c r="N632">
        <v>57</v>
      </c>
      <c r="O632" t="s">
        <v>35</v>
      </c>
      <c r="P632">
        <v>10</v>
      </c>
      <c r="Q632">
        <v>6.35</v>
      </c>
      <c r="R632">
        <v>46.6</v>
      </c>
      <c r="S632">
        <v>133.85</v>
      </c>
      <c r="T632">
        <v>67.98</v>
      </c>
      <c r="U632">
        <v>1.27</v>
      </c>
      <c r="V632">
        <v>36.14</v>
      </c>
      <c r="W632">
        <v>237.97</v>
      </c>
      <c r="X632">
        <v>45.7</v>
      </c>
      <c r="Y632">
        <v>107.93</v>
      </c>
      <c r="Z632">
        <v>15.02</v>
      </c>
      <c r="AA632">
        <v>7.92</v>
      </c>
      <c r="AB632">
        <v>215.03</v>
      </c>
      <c r="AC632">
        <v>276.86266094420597</v>
      </c>
      <c r="AD632">
        <v>33.862992125984256</v>
      </c>
      <c r="AE632">
        <v>78.23</v>
      </c>
      <c r="AF632">
        <v>16.8</v>
      </c>
      <c r="AG632">
        <v>1</v>
      </c>
      <c r="AH632">
        <v>25.03</v>
      </c>
      <c r="AI632">
        <v>82.03</v>
      </c>
      <c r="AJ632">
        <v>279.93</v>
      </c>
      <c r="AK632">
        <v>74.97</v>
      </c>
      <c r="AL632" t="s">
        <v>23</v>
      </c>
      <c r="AM632" t="s">
        <v>24</v>
      </c>
      <c r="AN632" t="str">
        <f t="shared" si="36"/>
        <v>Morning</v>
      </c>
      <c r="AO632" t="str">
        <f t="shared" si="37"/>
        <v>Peak</v>
      </c>
      <c r="AP632" t="str">
        <f t="shared" si="38"/>
        <v>High</v>
      </c>
      <c r="AQ632" t="str">
        <f t="shared" si="39"/>
        <v>Medium</v>
      </c>
    </row>
    <row r="633" spans="1:43" x14ac:dyDescent="0.3">
      <c r="A633">
        <v>632</v>
      </c>
      <c r="B633" t="s">
        <v>48</v>
      </c>
      <c r="C633" t="s">
        <v>30</v>
      </c>
      <c r="D633" s="1">
        <v>46093</v>
      </c>
      <c r="E633" t="s">
        <v>41</v>
      </c>
      <c r="F633">
        <v>0</v>
      </c>
      <c r="G633">
        <v>21</v>
      </c>
      <c r="H633" t="s">
        <v>36</v>
      </c>
      <c r="I633" t="s">
        <v>28</v>
      </c>
      <c r="J633">
        <v>1.03</v>
      </c>
      <c r="K633" t="s">
        <v>12</v>
      </c>
      <c r="L633">
        <v>0</v>
      </c>
      <c r="M633">
        <v>4.5999999999999996</v>
      </c>
      <c r="N633">
        <v>40</v>
      </c>
      <c r="O633" t="s">
        <v>35</v>
      </c>
      <c r="P633">
        <v>7</v>
      </c>
      <c r="Q633">
        <v>2.44</v>
      </c>
      <c r="R633">
        <v>37</v>
      </c>
      <c r="S633">
        <v>68.37</v>
      </c>
      <c r="T633">
        <v>45.13</v>
      </c>
      <c r="U633">
        <v>1</v>
      </c>
      <c r="V633">
        <v>0</v>
      </c>
      <c r="W633">
        <v>113.5</v>
      </c>
      <c r="X633">
        <v>37.799999999999997</v>
      </c>
      <c r="Y633">
        <v>108.94</v>
      </c>
      <c r="Z633">
        <v>7.04</v>
      </c>
      <c r="AA633">
        <v>5.86</v>
      </c>
      <c r="AB633">
        <v>100.6</v>
      </c>
      <c r="AC633">
        <v>163.13513513513513</v>
      </c>
      <c r="AD633">
        <v>41.229508196721312</v>
      </c>
      <c r="AE633">
        <v>75</v>
      </c>
      <c r="AF633">
        <v>18.59</v>
      </c>
      <c r="AG633">
        <v>0</v>
      </c>
      <c r="AH633">
        <v>-23.28</v>
      </c>
      <c r="AI633">
        <v>16.72</v>
      </c>
      <c r="AJ633">
        <v>129.46</v>
      </c>
      <c r="AK633">
        <v>70.239999999999995</v>
      </c>
      <c r="AL633" t="s">
        <v>14</v>
      </c>
      <c r="AM633" t="s">
        <v>15</v>
      </c>
      <c r="AN633" t="str">
        <f t="shared" si="36"/>
        <v>Night</v>
      </c>
      <c r="AO633" t="str">
        <f t="shared" si="37"/>
        <v>Off-Peak</v>
      </c>
      <c r="AP633" t="str">
        <f t="shared" si="38"/>
        <v>Medium</v>
      </c>
      <c r="AQ633" t="str">
        <f t="shared" si="39"/>
        <v>Medium</v>
      </c>
    </row>
    <row r="634" spans="1:43" x14ac:dyDescent="0.3">
      <c r="A634">
        <v>633</v>
      </c>
      <c r="B634" t="s">
        <v>29</v>
      </c>
      <c r="C634" t="s">
        <v>30</v>
      </c>
      <c r="D634" s="1">
        <v>46168</v>
      </c>
      <c r="E634" t="s">
        <v>44</v>
      </c>
      <c r="F634">
        <v>0</v>
      </c>
      <c r="G634">
        <v>16</v>
      </c>
      <c r="H634" t="s">
        <v>32</v>
      </c>
      <c r="I634" t="s">
        <v>39</v>
      </c>
      <c r="J634">
        <v>1.05</v>
      </c>
      <c r="K634" t="s">
        <v>12</v>
      </c>
      <c r="L634">
        <v>0</v>
      </c>
      <c r="M634">
        <v>2.91</v>
      </c>
      <c r="N634">
        <v>29</v>
      </c>
      <c r="O634" t="s">
        <v>22</v>
      </c>
      <c r="P634">
        <v>7</v>
      </c>
      <c r="Q634">
        <v>1.52</v>
      </c>
      <c r="R634">
        <v>20.6</v>
      </c>
      <c r="S634">
        <v>63.95</v>
      </c>
      <c r="T634">
        <v>39.75</v>
      </c>
      <c r="U634">
        <v>1</v>
      </c>
      <c r="V634">
        <v>0</v>
      </c>
      <c r="W634">
        <v>103.7</v>
      </c>
      <c r="X634">
        <v>38</v>
      </c>
      <c r="Y634">
        <v>108.86</v>
      </c>
      <c r="Z634">
        <v>4.3600000000000003</v>
      </c>
      <c r="AA634">
        <v>4.68</v>
      </c>
      <c r="AB634">
        <v>94.66</v>
      </c>
      <c r="AC634">
        <v>275.70873786407765</v>
      </c>
      <c r="AD634">
        <v>62.276315789473678</v>
      </c>
      <c r="AE634">
        <v>72.349999999999994</v>
      </c>
      <c r="AF634">
        <v>17.899999999999999</v>
      </c>
      <c r="AG634">
        <v>0</v>
      </c>
      <c r="AH634">
        <v>0.73</v>
      </c>
      <c r="AI634">
        <v>29.73</v>
      </c>
      <c r="AJ634">
        <v>276.88</v>
      </c>
      <c r="AK634">
        <v>70.81</v>
      </c>
      <c r="AL634" t="s">
        <v>14</v>
      </c>
      <c r="AM634" t="s">
        <v>15</v>
      </c>
      <c r="AN634" t="str">
        <f t="shared" si="36"/>
        <v>Evening</v>
      </c>
      <c r="AO634" t="str">
        <f t="shared" si="37"/>
        <v>Off-Peak</v>
      </c>
      <c r="AP634" t="str">
        <f t="shared" si="38"/>
        <v>High</v>
      </c>
      <c r="AQ634" t="str">
        <f t="shared" si="39"/>
        <v>Low</v>
      </c>
    </row>
    <row r="635" spans="1:43" x14ac:dyDescent="0.3">
      <c r="A635">
        <v>634</v>
      </c>
      <c r="B635" t="s">
        <v>48</v>
      </c>
      <c r="C635" t="s">
        <v>30</v>
      </c>
      <c r="D635" s="1">
        <v>46051</v>
      </c>
      <c r="E635" t="s">
        <v>41</v>
      </c>
      <c r="F635">
        <v>0</v>
      </c>
      <c r="G635">
        <v>11</v>
      </c>
      <c r="H635" t="s">
        <v>43</v>
      </c>
      <c r="I635" t="s">
        <v>45</v>
      </c>
      <c r="J635">
        <v>1</v>
      </c>
      <c r="K635" t="s">
        <v>12</v>
      </c>
      <c r="L635">
        <v>0</v>
      </c>
      <c r="M635">
        <v>1.61</v>
      </c>
      <c r="N635">
        <v>22</v>
      </c>
      <c r="O635" t="s">
        <v>22</v>
      </c>
      <c r="P635">
        <v>8</v>
      </c>
      <c r="Q635">
        <v>1.69</v>
      </c>
      <c r="R635">
        <v>16.399999999999999</v>
      </c>
      <c r="S635">
        <v>58.88</v>
      </c>
      <c r="T635">
        <v>24.57</v>
      </c>
      <c r="U635">
        <v>1</v>
      </c>
      <c r="V635">
        <v>0</v>
      </c>
      <c r="W635">
        <v>83.45</v>
      </c>
      <c r="X635">
        <v>37.5</v>
      </c>
      <c r="Y635">
        <v>103.38</v>
      </c>
      <c r="Z635">
        <v>4.6399999999999997</v>
      </c>
      <c r="AA635">
        <v>2.57</v>
      </c>
      <c r="AB635">
        <v>76.239999999999995</v>
      </c>
      <c r="AC635">
        <v>278.92682926829269</v>
      </c>
      <c r="AD635">
        <v>45.112426035502956</v>
      </c>
      <c r="AE635">
        <v>78.06</v>
      </c>
      <c r="AF635">
        <v>13.8</v>
      </c>
      <c r="AG635">
        <v>0</v>
      </c>
      <c r="AH635">
        <v>-6.67</v>
      </c>
      <c r="AI635">
        <v>15.33</v>
      </c>
      <c r="AJ635">
        <v>270.18</v>
      </c>
      <c r="AK635">
        <v>68.08</v>
      </c>
      <c r="AL635" t="s">
        <v>14</v>
      </c>
      <c r="AM635" t="s">
        <v>15</v>
      </c>
      <c r="AN635" t="str">
        <f t="shared" si="36"/>
        <v>Afternoon</v>
      </c>
      <c r="AO635" t="str">
        <f t="shared" si="37"/>
        <v>Off-Peak</v>
      </c>
      <c r="AP635" t="str">
        <f t="shared" si="38"/>
        <v>High</v>
      </c>
      <c r="AQ635" t="str">
        <f t="shared" si="39"/>
        <v>Low</v>
      </c>
    </row>
    <row r="636" spans="1:43" x14ac:dyDescent="0.3">
      <c r="A636">
        <v>635</v>
      </c>
      <c r="B636" t="s">
        <v>14</v>
      </c>
      <c r="C636" t="s">
        <v>8</v>
      </c>
      <c r="D636" s="1">
        <v>46048</v>
      </c>
      <c r="E636" t="s">
        <v>38</v>
      </c>
      <c r="F636">
        <v>0</v>
      </c>
      <c r="G636">
        <v>11</v>
      </c>
      <c r="H636" t="s">
        <v>10</v>
      </c>
      <c r="I636" t="s">
        <v>20</v>
      </c>
      <c r="J636">
        <v>1.25</v>
      </c>
      <c r="K636" t="s">
        <v>34</v>
      </c>
      <c r="L636">
        <v>1</v>
      </c>
      <c r="M636">
        <v>3.18</v>
      </c>
      <c r="N636">
        <v>39</v>
      </c>
      <c r="O636" t="s">
        <v>35</v>
      </c>
      <c r="P636">
        <v>19</v>
      </c>
      <c r="Q636">
        <v>8.83</v>
      </c>
      <c r="R636">
        <v>68.7</v>
      </c>
      <c r="S636">
        <v>121.38</v>
      </c>
      <c r="T636">
        <v>10.66</v>
      </c>
      <c r="U636">
        <v>1</v>
      </c>
      <c r="V636">
        <v>0</v>
      </c>
      <c r="W636">
        <v>132.04</v>
      </c>
      <c r="X636">
        <v>39.6</v>
      </c>
      <c r="Y636">
        <v>102.55</v>
      </c>
      <c r="Z636">
        <v>22.89</v>
      </c>
      <c r="AA636">
        <v>5.53</v>
      </c>
      <c r="AB636">
        <v>103.62</v>
      </c>
      <c r="AC636">
        <v>90.497816593886469</v>
      </c>
      <c r="AD636">
        <v>11.734994337485844</v>
      </c>
      <c r="AE636">
        <v>82.12</v>
      </c>
      <c r="AF636">
        <v>18.14</v>
      </c>
      <c r="AG636">
        <v>0</v>
      </c>
      <c r="AH636">
        <v>11.16</v>
      </c>
      <c r="AI636">
        <v>50.16</v>
      </c>
      <c r="AJ636">
        <v>67.47</v>
      </c>
      <c r="AK636">
        <v>68.05</v>
      </c>
      <c r="AL636" t="s">
        <v>14</v>
      </c>
      <c r="AM636" t="s">
        <v>15</v>
      </c>
      <c r="AN636" t="str">
        <f t="shared" si="36"/>
        <v>Afternoon</v>
      </c>
      <c r="AO636" t="str">
        <f t="shared" si="37"/>
        <v>Off-Peak</v>
      </c>
      <c r="AP636" t="str">
        <f t="shared" si="38"/>
        <v>Low</v>
      </c>
      <c r="AQ636" t="str">
        <f t="shared" si="39"/>
        <v>Medium</v>
      </c>
    </row>
    <row r="637" spans="1:43" x14ac:dyDescent="0.3">
      <c r="A637">
        <v>636</v>
      </c>
      <c r="B637" t="s">
        <v>25</v>
      </c>
      <c r="C637" t="s">
        <v>17</v>
      </c>
      <c r="D637" s="1">
        <v>46269</v>
      </c>
      <c r="E637" t="s">
        <v>9</v>
      </c>
      <c r="F637">
        <v>0</v>
      </c>
      <c r="G637">
        <v>7</v>
      </c>
      <c r="H637" t="s">
        <v>27</v>
      </c>
      <c r="I637" t="s">
        <v>46</v>
      </c>
      <c r="J637">
        <v>1.1499999999999999</v>
      </c>
      <c r="K637" t="s">
        <v>21</v>
      </c>
      <c r="L637">
        <v>0</v>
      </c>
      <c r="M637">
        <v>5</v>
      </c>
      <c r="N637">
        <v>74</v>
      </c>
      <c r="O637" t="s">
        <v>13</v>
      </c>
      <c r="P637">
        <v>18</v>
      </c>
      <c r="Q637">
        <v>3.36</v>
      </c>
      <c r="R637">
        <v>43.4</v>
      </c>
      <c r="S637">
        <v>104.58</v>
      </c>
      <c r="T637">
        <v>100</v>
      </c>
      <c r="U637">
        <v>1.21</v>
      </c>
      <c r="V637">
        <v>21.96</v>
      </c>
      <c r="W637">
        <v>226.54</v>
      </c>
      <c r="X637">
        <v>49.1</v>
      </c>
      <c r="Y637">
        <v>108.97</v>
      </c>
      <c r="Z637">
        <v>7.46</v>
      </c>
      <c r="AA637">
        <v>4.01</v>
      </c>
      <c r="AB637">
        <v>215.07</v>
      </c>
      <c r="AC637">
        <v>297.33179723502303</v>
      </c>
      <c r="AD637">
        <v>64.008928571428569</v>
      </c>
      <c r="AE637">
        <v>81.61</v>
      </c>
      <c r="AF637">
        <v>15.46</v>
      </c>
      <c r="AG637">
        <v>1</v>
      </c>
      <c r="AH637">
        <v>18.899999999999999</v>
      </c>
      <c r="AI637">
        <v>92.9</v>
      </c>
      <c r="AJ637">
        <v>299.91000000000003</v>
      </c>
      <c r="AK637">
        <v>72.989999999999995</v>
      </c>
      <c r="AL637" t="s">
        <v>23</v>
      </c>
      <c r="AM637" t="s">
        <v>24</v>
      </c>
      <c r="AN637" t="str">
        <f t="shared" si="36"/>
        <v>Morning</v>
      </c>
      <c r="AO637" t="str">
        <f t="shared" si="37"/>
        <v>Peak</v>
      </c>
      <c r="AP637" t="str">
        <f t="shared" si="38"/>
        <v>High</v>
      </c>
      <c r="AQ637" t="str">
        <f t="shared" si="39"/>
        <v>High</v>
      </c>
    </row>
    <row r="638" spans="1:43" x14ac:dyDescent="0.3">
      <c r="A638">
        <v>637</v>
      </c>
      <c r="B638" t="s">
        <v>14</v>
      </c>
      <c r="C638" t="s">
        <v>8</v>
      </c>
      <c r="D638" s="1">
        <v>46230</v>
      </c>
      <c r="E638" t="s">
        <v>38</v>
      </c>
      <c r="F638">
        <v>0</v>
      </c>
      <c r="G638">
        <v>22</v>
      </c>
      <c r="H638" t="s">
        <v>51</v>
      </c>
      <c r="I638" t="s">
        <v>28</v>
      </c>
      <c r="J638">
        <v>1.03</v>
      </c>
      <c r="K638" t="s">
        <v>12</v>
      </c>
      <c r="L638">
        <v>0</v>
      </c>
      <c r="M638">
        <v>3.3</v>
      </c>
      <c r="N638">
        <v>35</v>
      </c>
      <c r="O638" t="s">
        <v>22</v>
      </c>
      <c r="P638">
        <v>10</v>
      </c>
      <c r="Q638">
        <v>6.87</v>
      </c>
      <c r="R638">
        <v>53.1</v>
      </c>
      <c r="S638">
        <v>107.18</v>
      </c>
      <c r="T638">
        <v>33.520000000000003</v>
      </c>
      <c r="U638">
        <v>1</v>
      </c>
      <c r="V638">
        <v>0</v>
      </c>
      <c r="W638">
        <v>140.69999999999999</v>
      </c>
      <c r="X638">
        <v>42.3</v>
      </c>
      <c r="Y638">
        <v>101.46</v>
      </c>
      <c r="Z638">
        <v>16.47</v>
      </c>
      <c r="AA638">
        <v>3.36</v>
      </c>
      <c r="AB638">
        <v>120.87</v>
      </c>
      <c r="AC638">
        <v>136.57627118644069</v>
      </c>
      <c r="AD638">
        <v>17.593886462882097</v>
      </c>
      <c r="AE638">
        <v>78.22</v>
      </c>
      <c r="AF638">
        <v>15.58</v>
      </c>
      <c r="AG638">
        <v>0</v>
      </c>
      <c r="AH638">
        <v>7.9</v>
      </c>
      <c r="AI638">
        <v>42.9</v>
      </c>
      <c r="AJ638">
        <v>130.76</v>
      </c>
      <c r="AK638">
        <v>66.2</v>
      </c>
      <c r="AL638" t="s">
        <v>14</v>
      </c>
      <c r="AM638" t="s">
        <v>15</v>
      </c>
      <c r="AN638" t="str">
        <f t="shared" si="36"/>
        <v>Night</v>
      </c>
      <c r="AO638" t="str">
        <f t="shared" si="37"/>
        <v>Off-Peak</v>
      </c>
      <c r="AP638" t="str">
        <f t="shared" si="38"/>
        <v>Low</v>
      </c>
      <c r="AQ638" t="str">
        <f t="shared" si="39"/>
        <v>Low</v>
      </c>
    </row>
    <row r="639" spans="1:43" x14ac:dyDescent="0.3">
      <c r="A639">
        <v>638</v>
      </c>
      <c r="B639" t="s">
        <v>48</v>
      </c>
      <c r="C639" t="s">
        <v>30</v>
      </c>
      <c r="D639" s="1">
        <v>46062</v>
      </c>
      <c r="E639" t="s">
        <v>38</v>
      </c>
      <c r="F639">
        <v>0</v>
      </c>
      <c r="G639">
        <v>8</v>
      </c>
      <c r="H639" t="s">
        <v>47</v>
      </c>
      <c r="I639" t="s">
        <v>50</v>
      </c>
      <c r="J639">
        <v>1.2</v>
      </c>
      <c r="K639" t="s">
        <v>12</v>
      </c>
      <c r="L639">
        <v>0</v>
      </c>
      <c r="M639">
        <v>2.33</v>
      </c>
      <c r="N639">
        <v>16</v>
      </c>
      <c r="O639" t="s">
        <v>22</v>
      </c>
      <c r="P639">
        <v>4</v>
      </c>
      <c r="Q639">
        <v>6.47</v>
      </c>
      <c r="R639">
        <v>36.4</v>
      </c>
      <c r="S639">
        <v>100.46</v>
      </c>
      <c r="T639">
        <v>11.17</v>
      </c>
      <c r="U639">
        <v>1</v>
      </c>
      <c r="V639">
        <v>0</v>
      </c>
      <c r="W639">
        <v>111.63</v>
      </c>
      <c r="X639">
        <v>38.9</v>
      </c>
      <c r="Y639">
        <v>100.59</v>
      </c>
      <c r="Z639">
        <v>16.73</v>
      </c>
      <c r="AA639">
        <v>9.3800000000000008</v>
      </c>
      <c r="AB639">
        <v>85.52</v>
      </c>
      <c r="AC639">
        <v>140.96703296703296</v>
      </c>
      <c r="AD639">
        <v>13.217928902627511</v>
      </c>
      <c r="AE639">
        <v>72.87</v>
      </c>
      <c r="AF639">
        <v>13.97</v>
      </c>
      <c r="AG639">
        <v>0</v>
      </c>
      <c r="AH639">
        <v>-10.09</v>
      </c>
      <c r="AI639">
        <v>5.91</v>
      </c>
      <c r="AJ639">
        <v>160.15</v>
      </c>
      <c r="AK639">
        <v>63.21</v>
      </c>
      <c r="AL639" t="s">
        <v>23</v>
      </c>
      <c r="AM639" t="s">
        <v>24</v>
      </c>
      <c r="AN639" t="str">
        <f t="shared" si="36"/>
        <v>Morning</v>
      </c>
      <c r="AO639" t="str">
        <f t="shared" si="37"/>
        <v>Peak</v>
      </c>
      <c r="AP639" t="str">
        <f t="shared" si="38"/>
        <v>Low</v>
      </c>
      <c r="AQ639" t="str">
        <f t="shared" si="39"/>
        <v>Low</v>
      </c>
    </row>
    <row r="640" spans="1:43" x14ac:dyDescent="0.3">
      <c r="A640">
        <v>639</v>
      </c>
      <c r="B640" t="s">
        <v>16</v>
      </c>
      <c r="C640" t="s">
        <v>17</v>
      </c>
      <c r="D640" s="1">
        <v>46095</v>
      </c>
      <c r="E640" t="s">
        <v>31</v>
      </c>
      <c r="F640">
        <v>1</v>
      </c>
      <c r="G640">
        <v>19</v>
      </c>
      <c r="H640" t="s">
        <v>40</v>
      </c>
      <c r="I640" t="s">
        <v>42</v>
      </c>
      <c r="J640">
        <v>1.08</v>
      </c>
      <c r="K640" t="s">
        <v>12</v>
      </c>
      <c r="L640">
        <v>0</v>
      </c>
      <c r="M640">
        <v>3.55</v>
      </c>
      <c r="N640">
        <v>89</v>
      </c>
      <c r="O640" t="s">
        <v>13</v>
      </c>
      <c r="P640">
        <v>18</v>
      </c>
      <c r="Q640">
        <v>4.1100000000000003</v>
      </c>
      <c r="R640">
        <v>37.700000000000003</v>
      </c>
      <c r="S640">
        <v>104.77</v>
      </c>
      <c r="T640">
        <v>93.86</v>
      </c>
      <c r="U640">
        <v>1.26</v>
      </c>
      <c r="V640">
        <v>27.24</v>
      </c>
      <c r="W640">
        <v>225.87</v>
      </c>
      <c r="X640">
        <v>37.6</v>
      </c>
      <c r="Y640">
        <v>103.14</v>
      </c>
      <c r="Z640">
        <v>11.28</v>
      </c>
      <c r="AA640">
        <v>4.13</v>
      </c>
      <c r="AB640">
        <v>210.46</v>
      </c>
      <c r="AC640">
        <v>334.9496021220159</v>
      </c>
      <c r="AD640">
        <v>51.206812652068123</v>
      </c>
      <c r="AE640">
        <v>66.38</v>
      </c>
      <c r="AF640">
        <v>15.8</v>
      </c>
      <c r="AG640">
        <v>1</v>
      </c>
      <c r="AH640">
        <v>-6.92</v>
      </c>
      <c r="AI640">
        <v>82.08</v>
      </c>
      <c r="AJ640">
        <v>334.87</v>
      </c>
      <c r="AK640">
        <v>69.91</v>
      </c>
      <c r="AL640" t="s">
        <v>23</v>
      </c>
      <c r="AM640" t="s">
        <v>24</v>
      </c>
      <c r="AN640" t="str">
        <f t="shared" si="36"/>
        <v>Night</v>
      </c>
      <c r="AO640" t="str">
        <f t="shared" si="37"/>
        <v>Peak</v>
      </c>
      <c r="AP640" t="str">
        <f t="shared" si="38"/>
        <v>High</v>
      </c>
      <c r="AQ640" t="str">
        <f t="shared" si="39"/>
        <v>High</v>
      </c>
    </row>
    <row r="641" spans="1:43" x14ac:dyDescent="0.3">
      <c r="A641">
        <v>640</v>
      </c>
      <c r="B641" t="s">
        <v>23</v>
      </c>
      <c r="C641" t="s">
        <v>17</v>
      </c>
      <c r="D641" s="1">
        <v>46073</v>
      </c>
      <c r="E641" t="s">
        <v>9</v>
      </c>
      <c r="F641">
        <v>0</v>
      </c>
      <c r="G641">
        <v>10</v>
      </c>
      <c r="H641" t="s">
        <v>19</v>
      </c>
      <c r="I641" t="s">
        <v>39</v>
      </c>
      <c r="J641">
        <v>1.05</v>
      </c>
      <c r="K641" t="s">
        <v>21</v>
      </c>
      <c r="L641">
        <v>0</v>
      </c>
      <c r="M641">
        <v>2.5499999999999998</v>
      </c>
      <c r="N641">
        <v>34</v>
      </c>
      <c r="O641" t="s">
        <v>22</v>
      </c>
      <c r="P641">
        <v>5</v>
      </c>
      <c r="Q641">
        <v>1.96</v>
      </c>
      <c r="R641">
        <v>29.3</v>
      </c>
      <c r="S641">
        <v>83.29</v>
      </c>
      <c r="T641">
        <v>32.24</v>
      </c>
      <c r="U641">
        <v>1.07</v>
      </c>
      <c r="V641">
        <v>5.83</v>
      </c>
      <c r="W641">
        <v>121.36</v>
      </c>
      <c r="X641">
        <v>35.299999999999997</v>
      </c>
      <c r="Y641">
        <v>107.6</v>
      </c>
      <c r="Z641">
        <v>5.97</v>
      </c>
      <c r="AA641">
        <v>4.2300000000000004</v>
      </c>
      <c r="AB641">
        <v>111.16</v>
      </c>
      <c r="AC641">
        <v>227.63139931740614</v>
      </c>
      <c r="AD641">
        <v>56.714285714285715</v>
      </c>
      <c r="AE641">
        <v>81.900000000000006</v>
      </c>
      <c r="AF641">
        <v>12.61</v>
      </c>
      <c r="AG641">
        <v>0</v>
      </c>
      <c r="AH641">
        <v>12.31</v>
      </c>
      <c r="AI641">
        <v>46.31</v>
      </c>
      <c r="AJ641">
        <v>237.47</v>
      </c>
      <c r="AK641">
        <v>66.58</v>
      </c>
      <c r="AL641" t="s">
        <v>23</v>
      </c>
      <c r="AM641" t="s">
        <v>24</v>
      </c>
      <c r="AN641" t="str">
        <f t="shared" si="36"/>
        <v>Morning</v>
      </c>
      <c r="AO641" t="str">
        <f t="shared" si="37"/>
        <v>Peak</v>
      </c>
      <c r="AP641" t="str">
        <f t="shared" si="38"/>
        <v>Medium</v>
      </c>
      <c r="AQ641" t="str">
        <f t="shared" si="39"/>
        <v>Low</v>
      </c>
    </row>
    <row r="642" spans="1:43" x14ac:dyDescent="0.3">
      <c r="A642">
        <v>641</v>
      </c>
      <c r="B642" t="s">
        <v>25</v>
      </c>
      <c r="C642" t="s">
        <v>17</v>
      </c>
      <c r="D642" s="1">
        <v>46124</v>
      </c>
      <c r="E642" t="s">
        <v>26</v>
      </c>
      <c r="F642">
        <v>1</v>
      </c>
      <c r="G642">
        <v>12</v>
      </c>
      <c r="H642" t="s">
        <v>19</v>
      </c>
      <c r="I642" t="s">
        <v>20</v>
      </c>
      <c r="J642">
        <v>1.25</v>
      </c>
      <c r="K642" t="s">
        <v>12</v>
      </c>
      <c r="L642">
        <v>0</v>
      </c>
      <c r="M642">
        <v>3.29</v>
      </c>
      <c r="N642">
        <v>24</v>
      </c>
      <c r="O642" t="s">
        <v>22</v>
      </c>
      <c r="P642">
        <v>4</v>
      </c>
      <c r="Q642">
        <v>6.58</v>
      </c>
      <c r="R642">
        <v>51.7</v>
      </c>
      <c r="S642">
        <v>135.88999999999999</v>
      </c>
      <c r="T642">
        <v>28.97</v>
      </c>
      <c r="U642">
        <v>1.1299999999999999</v>
      </c>
      <c r="V642">
        <v>17.670000000000002</v>
      </c>
      <c r="W642">
        <v>182.53</v>
      </c>
      <c r="X642">
        <v>40.5</v>
      </c>
      <c r="Y642">
        <v>106.94</v>
      </c>
      <c r="Z642">
        <v>17.38</v>
      </c>
      <c r="AA642">
        <v>5.4</v>
      </c>
      <c r="AB642">
        <v>159.75</v>
      </c>
      <c r="AC642">
        <v>185.39651837524178</v>
      </c>
      <c r="AD642">
        <v>24.278115501519757</v>
      </c>
      <c r="AE642">
        <v>63.64</v>
      </c>
      <c r="AF642">
        <v>15.45</v>
      </c>
      <c r="AG642">
        <v>1</v>
      </c>
      <c r="AH642">
        <v>13.8</v>
      </c>
      <c r="AI642">
        <v>37.799999999999997</v>
      </c>
      <c r="AJ642">
        <v>206.01</v>
      </c>
      <c r="AK642">
        <v>70.34</v>
      </c>
      <c r="AL642" t="s">
        <v>14</v>
      </c>
      <c r="AM642" t="s">
        <v>15</v>
      </c>
      <c r="AN642" t="str">
        <f t="shared" si="36"/>
        <v>Afternoon</v>
      </c>
      <c r="AO642" t="str">
        <f t="shared" si="37"/>
        <v>Off-Peak</v>
      </c>
      <c r="AP642" t="str">
        <f t="shared" si="38"/>
        <v>Medium</v>
      </c>
      <c r="AQ642" t="str">
        <f t="shared" si="39"/>
        <v>Low</v>
      </c>
    </row>
    <row r="643" spans="1:43" x14ac:dyDescent="0.3">
      <c r="A643">
        <v>642</v>
      </c>
      <c r="B643" t="s">
        <v>23</v>
      </c>
      <c r="C643" t="s">
        <v>17</v>
      </c>
      <c r="D643" s="1">
        <v>46098</v>
      </c>
      <c r="E643" t="s">
        <v>44</v>
      </c>
      <c r="F643">
        <v>0</v>
      </c>
      <c r="G643">
        <v>11</v>
      </c>
      <c r="H643" t="s">
        <v>19</v>
      </c>
      <c r="I643" t="s">
        <v>45</v>
      </c>
      <c r="J643">
        <v>1</v>
      </c>
      <c r="K643" t="s">
        <v>34</v>
      </c>
      <c r="L643">
        <v>1</v>
      </c>
      <c r="M643">
        <v>4.57</v>
      </c>
      <c r="N643">
        <v>39</v>
      </c>
      <c r="O643" t="s">
        <v>35</v>
      </c>
      <c r="P643">
        <v>9</v>
      </c>
      <c r="Q643">
        <v>4</v>
      </c>
      <c r="R643">
        <v>33.5</v>
      </c>
      <c r="S643">
        <v>100.04</v>
      </c>
      <c r="T643">
        <v>32.729999999999997</v>
      </c>
      <c r="U643">
        <v>1.2</v>
      </c>
      <c r="V643">
        <v>20.010000000000002</v>
      </c>
      <c r="W643">
        <v>152.78</v>
      </c>
      <c r="X643">
        <v>36.700000000000003</v>
      </c>
      <c r="Y643">
        <v>109.87</v>
      </c>
      <c r="Z643">
        <v>12</v>
      </c>
      <c r="AA643">
        <v>6.63</v>
      </c>
      <c r="AB643">
        <v>134.15</v>
      </c>
      <c r="AC643">
        <v>240.26865671641792</v>
      </c>
      <c r="AD643">
        <v>33.537500000000001</v>
      </c>
      <c r="AE643">
        <v>80.08</v>
      </c>
      <c r="AF643">
        <v>13.77</v>
      </c>
      <c r="AG643">
        <v>0</v>
      </c>
      <c r="AH643">
        <v>5.1100000000000003</v>
      </c>
      <c r="AI643">
        <v>44.11</v>
      </c>
      <c r="AJ643">
        <v>235.62</v>
      </c>
      <c r="AK643">
        <v>71.2</v>
      </c>
      <c r="AL643" t="s">
        <v>23</v>
      </c>
      <c r="AM643" t="s">
        <v>24</v>
      </c>
      <c r="AN643" t="str">
        <f t="shared" ref="AN643:AN706" si="40">IF(G643&lt;11,"Morning",IF(G643&lt;15,"Afternoon",IF(G643&lt;18,"Evening","Night")))</f>
        <v>Afternoon</v>
      </c>
      <c r="AO643" t="str">
        <f t="shared" ref="AO643:AO706" si="41">IF(OR(AND(G643&gt;=7,G643&lt;=10),AND(G643&gt;=17,G643&lt;=20)),"Peak","Off-Peak")</f>
        <v>Off-Peak</v>
      </c>
      <c r="AP643" t="str">
        <f t="shared" ref="AP643:AP706" si="42">IF(AC643&lt;150,"Low",IF(AC643&lt;=250,"Medium","High"))</f>
        <v>Medium</v>
      </c>
      <c r="AQ643" t="str">
        <f t="shared" ref="AQ643:AQ706" si="43">IF(N643&lt;=35,"Low",IF(N643&lt;=70,"Medium","High"))</f>
        <v>Medium</v>
      </c>
    </row>
    <row r="644" spans="1:43" x14ac:dyDescent="0.3">
      <c r="A644">
        <v>643</v>
      </c>
      <c r="B644" t="s">
        <v>16</v>
      </c>
      <c r="C644" t="s">
        <v>17</v>
      </c>
      <c r="D644" s="1">
        <v>46107</v>
      </c>
      <c r="E644" t="s">
        <v>41</v>
      </c>
      <c r="F644">
        <v>0</v>
      </c>
      <c r="G644">
        <v>20</v>
      </c>
      <c r="H644" t="s">
        <v>40</v>
      </c>
      <c r="I644" t="s">
        <v>11</v>
      </c>
      <c r="J644">
        <v>1.18</v>
      </c>
      <c r="K644" t="s">
        <v>21</v>
      </c>
      <c r="L644">
        <v>0</v>
      </c>
      <c r="M644">
        <v>4.9400000000000004</v>
      </c>
      <c r="N644">
        <v>66</v>
      </c>
      <c r="O644" t="s">
        <v>35</v>
      </c>
      <c r="P644">
        <v>14</v>
      </c>
      <c r="Q644">
        <v>1.43</v>
      </c>
      <c r="R644">
        <v>35.299999999999997</v>
      </c>
      <c r="S644">
        <v>91.09</v>
      </c>
      <c r="T644">
        <v>69.58</v>
      </c>
      <c r="U644">
        <v>1.3</v>
      </c>
      <c r="V644">
        <v>27.33</v>
      </c>
      <c r="W644">
        <v>188</v>
      </c>
      <c r="X644">
        <v>35.4</v>
      </c>
      <c r="Y644">
        <v>103.6</v>
      </c>
      <c r="Z644">
        <v>4.1900000000000004</v>
      </c>
      <c r="AA644">
        <v>7.14</v>
      </c>
      <c r="AB644">
        <v>176.67</v>
      </c>
      <c r="AC644">
        <v>300.28895184135979</v>
      </c>
      <c r="AD644">
        <v>123.54545454545455</v>
      </c>
      <c r="AE644">
        <v>83.33</v>
      </c>
      <c r="AF644">
        <v>18.29</v>
      </c>
      <c r="AG644">
        <v>1</v>
      </c>
      <c r="AH644">
        <v>4.95</v>
      </c>
      <c r="AI644">
        <v>70.95</v>
      </c>
      <c r="AJ644">
        <v>307.99</v>
      </c>
      <c r="AK644">
        <v>75.540000000000006</v>
      </c>
      <c r="AL644" t="s">
        <v>23</v>
      </c>
      <c r="AM644" t="s">
        <v>24</v>
      </c>
      <c r="AN644" t="str">
        <f t="shared" si="40"/>
        <v>Night</v>
      </c>
      <c r="AO644" t="str">
        <f t="shared" si="41"/>
        <v>Peak</v>
      </c>
      <c r="AP644" t="str">
        <f t="shared" si="42"/>
        <v>High</v>
      </c>
      <c r="AQ644" t="str">
        <f t="shared" si="43"/>
        <v>Medium</v>
      </c>
    </row>
    <row r="645" spans="1:43" x14ac:dyDescent="0.3">
      <c r="A645">
        <v>644</v>
      </c>
      <c r="B645" t="s">
        <v>29</v>
      </c>
      <c r="C645" t="s">
        <v>30</v>
      </c>
      <c r="D645" s="1">
        <v>46159</v>
      </c>
      <c r="E645" t="s">
        <v>26</v>
      </c>
      <c r="F645">
        <v>1</v>
      </c>
      <c r="G645">
        <v>7</v>
      </c>
      <c r="H645" t="s">
        <v>47</v>
      </c>
      <c r="I645" t="s">
        <v>11</v>
      </c>
      <c r="J645">
        <v>1.18</v>
      </c>
      <c r="K645" t="s">
        <v>12</v>
      </c>
      <c r="L645">
        <v>0</v>
      </c>
      <c r="M645">
        <v>3.36</v>
      </c>
      <c r="N645">
        <v>44</v>
      </c>
      <c r="O645" t="s">
        <v>35</v>
      </c>
      <c r="P645">
        <v>13</v>
      </c>
      <c r="Q645">
        <v>2.79</v>
      </c>
      <c r="R645">
        <v>35.9</v>
      </c>
      <c r="S645">
        <v>67.69</v>
      </c>
      <c r="T645">
        <v>57.9</v>
      </c>
      <c r="U645">
        <v>1</v>
      </c>
      <c r="V645">
        <v>0</v>
      </c>
      <c r="W645">
        <v>125.59</v>
      </c>
      <c r="X645">
        <v>36.5</v>
      </c>
      <c r="Y645">
        <v>102.76</v>
      </c>
      <c r="Z645">
        <v>7.86</v>
      </c>
      <c r="AA645">
        <v>8.65</v>
      </c>
      <c r="AB645">
        <v>109.08</v>
      </c>
      <c r="AC645">
        <v>182.30640668523679</v>
      </c>
      <c r="AD645">
        <v>39.096774193548384</v>
      </c>
      <c r="AE645">
        <v>66.400000000000006</v>
      </c>
      <c r="AF645">
        <v>18</v>
      </c>
      <c r="AG645">
        <v>1</v>
      </c>
      <c r="AH645">
        <v>3.75</v>
      </c>
      <c r="AI645">
        <v>47.75</v>
      </c>
      <c r="AJ645">
        <v>208.42</v>
      </c>
      <c r="AK645">
        <v>74.209999999999994</v>
      </c>
      <c r="AL645" t="s">
        <v>23</v>
      </c>
      <c r="AM645" t="s">
        <v>24</v>
      </c>
      <c r="AN645" t="str">
        <f t="shared" si="40"/>
        <v>Morning</v>
      </c>
      <c r="AO645" t="str">
        <f t="shared" si="41"/>
        <v>Peak</v>
      </c>
      <c r="AP645" t="str">
        <f t="shared" si="42"/>
        <v>Medium</v>
      </c>
      <c r="AQ645" t="str">
        <f t="shared" si="43"/>
        <v>Medium</v>
      </c>
    </row>
    <row r="646" spans="1:43" x14ac:dyDescent="0.3">
      <c r="A646">
        <v>645</v>
      </c>
      <c r="B646" t="s">
        <v>16</v>
      </c>
      <c r="C646" t="s">
        <v>17</v>
      </c>
      <c r="D646" s="1">
        <v>46071</v>
      </c>
      <c r="E646" t="s">
        <v>18</v>
      </c>
      <c r="F646">
        <v>0</v>
      </c>
      <c r="G646">
        <v>12</v>
      </c>
      <c r="H646" t="s">
        <v>19</v>
      </c>
      <c r="I646" t="s">
        <v>33</v>
      </c>
      <c r="J646">
        <v>1</v>
      </c>
      <c r="K646" t="s">
        <v>21</v>
      </c>
      <c r="L646">
        <v>0</v>
      </c>
      <c r="M646">
        <v>1.93</v>
      </c>
      <c r="N646">
        <v>16</v>
      </c>
      <c r="O646" t="s">
        <v>22</v>
      </c>
      <c r="P646">
        <v>3</v>
      </c>
      <c r="Q646">
        <v>1</v>
      </c>
      <c r="R646">
        <v>26.7</v>
      </c>
      <c r="S646">
        <v>80.56</v>
      </c>
      <c r="T646">
        <v>39.700000000000003</v>
      </c>
      <c r="U646">
        <v>1.0900000000000001</v>
      </c>
      <c r="V646">
        <v>7.25</v>
      </c>
      <c r="W646">
        <v>127.51</v>
      </c>
      <c r="X646">
        <v>39.799999999999997</v>
      </c>
      <c r="Y646">
        <v>103.78</v>
      </c>
      <c r="Z646">
        <v>2.61</v>
      </c>
      <c r="AA646">
        <v>7.89</v>
      </c>
      <c r="AB646">
        <v>117.01</v>
      </c>
      <c r="AC646">
        <v>262.9438202247191</v>
      </c>
      <c r="AD646">
        <v>117.01</v>
      </c>
      <c r="AE646">
        <v>68.42</v>
      </c>
      <c r="AF646">
        <v>16.16</v>
      </c>
      <c r="AG646">
        <v>0</v>
      </c>
      <c r="AH646">
        <v>7.04</v>
      </c>
      <c r="AI646">
        <v>23.04</v>
      </c>
      <c r="AJ646">
        <v>266.79000000000002</v>
      </c>
      <c r="AK646">
        <v>63.58</v>
      </c>
      <c r="AL646" t="s">
        <v>14</v>
      </c>
      <c r="AM646" t="s">
        <v>15</v>
      </c>
      <c r="AN646" t="str">
        <f t="shared" si="40"/>
        <v>Afternoon</v>
      </c>
      <c r="AO646" t="str">
        <f t="shared" si="41"/>
        <v>Off-Peak</v>
      </c>
      <c r="AP646" t="str">
        <f t="shared" si="42"/>
        <v>High</v>
      </c>
      <c r="AQ646" t="str">
        <f t="shared" si="43"/>
        <v>Low</v>
      </c>
    </row>
    <row r="647" spans="1:43" x14ac:dyDescent="0.3">
      <c r="A647">
        <v>646</v>
      </c>
      <c r="B647" t="s">
        <v>48</v>
      </c>
      <c r="C647" t="s">
        <v>30</v>
      </c>
      <c r="D647" s="1">
        <v>46250</v>
      </c>
      <c r="E647" t="s">
        <v>26</v>
      </c>
      <c r="F647">
        <v>1</v>
      </c>
      <c r="G647">
        <v>11</v>
      </c>
      <c r="H647" t="s">
        <v>43</v>
      </c>
      <c r="I647" t="s">
        <v>37</v>
      </c>
      <c r="J647">
        <v>1.02</v>
      </c>
      <c r="K647" t="s">
        <v>34</v>
      </c>
      <c r="L647">
        <v>1</v>
      </c>
      <c r="M647">
        <v>2.44</v>
      </c>
      <c r="N647">
        <v>62</v>
      </c>
      <c r="O647" t="s">
        <v>35</v>
      </c>
      <c r="P647">
        <v>17</v>
      </c>
      <c r="Q647">
        <v>2.9</v>
      </c>
      <c r="R647">
        <v>27.5</v>
      </c>
      <c r="S647">
        <v>70.11</v>
      </c>
      <c r="T647">
        <v>77.010000000000005</v>
      </c>
      <c r="U647">
        <v>1</v>
      </c>
      <c r="V647">
        <v>0</v>
      </c>
      <c r="W647">
        <v>147.12</v>
      </c>
      <c r="X647">
        <v>46.3</v>
      </c>
      <c r="Y647">
        <v>107.82</v>
      </c>
      <c r="Z647">
        <v>6.76</v>
      </c>
      <c r="AA647">
        <v>6.82</v>
      </c>
      <c r="AB647">
        <v>133.54</v>
      </c>
      <c r="AC647">
        <v>291.36</v>
      </c>
      <c r="AD647">
        <v>46.048275862068962</v>
      </c>
      <c r="AE647">
        <v>93.93</v>
      </c>
      <c r="AF647">
        <v>15.11</v>
      </c>
      <c r="AG647">
        <v>1</v>
      </c>
      <c r="AH647">
        <v>13.74</v>
      </c>
      <c r="AI647">
        <v>75.739999999999995</v>
      </c>
      <c r="AJ647">
        <v>301.77999999999997</v>
      </c>
      <c r="AK647">
        <v>71.91</v>
      </c>
      <c r="AL647" t="s">
        <v>23</v>
      </c>
      <c r="AM647" t="s">
        <v>24</v>
      </c>
      <c r="AN647" t="str">
        <f t="shared" si="40"/>
        <v>Afternoon</v>
      </c>
      <c r="AO647" t="str">
        <f t="shared" si="41"/>
        <v>Off-Peak</v>
      </c>
      <c r="AP647" t="str">
        <f t="shared" si="42"/>
        <v>High</v>
      </c>
      <c r="AQ647" t="str">
        <f t="shared" si="43"/>
        <v>Medium</v>
      </c>
    </row>
    <row r="648" spans="1:43" x14ac:dyDescent="0.3">
      <c r="A648">
        <v>647</v>
      </c>
      <c r="B648" t="s">
        <v>29</v>
      </c>
      <c r="C648" t="s">
        <v>30</v>
      </c>
      <c r="D648" s="1">
        <v>46210</v>
      </c>
      <c r="E648" t="s">
        <v>44</v>
      </c>
      <c r="F648">
        <v>0</v>
      </c>
      <c r="G648">
        <v>11</v>
      </c>
      <c r="H648" t="s">
        <v>43</v>
      </c>
      <c r="I648" t="s">
        <v>20</v>
      </c>
      <c r="J648">
        <v>1.25</v>
      </c>
      <c r="K648" t="s">
        <v>12</v>
      </c>
      <c r="L648">
        <v>0</v>
      </c>
      <c r="M648">
        <v>3.43</v>
      </c>
      <c r="N648">
        <v>51</v>
      </c>
      <c r="O648" t="s">
        <v>35</v>
      </c>
      <c r="P648">
        <v>9</v>
      </c>
      <c r="Q648">
        <v>4.26</v>
      </c>
      <c r="R648">
        <v>29.7</v>
      </c>
      <c r="S648">
        <v>90.68</v>
      </c>
      <c r="T648">
        <v>62.13</v>
      </c>
      <c r="U648">
        <v>1</v>
      </c>
      <c r="V648">
        <v>0</v>
      </c>
      <c r="W648">
        <v>152.81</v>
      </c>
      <c r="X648">
        <v>36</v>
      </c>
      <c r="Y648">
        <v>102.14</v>
      </c>
      <c r="Z648">
        <v>12.09</v>
      </c>
      <c r="AA648">
        <v>5.94</v>
      </c>
      <c r="AB648">
        <v>134.78</v>
      </c>
      <c r="AC648">
        <v>272.28282828282829</v>
      </c>
      <c r="AD648">
        <v>31.63849765258216</v>
      </c>
      <c r="AE648">
        <v>75.44</v>
      </c>
      <c r="AF648">
        <v>17.03</v>
      </c>
      <c r="AG648">
        <v>0</v>
      </c>
      <c r="AH648">
        <v>12.45</v>
      </c>
      <c r="AI648">
        <v>63.45</v>
      </c>
      <c r="AJ648">
        <v>266.41000000000003</v>
      </c>
      <c r="AK648">
        <v>74.23</v>
      </c>
      <c r="AL648" t="s">
        <v>14</v>
      </c>
      <c r="AM648" t="s">
        <v>15</v>
      </c>
      <c r="AN648" t="str">
        <f t="shared" si="40"/>
        <v>Afternoon</v>
      </c>
      <c r="AO648" t="str">
        <f t="shared" si="41"/>
        <v>Off-Peak</v>
      </c>
      <c r="AP648" t="str">
        <f t="shared" si="42"/>
        <v>High</v>
      </c>
      <c r="AQ648" t="str">
        <f t="shared" si="43"/>
        <v>Medium</v>
      </c>
    </row>
    <row r="649" spans="1:43" x14ac:dyDescent="0.3">
      <c r="A649">
        <v>648</v>
      </c>
      <c r="B649" t="s">
        <v>29</v>
      </c>
      <c r="C649" t="s">
        <v>30</v>
      </c>
      <c r="D649" s="1">
        <v>46219</v>
      </c>
      <c r="E649" t="s">
        <v>41</v>
      </c>
      <c r="F649">
        <v>0</v>
      </c>
      <c r="G649">
        <v>10</v>
      </c>
      <c r="H649" t="s">
        <v>47</v>
      </c>
      <c r="I649" t="s">
        <v>39</v>
      </c>
      <c r="J649">
        <v>1.05</v>
      </c>
      <c r="K649" t="s">
        <v>21</v>
      </c>
      <c r="L649">
        <v>0</v>
      </c>
      <c r="M649">
        <v>1.92</v>
      </c>
      <c r="N649">
        <v>19</v>
      </c>
      <c r="O649" t="s">
        <v>22</v>
      </c>
      <c r="P649">
        <v>4</v>
      </c>
      <c r="Q649">
        <v>3.7</v>
      </c>
      <c r="R649">
        <v>27.4</v>
      </c>
      <c r="S649">
        <v>86.54</v>
      </c>
      <c r="T649">
        <v>18.329999999999998</v>
      </c>
      <c r="U649">
        <v>1</v>
      </c>
      <c r="V649">
        <v>0</v>
      </c>
      <c r="W649">
        <v>104.87</v>
      </c>
      <c r="X649">
        <v>45.2</v>
      </c>
      <c r="Y649">
        <v>109.48</v>
      </c>
      <c r="Z649">
        <v>8.9600000000000009</v>
      </c>
      <c r="AA649">
        <v>4.66</v>
      </c>
      <c r="AB649">
        <v>91.25</v>
      </c>
      <c r="AC649">
        <v>199.81751824817519</v>
      </c>
      <c r="AD649">
        <v>24.662162162162161</v>
      </c>
      <c r="AE649">
        <v>63.76</v>
      </c>
      <c r="AF649">
        <v>15.62</v>
      </c>
      <c r="AG649">
        <v>0</v>
      </c>
      <c r="AH649">
        <v>3.35</v>
      </c>
      <c r="AI649">
        <v>22.35</v>
      </c>
      <c r="AJ649">
        <v>210.48</v>
      </c>
      <c r="AK649">
        <v>70.739999999999995</v>
      </c>
      <c r="AL649" t="s">
        <v>14</v>
      </c>
      <c r="AM649" t="s">
        <v>15</v>
      </c>
      <c r="AN649" t="str">
        <f t="shared" si="40"/>
        <v>Morning</v>
      </c>
      <c r="AO649" t="str">
        <f t="shared" si="41"/>
        <v>Peak</v>
      </c>
      <c r="AP649" t="str">
        <f t="shared" si="42"/>
        <v>Medium</v>
      </c>
      <c r="AQ649" t="str">
        <f t="shared" si="43"/>
        <v>Low</v>
      </c>
    </row>
    <row r="650" spans="1:43" x14ac:dyDescent="0.3">
      <c r="A650">
        <v>649</v>
      </c>
      <c r="B650" t="s">
        <v>23</v>
      </c>
      <c r="C650" t="s">
        <v>17</v>
      </c>
      <c r="D650" s="1">
        <v>46066</v>
      </c>
      <c r="E650" t="s">
        <v>9</v>
      </c>
      <c r="F650">
        <v>0</v>
      </c>
      <c r="G650">
        <v>21</v>
      </c>
      <c r="H650" t="s">
        <v>19</v>
      </c>
      <c r="I650" t="s">
        <v>39</v>
      </c>
      <c r="J650">
        <v>1.05</v>
      </c>
      <c r="K650" t="s">
        <v>34</v>
      </c>
      <c r="L650">
        <v>1</v>
      </c>
      <c r="M650">
        <v>4.42</v>
      </c>
      <c r="N650">
        <v>90</v>
      </c>
      <c r="O650" t="s">
        <v>13</v>
      </c>
      <c r="P650">
        <v>17</v>
      </c>
      <c r="Q650">
        <v>3.38</v>
      </c>
      <c r="R650">
        <v>35.4</v>
      </c>
      <c r="S650">
        <v>91.56</v>
      </c>
      <c r="T650">
        <v>99.05</v>
      </c>
      <c r="U650">
        <v>1.36</v>
      </c>
      <c r="V650">
        <v>32.96</v>
      </c>
      <c r="W650">
        <v>223.57</v>
      </c>
      <c r="X650">
        <v>44.3</v>
      </c>
      <c r="Y650">
        <v>105.13</v>
      </c>
      <c r="Z650">
        <v>8.01</v>
      </c>
      <c r="AA650">
        <v>9.1</v>
      </c>
      <c r="AB650">
        <v>206.46</v>
      </c>
      <c r="AC650">
        <v>349.93220338983053</v>
      </c>
      <c r="AD650">
        <v>61.082840236686394</v>
      </c>
      <c r="AE650">
        <v>85.61</v>
      </c>
      <c r="AF650">
        <v>16.71</v>
      </c>
      <c r="AG650">
        <v>1</v>
      </c>
      <c r="AH650">
        <v>2.2599999999999998</v>
      </c>
      <c r="AI650">
        <v>92.26</v>
      </c>
      <c r="AJ650">
        <v>362.49</v>
      </c>
      <c r="AK650">
        <v>84.51</v>
      </c>
      <c r="AL650" t="s">
        <v>23</v>
      </c>
      <c r="AM650" t="s">
        <v>24</v>
      </c>
      <c r="AN650" t="str">
        <f t="shared" si="40"/>
        <v>Night</v>
      </c>
      <c r="AO650" t="str">
        <f t="shared" si="41"/>
        <v>Off-Peak</v>
      </c>
      <c r="AP650" t="str">
        <f t="shared" si="42"/>
        <v>High</v>
      </c>
      <c r="AQ650" t="str">
        <f t="shared" si="43"/>
        <v>High</v>
      </c>
    </row>
    <row r="651" spans="1:43" x14ac:dyDescent="0.3">
      <c r="A651">
        <v>650</v>
      </c>
      <c r="B651" t="s">
        <v>16</v>
      </c>
      <c r="C651" t="s">
        <v>17</v>
      </c>
      <c r="D651" s="1">
        <v>46205</v>
      </c>
      <c r="E651" t="s">
        <v>41</v>
      </c>
      <c r="F651">
        <v>0</v>
      </c>
      <c r="G651">
        <v>13</v>
      </c>
      <c r="H651" t="s">
        <v>19</v>
      </c>
      <c r="I651" t="s">
        <v>46</v>
      </c>
      <c r="J651">
        <v>1.1499999999999999</v>
      </c>
      <c r="K651" t="s">
        <v>12</v>
      </c>
      <c r="L651">
        <v>0</v>
      </c>
      <c r="M651">
        <v>3.24</v>
      </c>
      <c r="N651">
        <v>49</v>
      </c>
      <c r="O651" t="s">
        <v>35</v>
      </c>
      <c r="P651">
        <v>8</v>
      </c>
      <c r="Q651">
        <v>4.2300000000000004</v>
      </c>
      <c r="R651">
        <v>43.7</v>
      </c>
      <c r="S651">
        <v>100.01</v>
      </c>
      <c r="T651">
        <v>53.36</v>
      </c>
      <c r="U651">
        <v>1.03</v>
      </c>
      <c r="V651">
        <v>3</v>
      </c>
      <c r="W651">
        <v>156.37</v>
      </c>
      <c r="X651">
        <v>48.2</v>
      </c>
      <c r="Y651">
        <v>107.83</v>
      </c>
      <c r="Z651">
        <v>9.4600000000000009</v>
      </c>
      <c r="AA651">
        <v>5.18</v>
      </c>
      <c r="AB651">
        <v>141.72999999999999</v>
      </c>
      <c r="AC651">
        <v>194.59496567505718</v>
      </c>
      <c r="AD651">
        <v>33.505910165484629</v>
      </c>
      <c r="AE651">
        <v>69.739999999999995</v>
      </c>
      <c r="AF651">
        <v>16.510000000000002</v>
      </c>
      <c r="AG651">
        <v>0</v>
      </c>
      <c r="AH651">
        <v>1.69</v>
      </c>
      <c r="AI651">
        <v>50.69</v>
      </c>
      <c r="AJ651">
        <v>167.15</v>
      </c>
      <c r="AK651">
        <v>79.73</v>
      </c>
      <c r="AL651" t="s">
        <v>14</v>
      </c>
      <c r="AM651" t="s">
        <v>15</v>
      </c>
      <c r="AN651" t="str">
        <f t="shared" si="40"/>
        <v>Afternoon</v>
      </c>
      <c r="AO651" t="str">
        <f t="shared" si="41"/>
        <v>Off-Peak</v>
      </c>
      <c r="AP651" t="str">
        <f t="shared" si="42"/>
        <v>Medium</v>
      </c>
      <c r="AQ651" t="str">
        <f t="shared" si="43"/>
        <v>Medium</v>
      </c>
    </row>
    <row r="652" spans="1:43" x14ac:dyDescent="0.3">
      <c r="A652">
        <v>651</v>
      </c>
      <c r="B652" t="s">
        <v>29</v>
      </c>
      <c r="C652" t="s">
        <v>30</v>
      </c>
      <c r="D652" s="1">
        <v>46238</v>
      </c>
      <c r="E652" t="s">
        <v>44</v>
      </c>
      <c r="F652">
        <v>0</v>
      </c>
      <c r="G652">
        <v>13</v>
      </c>
      <c r="H652" t="s">
        <v>43</v>
      </c>
      <c r="I652" t="s">
        <v>45</v>
      </c>
      <c r="J652">
        <v>1</v>
      </c>
      <c r="K652" t="s">
        <v>34</v>
      </c>
      <c r="L652">
        <v>1</v>
      </c>
      <c r="M652">
        <v>2.59</v>
      </c>
      <c r="N652">
        <v>33</v>
      </c>
      <c r="O652" t="s">
        <v>22</v>
      </c>
      <c r="P652">
        <v>12</v>
      </c>
      <c r="Q652">
        <v>5.69</v>
      </c>
      <c r="R652">
        <v>30.4</v>
      </c>
      <c r="S652">
        <v>83.7</v>
      </c>
      <c r="T652">
        <v>28.1</v>
      </c>
      <c r="U652">
        <v>1</v>
      </c>
      <c r="V652">
        <v>0</v>
      </c>
      <c r="W652">
        <v>111.8</v>
      </c>
      <c r="X652">
        <v>37.799999999999997</v>
      </c>
      <c r="Y652">
        <v>108.27</v>
      </c>
      <c r="Z652">
        <v>16.309999999999999</v>
      </c>
      <c r="AA652">
        <v>10.5</v>
      </c>
      <c r="AB652">
        <v>84.99</v>
      </c>
      <c r="AC652">
        <v>167.74342105263159</v>
      </c>
      <c r="AD652">
        <v>14.936731107205622</v>
      </c>
      <c r="AE652">
        <v>59.28</v>
      </c>
      <c r="AF652">
        <v>13.42</v>
      </c>
      <c r="AG652">
        <v>0</v>
      </c>
      <c r="AH652">
        <v>-8.6999999999999993</v>
      </c>
      <c r="AI652">
        <v>24.3</v>
      </c>
      <c r="AJ652">
        <v>167.59</v>
      </c>
      <c r="AK652">
        <v>72.12</v>
      </c>
      <c r="AL652" t="s">
        <v>14</v>
      </c>
      <c r="AM652" t="s">
        <v>15</v>
      </c>
      <c r="AN652" t="str">
        <f t="shared" si="40"/>
        <v>Afternoon</v>
      </c>
      <c r="AO652" t="str">
        <f t="shared" si="41"/>
        <v>Off-Peak</v>
      </c>
      <c r="AP652" t="str">
        <f t="shared" si="42"/>
        <v>Medium</v>
      </c>
      <c r="AQ652" t="str">
        <f t="shared" si="43"/>
        <v>Low</v>
      </c>
    </row>
    <row r="653" spans="1:43" x14ac:dyDescent="0.3">
      <c r="A653">
        <v>652</v>
      </c>
      <c r="B653" t="s">
        <v>25</v>
      </c>
      <c r="C653" t="s">
        <v>17</v>
      </c>
      <c r="D653" s="1">
        <v>46068</v>
      </c>
      <c r="E653" t="s">
        <v>26</v>
      </c>
      <c r="F653">
        <v>1</v>
      </c>
      <c r="G653">
        <v>13</v>
      </c>
      <c r="H653" t="s">
        <v>19</v>
      </c>
      <c r="I653" t="s">
        <v>42</v>
      </c>
      <c r="J653">
        <v>1.08</v>
      </c>
      <c r="K653" t="s">
        <v>12</v>
      </c>
      <c r="L653">
        <v>0</v>
      </c>
      <c r="M653">
        <v>2.1800000000000002</v>
      </c>
      <c r="N653">
        <v>66</v>
      </c>
      <c r="O653" t="s">
        <v>35</v>
      </c>
      <c r="P653">
        <v>12</v>
      </c>
      <c r="Q653">
        <v>7.24</v>
      </c>
      <c r="R653">
        <v>47</v>
      </c>
      <c r="S653">
        <v>140.31</v>
      </c>
      <c r="T653">
        <v>68.14</v>
      </c>
      <c r="U653">
        <v>1.03</v>
      </c>
      <c r="V653">
        <v>4.21</v>
      </c>
      <c r="W653">
        <v>212.66</v>
      </c>
      <c r="X653">
        <v>46.9</v>
      </c>
      <c r="Y653">
        <v>104.79</v>
      </c>
      <c r="Z653">
        <v>16.170000000000002</v>
      </c>
      <c r="AA653">
        <v>7.86</v>
      </c>
      <c r="AB653">
        <v>188.63</v>
      </c>
      <c r="AC653">
        <v>240.80425531914892</v>
      </c>
      <c r="AD653">
        <v>26.053867403314914</v>
      </c>
      <c r="AE653">
        <v>81.44</v>
      </c>
      <c r="AF653">
        <v>12.56</v>
      </c>
      <c r="AG653">
        <v>1</v>
      </c>
      <c r="AH653">
        <v>-8.9</v>
      </c>
      <c r="AI653">
        <v>57.1</v>
      </c>
      <c r="AJ653">
        <v>222.8</v>
      </c>
      <c r="AK653">
        <v>71.489999999999995</v>
      </c>
      <c r="AL653" t="s">
        <v>14</v>
      </c>
      <c r="AM653" t="s">
        <v>15</v>
      </c>
      <c r="AN653" t="str">
        <f t="shared" si="40"/>
        <v>Afternoon</v>
      </c>
      <c r="AO653" t="str">
        <f t="shared" si="41"/>
        <v>Off-Peak</v>
      </c>
      <c r="AP653" t="str">
        <f t="shared" si="42"/>
        <v>Medium</v>
      </c>
      <c r="AQ653" t="str">
        <f t="shared" si="43"/>
        <v>Medium</v>
      </c>
    </row>
    <row r="654" spans="1:43" x14ac:dyDescent="0.3">
      <c r="A654">
        <v>653</v>
      </c>
      <c r="B654" t="s">
        <v>14</v>
      </c>
      <c r="C654" t="s">
        <v>8</v>
      </c>
      <c r="D654" s="1">
        <v>46216</v>
      </c>
      <c r="E654" t="s">
        <v>38</v>
      </c>
      <c r="F654">
        <v>0</v>
      </c>
      <c r="G654">
        <v>22</v>
      </c>
      <c r="H654" t="s">
        <v>51</v>
      </c>
      <c r="I654" t="s">
        <v>20</v>
      </c>
      <c r="J654">
        <v>1.25</v>
      </c>
      <c r="K654" t="s">
        <v>21</v>
      </c>
      <c r="L654">
        <v>0</v>
      </c>
      <c r="M654">
        <v>2.92</v>
      </c>
      <c r="N654">
        <v>28</v>
      </c>
      <c r="O654" t="s">
        <v>22</v>
      </c>
      <c r="P654">
        <v>8</v>
      </c>
      <c r="Q654">
        <v>7.9</v>
      </c>
      <c r="R654">
        <v>62.4</v>
      </c>
      <c r="S654">
        <v>116.84</v>
      </c>
      <c r="T654">
        <v>38.75</v>
      </c>
      <c r="U654">
        <v>1</v>
      </c>
      <c r="V654">
        <v>0</v>
      </c>
      <c r="W654">
        <v>155.59</v>
      </c>
      <c r="X654">
        <v>48</v>
      </c>
      <c r="Y654">
        <v>107.41</v>
      </c>
      <c r="Z654">
        <v>17.68</v>
      </c>
      <c r="AA654">
        <v>8.34</v>
      </c>
      <c r="AB654">
        <v>129.57</v>
      </c>
      <c r="AC654">
        <v>124.58653846153845</v>
      </c>
      <c r="AD654">
        <v>16.401265822784808</v>
      </c>
      <c r="AE654">
        <v>66.91</v>
      </c>
      <c r="AF654">
        <v>15.55</v>
      </c>
      <c r="AG654">
        <v>0</v>
      </c>
      <c r="AH654">
        <v>11.16</v>
      </c>
      <c r="AI654">
        <v>39.159999999999997</v>
      </c>
      <c r="AJ654">
        <v>126.35</v>
      </c>
      <c r="AK654">
        <v>66.36</v>
      </c>
      <c r="AL654" t="s">
        <v>14</v>
      </c>
      <c r="AM654" t="s">
        <v>15</v>
      </c>
      <c r="AN654" t="str">
        <f t="shared" si="40"/>
        <v>Night</v>
      </c>
      <c r="AO654" t="str">
        <f t="shared" si="41"/>
        <v>Off-Peak</v>
      </c>
      <c r="AP654" t="str">
        <f t="shared" si="42"/>
        <v>Low</v>
      </c>
      <c r="AQ654" t="str">
        <f t="shared" si="43"/>
        <v>Low</v>
      </c>
    </row>
    <row r="655" spans="1:43" x14ac:dyDescent="0.3">
      <c r="A655">
        <v>654</v>
      </c>
      <c r="B655" t="s">
        <v>16</v>
      </c>
      <c r="C655" t="s">
        <v>17</v>
      </c>
      <c r="D655" s="1">
        <v>46115</v>
      </c>
      <c r="E655" t="s">
        <v>9</v>
      </c>
      <c r="F655">
        <v>0</v>
      </c>
      <c r="G655">
        <v>12</v>
      </c>
      <c r="H655" t="s">
        <v>19</v>
      </c>
      <c r="I655" t="s">
        <v>46</v>
      </c>
      <c r="J655">
        <v>1.1499999999999999</v>
      </c>
      <c r="K655" t="s">
        <v>21</v>
      </c>
      <c r="L655">
        <v>0</v>
      </c>
      <c r="M655">
        <v>3.4</v>
      </c>
      <c r="N655">
        <v>47</v>
      </c>
      <c r="O655" t="s">
        <v>35</v>
      </c>
      <c r="P655">
        <v>6</v>
      </c>
      <c r="Q655">
        <v>2.2200000000000002</v>
      </c>
      <c r="R655">
        <v>31.6</v>
      </c>
      <c r="S655">
        <v>78.900000000000006</v>
      </c>
      <c r="T655">
        <v>58.2</v>
      </c>
      <c r="U655">
        <v>1.06</v>
      </c>
      <c r="V655">
        <v>4.7300000000000004</v>
      </c>
      <c r="W655">
        <v>141.83000000000001</v>
      </c>
      <c r="X655">
        <v>49.6</v>
      </c>
      <c r="Y655">
        <v>103.65</v>
      </c>
      <c r="Z655">
        <v>4.6399999999999997</v>
      </c>
      <c r="AA655">
        <v>7.09</v>
      </c>
      <c r="AB655">
        <v>130.1</v>
      </c>
      <c r="AC655">
        <v>247.02531645569616</v>
      </c>
      <c r="AD655">
        <v>58.603603603603595</v>
      </c>
      <c r="AE655">
        <v>78.33</v>
      </c>
      <c r="AF655">
        <v>14.79</v>
      </c>
      <c r="AG655">
        <v>0</v>
      </c>
      <c r="AH655">
        <v>-7.69</v>
      </c>
      <c r="AI655">
        <v>39.31</v>
      </c>
      <c r="AJ655">
        <v>232.89</v>
      </c>
      <c r="AK655">
        <v>79.7</v>
      </c>
      <c r="AL655" t="s">
        <v>14</v>
      </c>
      <c r="AM655" t="s">
        <v>15</v>
      </c>
      <c r="AN655" t="str">
        <f t="shared" si="40"/>
        <v>Afternoon</v>
      </c>
      <c r="AO655" t="str">
        <f t="shared" si="41"/>
        <v>Off-Peak</v>
      </c>
      <c r="AP655" t="str">
        <f t="shared" si="42"/>
        <v>Medium</v>
      </c>
      <c r="AQ655" t="str">
        <f t="shared" si="43"/>
        <v>Medium</v>
      </c>
    </row>
    <row r="656" spans="1:43" x14ac:dyDescent="0.3">
      <c r="A656">
        <v>655</v>
      </c>
      <c r="B656" t="s">
        <v>29</v>
      </c>
      <c r="C656" t="s">
        <v>30</v>
      </c>
      <c r="D656" s="1">
        <v>46226</v>
      </c>
      <c r="E656" t="s">
        <v>41</v>
      </c>
      <c r="F656">
        <v>0</v>
      </c>
      <c r="G656">
        <v>12</v>
      </c>
      <c r="H656" t="s">
        <v>43</v>
      </c>
      <c r="I656" t="s">
        <v>46</v>
      </c>
      <c r="J656">
        <v>1.1499999999999999</v>
      </c>
      <c r="K656" t="s">
        <v>12</v>
      </c>
      <c r="L656">
        <v>0</v>
      </c>
      <c r="M656">
        <v>3.85</v>
      </c>
      <c r="N656">
        <v>34</v>
      </c>
      <c r="O656" t="s">
        <v>22</v>
      </c>
      <c r="P656">
        <v>11</v>
      </c>
      <c r="Q656">
        <v>8.41</v>
      </c>
      <c r="R656">
        <v>65.7</v>
      </c>
      <c r="S656">
        <v>119.98</v>
      </c>
      <c r="T656">
        <v>36.270000000000003</v>
      </c>
      <c r="U656">
        <v>1</v>
      </c>
      <c r="V656">
        <v>0</v>
      </c>
      <c r="W656">
        <v>156.25</v>
      </c>
      <c r="X656">
        <v>47.1</v>
      </c>
      <c r="Y656">
        <v>108.11</v>
      </c>
      <c r="Z656">
        <v>19.3</v>
      </c>
      <c r="AA656">
        <v>11.29</v>
      </c>
      <c r="AB656">
        <v>125.66</v>
      </c>
      <c r="AC656">
        <v>114.75799086757991</v>
      </c>
      <c r="AD656">
        <v>14.941736028537456</v>
      </c>
      <c r="AE656">
        <v>68.22</v>
      </c>
      <c r="AF656">
        <v>13.45</v>
      </c>
      <c r="AG656">
        <v>0</v>
      </c>
      <c r="AH656">
        <v>15.21</v>
      </c>
      <c r="AI656">
        <v>49.21</v>
      </c>
      <c r="AJ656">
        <v>121.87</v>
      </c>
      <c r="AK656">
        <v>68.27</v>
      </c>
      <c r="AL656" t="s">
        <v>14</v>
      </c>
      <c r="AM656" t="s">
        <v>15</v>
      </c>
      <c r="AN656" t="str">
        <f t="shared" si="40"/>
        <v>Afternoon</v>
      </c>
      <c r="AO656" t="str">
        <f t="shared" si="41"/>
        <v>Off-Peak</v>
      </c>
      <c r="AP656" t="str">
        <f t="shared" si="42"/>
        <v>Low</v>
      </c>
      <c r="AQ656" t="str">
        <f t="shared" si="43"/>
        <v>Low</v>
      </c>
    </row>
    <row r="657" spans="1:43" x14ac:dyDescent="0.3">
      <c r="A657">
        <v>656</v>
      </c>
      <c r="B657" t="s">
        <v>29</v>
      </c>
      <c r="C657" t="s">
        <v>30</v>
      </c>
      <c r="D657" s="1">
        <v>46146</v>
      </c>
      <c r="E657" t="s">
        <v>38</v>
      </c>
      <c r="F657">
        <v>0</v>
      </c>
      <c r="G657">
        <v>12</v>
      </c>
      <c r="H657" t="s">
        <v>43</v>
      </c>
      <c r="I657" t="s">
        <v>11</v>
      </c>
      <c r="J657">
        <v>1.18</v>
      </c>
      <c r="K657" t="s">
        <v>12</v>
      </c>
      <c r="L657">
        <v>0</v>
      </c>
      <c r="M657">
        <v>3.49</v>
      </c>
      <c r="N657">
        <v>30</v>
      </c>
      <c r="O657" t="s">
        <v>22</v>
      </c>
      <c r="P657">
        <v>6</v>
      </c>
      <c r="Q657">
        <v>4.01</v>
      </c>
      <c r="R657">
        <v>31.8</v>
      </c>
      <c r="S657">
        <v>73.739999999999995</v>
      </c>
      <c r="T657">
        <v>20.05</v>
      </c>
      <c r="U657">
        <v>1</v>
      </c>
      <c r="V657">
        <v>0</v>
      </c>
      <c r="W657">
        <v>93.79</v>
      </c>
      <c r="X657">
        <v>36.9</v>
      </c>
      <c r="Y657">
        <v>108.24</v>
      </c>
      <c r="Z657">
        <v>11.77</v>
      </c>
      <c r="AA657">
        <v>6.22</v>
      </c>
      <c r="AB657">
        <v>75.8</v>
      </c>
      <c r="AC657">
        <v>143.01886792452828</v>
      </c>
      <c r="AD657">
        <v>18.90274314214464</v>
      </c>
      <c r="AE657">
        <v>80.06</v>
      </c>
      <c r="AF657">
        <v>13.71</v>
      </c>
      <c r="AG657">
        <v>0</v>
      </c>
      <c r="AH657">
        <v>2.23</v>
      </c>
      <c r="AI657">
        <v>32.229999999999997</v>
      </c>
      <c r="AJ657">
        <v>143.81</v>
      </c>
      <c r="AK657">
        <v>72.33</v>
      </c>
      <c r="AL657" t="s">
        <v>14</v>
      </c>
      <c r="AM657" t="s">
        <v>15</v>
      </c>
      <c r="AN657" t="str">
        <f t="shared" si="40"/>
        <v>Afternoon</v>
      </c>
      <c r="AO657" t="str">
        <f t="shared" si="41"/>
        <v>Off-Peak</v>
      </c>
      <c r="AP657" t="str">
        <f t="shared" si="42"/>
        <v>Low</v>
      </c>
      <c r="AQ657" t="str">
        <f t="shared" si="43"/>
        <v>Low</v>
      </c>
    </row>
    <row r="658" spans="1:43" x14ac:dyDescent="0.3">
      <c r="A658">
        <v>657</v>
      </c>
      <c r="B658" t="s">
        <v>16</v>
      </c>
      <c r="C658" t="s">
        <v>17</v>
      </c>
      <c r="D658" s="1">
        <v>46229</v>
      </c>
      <c r="E658" t="s">
        <v>26</v>
      </c>
      <c r="F658">
        <v>1</v>
      </c>
      <c r="G658">
        <v>12</v>
      </c>
      <c r="H658" t="s">
        <v>19</v>
      </c>
      <c r="I658" t="s">
        <v>50</v>
      </c>
      <c r="J658">
        <v>1.2</v>
      </c>
      <c r="K658" t="s">
        <v>12</v>
      </c>
      <c r="L658">
        <v>0</v>
      </c>
      <c r="M658">
        <v>3.06</v>
      </c>
      <c r="N658">
        <v>46</v>
      </c>
      <c r="O658" t="s">
        <v>35</v>
      </c>
      <c r="P658">
        <v>7</v>
      </c>
      <c r="Q658">
        <v>3.1</v>
      </c>
      <c r="R658">
        <v>26.2</v>
      </c>
      <c r="S658">
        <v>94.46</v>
      </c>
      <c r="T658">
        <v>51.44</v>
      </c>
      <c r="U658">
        <v>1.02</v>
      </c>
      <c r="V658">
        <v>1.89</v>
      </c>
      <c r="W658">
        <v>147.79</v>
      </c>
      <c r="X658">
        <v>49.2</v>
      </c>
      <c r="Y658">
        <v>105.66</v>
      </c>
      <c r="Z658">
        <v>6.66</v>
      </c>
      <c r="AA658">
        <v>6.27</v>
      </c>
      <c r="AB658">
        <v>134.86000000000001</v>
      </c>
      <c r="AC658">
        <v>308.83969465648858</v>
      </c>
      <c r="AD658">
        <v>43.503225806451617</v>
      </c>
      <c r="AE658">
        <v>77.150000000000006</v>
      </c>
      <c r="AF658">
        <v>15.44</v>
      </c>
      <c r="AG658">
        <v>1</v>
      </c>
      <c r="AH658">
        <v>15.29</v>
      </c>
      <c r="AI658">
        <v>61.29</v>
      </c>
      <c r="AJ658">
        <v>290.42</v>
      </c>
      <c r="AK658">
        <v>65.34</v>
      </c>
      <c r="AL658" t="s">
        <v>14</v>
      </c>
      <c r="AM658" t="s">
        <v>15</v>
      </c>
      <c r="AN658" t="str">
        <f t="shared" si="40"/>
        <v>Afternoon</v>
      </c>
      <c r="AO658" t="str">
        <f t="shared" si="41"/>
        <v>Off-Peak</v>
      </c>
      <c r="AP658" t="str">
        <f t="shared" si="42"/>
        <v>High</v>
      </c>
      <c r="AQ658" t="str">
        <f t="shared" si="43"/>
        <v>Medium</v>
      </c>
    </row>
    <row r="659" spans="1:43" x14ac:dyDescent="0.3">
      <c r="A659">
        <v>658</v>
      </c>
      <c r="B659" t="s">
        <v>25</v>
      </c>
      <c r="C659" t="s">
        <v>17</v>
      </c>
      <c r="D659" s="1">
        <v>46061</v>
      </c>
      <c r="E659" t="s">
        <v>26</v>
      </c>
      <c r="F659">
        <v>1</v>
      </c>
      <c r="G659">
        <v>8</v>
      </c>
      <c r="H659" t="s">
        <v>27</v>
      </c>
      <c r="I659" t="s">
        <v>39</v>
      </c>
      <c r="J659">
        <v>1.05</v>
      </c>
      <c r="K659" t="s">
        <v>12</v>
      </c>
      <c r="L659">
        <v>0</v>
      </c>
      <c r="M659">
        <v>3.5</v>
      </c>
      <c r="N659">
        <v>81</v>
      </c>
      <c r="O659" t="s">
        <v>13</v>
      </c>
      <c r="P659">
        <v>15</v>
      </c>
      <c r="Q659">
        <v>1.73</v>
      </c>
      <c r="R659">
        <v>37</v>
      </c>
      <c r="S659">
        <v>76.010000000000005</v>
      </c>
      <c r="T659">
        <v>83.49</v>
      </c>
      <c r="U659">
        <v>1.24</v>
      </c>
      <c r="V659">
        <v>18.239999999999998</v>
      </c>
      <c r="W659">
        <v>177.74</v>
      </c>
      <c r="X659">
        <v>47.2</v>
      </c>
      <c r="Y659">
        <v>102.18</v>
      </c>
      <c r="Z659">
        <v>3.75</v>
      </c>
      <c r="AA659">
        <v>10.93</v>
      </c>
      <c r="AB659">
        <v>163.06</v>
      </c>
      <c r="AC659">
        <v>264.42162162162163</v>
      </c>
      <c r="AD659">
        <v>94.25433526011561</v>
      </c>
      <c r="AE659">
        <v>57.77</v>
      </c>
      <c r="AF659">
        <v>16.23</v>
      </c>
      <c r="AG659">
        <v>1</v>
      </c>
      <c r="AH659">
        <v>12.55</v>
      </c>
      <c r="AI659">
        <v>93.55</v>
      </c>
      <c r="AJ659">
        <v>265.11</v>
      </c>
      <c r="AK659">
        <v>74.760000000000005</v>
      </c>
      <c r="AL659" t="s">
        <v>23</v>
      </c>
      <c r="AM659" t="s">
        <v>24</v>
      </c>
      <c r="AN659" t="str">
        <f t="shared" si="40"/>
        <v>Morning</v>
      </c>
      <c r="AO659" t="str">
        <f t="shared" si="41"/>
        <v>Peak</v>
      </c>
      <c r="AP659" t="str">
        <f t="shared" si="42"/>
        <v>High</v>
      </c>
      <c r="AQ659" t="str">
        <f t="shared" si="43"/>
        <v>High</v>
      </c>
    </row>
    <row r="660" spans="1:43" x14ac:dyDescent="0.3">
      <c r="A660">
        <v>659</v>
      </c>
      <c r="B660" t="s">
        <v>7</v>
      </c>
      <c r="C660" t="s">
        <v>8</v>
      </c>
      <c r="D660" s="1">
        <v>46123</v>
      </c>
      <c r="E660" t="s">
        <v>31</v>
      </c>
      <c r="F660">
        <v>1</v>
      </c>
      <c r="G660">
        <v>16</v>
      </c>
      <c r="H660" t="s">
        <v>32</v>
      </c>
      <c r="I660" t="s">
        <v>39</v>
      </c>
      <c r="J660">
        <v>1.05</v>
      </c>
      <c r="K660" t="s">
        <v>12</v>
      </c>
      <c r="L660">
        <v>0</v>
      </c>
      <c r="M660">
        <v>2.14</v>
      </c>
      <c r="N660">
        <v>44</v>
      </c>
      <c r="O660" t="s">
        <v>35</v>
      </c>
      <c r="P660">
        <v>15</v>
      </c>
      <c r="Q660">
        <v>5.42</v>
      </c>
      <c r="R660">
        <v>41.5</v>
      </c>
      <c r="S660">
        <v>90.79</v>
      </c>
      <c r="T660">
        <v>53.35</v>
      </c>
      <c r="U660">
        <v>1</v>
      </c>
      <c r="V660">
        <v>0</v>
      </c>
      <c r="W660">
        <v>144.13999999999999</v>
      </c>
      <c r="X660">
        <v>38.200000000000003</v>
      </c>
      <c r="Y660">
        <v>109.7</v>
      </c>
      <c r="Z660">
        <v>15.56</v>
      </c>
      <c r="AA660">
        <v>8.0500000000000007</v>
      </c>
      <c r="AB660">
        <v>120.53</v>
      </c>
      <c r="AC660">
        <v>174.26024096385544</v>
      </c>
      <c r="AD660">
        <v>22.2380073800738</v>
      </c>
      <c r="AE660">
        <v>78.58</v>
      </c>
      <c r="AF660">
        <v>13.69</v>
      </c>
      <c r="AG660">
        <v>1</v>
      </c>
      <c r="AH660">
        <v>15.64</v>
      </c>
      <c r="AI660">
        <v>59.64</v>
      </c>
      <c r="AJ660">
        <v>183.75</v>
      </c>
      <c r="AK660">
        <v>71.209999999999994</v>
      </c>
      <c r="AL660" t="s">
        <v>14</v>
      </c>
      <c r="AM660" t="s">
        <v>15</v>
      </c>
      <c r="AN660" t="str">
        <f t="shared" si="40"/>
        <v>Evening</v>
      </c>
      <c r="AO660" t="str">
        <f t="shared" si="41"/>
        <v>Off-Peak</v>
      </c>
      <c r="AP660" t="str">
        <f t="shared" si="42"/>
        <v>Medium</v>
      </c>
      <c r="AQ660" t="str">
        <f t="shared" si="43"/>
        <v>Medium</v>
      </c>
    </row>
    <row r="661" spans="1:43" x14ac:dyDescent="0.3">
      <c r="A661">
        <v>660</v>
      </c>
      <c r="B661" t="s">
        <v>48</v>
      </c>
      <c r="C661" t="s">
        <v>30</v>
      </c>
      <c r="D661" s="1">
        <v>46093</v>
      </c>
      <c r="E661" t="s">
        <v>41</v>
      </c>
      <c r="F661">
        <v>0</v>
      </c>
      <c r="G661">
        <v>7</v>
      </c>
      <c r="H661" t="s">
        <v>47</v>
      </c>
      <c r="I661" t="s">
        <v>33</v>
      </c>
      <c r="J661">
        <v>1</v>
      </c>
      <c r="K661" t="s">
        <v>12</v>
      </c>
      <c r="L661">
        <v>0</v>
      </c>
      <c r="M661">
        <v>2.59</v>
      </c>
      <c r="N661">
        <v>33</v>
      </c>
      <c r="O661" t="s">
        <v>22</v>
      </c>
      <c r="P661">
        <v>10</v>
      </c>
      <c r="Q661">
        <v>5.27</v>
      </c>
      <c r="R661">
        <v>42.6</v>
      </c>
      <c r="S661">
        <v>93.68</v>
      </c>
      <c r="T661">
        <v>37.25</v>
      </c>
      <c r="U661">
        <v>1</v>
      </c>
      <c r="V661">
        <v>0</v>
      </c>
      <c r="W661">
        <v>130.93</v>
      </c>
      <c r="X661">
        <v>37.5</v>
      </c>
      <c r="Y661">
        <v>109.47</v>
      </c>
      <c r="Z661">
        <v>15.4</v>
      </c>
      <c r="AA661">
        <v>6.49</v>
      </c>
      <c r="AB661">
        <v>109.04</v>
      </c>
      <c r="AC661">
        <v>153.57746478873239</v>
      </c>
      <c r="AD661">
        <v>20.690702087286532</v>
      </c>
      <c r="AE661">
        <v>72.319999999999993</v>
      </c>
      <c r="AF661">
        <v>20</v>
      </c>
      <c r="AG661">
        <v>0</v>
      </c>
      <c r="AH661">
        <v>-4.1500000000000004</v>
      </c>
      <c r="AI661">
        <v>28.85</v>
      </c>
      <c r="AJ661">
        <v>170.75</v>
      </c>
      <c r="AK661">
        <v>71.349999999999994</v>
      </c>
      <c r="AL661" t="s">
        <v>23</v>
      </c>
      <c r="AM661" t="s">
        <v>24</v>
      </c>
      <c r="AN661" t="str">
        <f t="shared" si="40"/>
        <v>Morning</v>
      </c>
      <c r="AO661" t="str">
        <f t="shared" si="41"/>
        <v>Peak</v>
      </c>
      <c r="AP661" t="str">
        <f t="shared" si="42"/>
        <v>Medium</v>
      </c>
      <c r="AQ661" t="str">
        <f t="shared" si="43"/>
        <v>Low</v>
      </c>
    </row>
    <row r="662" spans="1:43" x14ac:dyDescent="0.3">
      <c r="A662">
        <v>661</v>
      </c>
      <c r="B662" t="s">
        <v>14</v>
      </c>
      <c r="C662" t="s">
        <v>8</v>
      </c>
      <c r="D662" s="1">
        <v>46087</v>
      </c>
      <c r="E662" t="s">
        <v>9</v>
      </c>
      <c r="F662">
        <v>0</v>
      </c>
      <c r="G662">
        <v>10</v>
      </c>
      <c r="H662" t="s">
        <v>49</v>
      </c>
      <c r="I662" t="s">
        <v>33</v>
      </c>
      <c r="J662">
        <v>1</v>
      </c>
      <c r="K662" t="s">
        <v>12</v>
      </c>
      <c r="L662">
        <v>0</v>
      </c>
      <c r="M662">
        <v>3.33</v>
      </c>
      <c r="N662">
        <v>22</v>
      </c>
      <c r="O662" t="s">
        <v>22</v>
      </c>
      <c r="P662">
        <v>9</v>
      </c>
      <c r="Q662">
        <v>2.6</v>
      </c>
      <c r="R662">
        <v>27.4</v>
      </c>
      <c r="S662">
        <v>62.45</v>
      </c>
      <c r="T662">
        <v>22.09</v>
      </c>
      <c r="U662">
        <v>1</v>
      </c>
      <c r="V662">
        <v>0</v>
      </c>
      <c r="W662">
        <v>84.54</v>
      </c>
      <c r="X662">
        <v>49</v>
      </c>
      <c r="Y662">
        <v>106.2</v>
      </c>
      <c r="Z662">
        <v>5.62</v>
      </c>
      <c r="AA662">
        <v>4.62</v>
      </c>
      <c r="AB662">
        <v>74.3</v>
      </c>
      <c r="AC662">
        <v>162.7007299270073</v>
      </c>
      <c r="AD662">
        <v>28.576923076923073</v>
      </c>
      <c r="AE662">
        <v>85.09</v>
      </c>
      <c r="AF662">
        <v>14.38</v>
      </c>
      <c r="AG662">
        <v>0</v>
      </c>
      <c r="AH662">
        <v>9.1300000000000008</v>
      </c>
      <c r="AI662">
        <v>31.13</v>
      </c>
      <c r="AJ662">
        <v>149.11000000000001</v>
      </c>
      <c r="AK662">
        <v>65.569999999999993</v>
      </c>
      <c r="AL662" t="s">
        <v>14</v>
      </c>
      <c r="AM662" t="s">
        <v>15</v>
      </c>
      <c r="AN662" t="str">
        <f t="shared" si="40"/>
        <v>Morning</v>
      </c>
      <c r="AO662" t="str">
        <f t="shared" si="41"/>
        <v>Peak</v>
      </c>
      <c r="AP662" t="str">
        <f t="shared" si="42"/>
        <v>Medium</v>
      </c>
      <c r="AQ662" t="str">
        <f t="shared" si="43"/>
        <v>Low</v>
      </c>
    </row>
    <row r="663" spans="1:43" x14ac:dyDescent="0.3">
      <c r="A663">
        <v>662</v>
      </c>
      <c r="B663" t="s">
        <v>16</v>
      </c>
      <c r="C663" t="s">
        <v>17</v>
      </c>
      <c r="D663" s="1">
        <v>46102</v>
      </c>
      <c r="E663" t="s">
        <v>31</v>
      </c>
      <c r="F663">
        <v>1</v>
      </c>
      <c r="G663">
        <v>10</v>
      </c>
      <c r="H663" t="s">
        <v>19</v>
      </c>
      <c r="I663" t="s">
        <v>42</v>
      </c>
      <c r="J663">
        <v>1.08</v>
      </c>
      <c r="K663" t="s">
        <v>12</v>
      </c>
      <c r="L663">
        <v>0</v>
      </c>
      <c r="M663">
        <v>3.27</v>
      </c>
      <c r="N663">
        <v>40</v>
      </c>
      <c r="O663" t="s">
        <v>35</v>
      </c>
      <c r="P663">
        <v>5</v>
      </c>
      <c r="Q663">
        <v>2.66</v>
      </c>
      <c r="R663">
        <v>33.5</v>
      </c>
      <c r="S663">
        <v>86.63</v>
      </c>
      <c r="T663">
        <v>51.42</v>
      </c>
      <c r="U663">
        <v>1</v>
      </c>
      <c r="V663">
        <v>0</v>
      </c>
      <c r="W663">
        <v>138.05000000000001</v>
      </c>
      <c r="X663">
        <v>37.299999999999997</v>
      </c>
      <c r="Y663">
        <v>109.84</v>
      </c>
      <c r="Z663">
        <v>7.82</v>
      </c>
      <c r="AA663">
        <v>4.45</v>
      </c>
      <c r="AB663">
        <v>125.78</v>
      </c>
      <c r="AC663">
        <v>225.2776119402985</v>
      </c>
      <c r="AD663">
        <v>47.285714285714285</v>
      </c>
      <c r="AE663">
        <v>78.36</v>
      </c>
      <c r="AF663">
        <v>16.39</v>
      </c>
      <c r="AG663">
        <v>1</v>
      </c>
      <c r="AH663">
        <v>14.07</v>
      </c>
      <c r="AI663">
        <v>54.07</v>
      </c>
      <c r="AJ663">
        <v>208.52</v>
      </c>
      <c r="AK663">
        <v>67.22</v>
      </c>
      <c r="AL663" t="s">
        <v>23</v>
      </c>
      <c r="AM663" t="s">
        <v>24</v>
      </c>
      <c r="AN663" t="str">
        <f t="shared" si="40"/>
        <v>Morning</v>
      </c>
      <c r="AO663" t="str">
        <f t="shared" si="41"/>
        <v>Peak</v>
      </c>
      <c r="AP663" t="str">
        <f t="shared" si="42"/>
        <v>Medium</v>
      </c>
      <c r="AQ663" t="str">
        <f t="shared" si="43"/>
        <v>Medium</v>
      </c>
    </row>
    <row r="664" spans="1:43" x14ac:dyDescent="0.3">
      <c r="A664">
        <v>663</v>
      </c>
      <c r="B664" t="s">
        <v>7</v>
      </c>
      <c r="C664" t="s">
        <v>8</v>
      </c>
      <c r="D664" s="1">
        <v>46121</v>
      </c>
      <c r="E664" t="s">
        <v>41</v>
      </c>
      <c r="F664">
        <v>0</v>
      </c>
      <c r="G664">
        <v>11</v>
      </c>
      <c r="H664" t="s">
        <v>10</v>
      </c>
      <c r="I664" t="s">
        <v>11</v>
      </c>
      <c r="J664">
        <v>1.18</v>
      </c>
      <c r="K664" t="s">
        <v>12</v>
      </c>
      <c r="L664">
        <v>0</v>
      </c>
      <c r="M664">
        <v>1.32</v>
      </c>
      <c r="N664">
        <v>23</v>
      </c>
      <c r="O664" t="s">
        <v>22</v>
      </c>
      <c r="P664">
        <v>11</v>
      </c>
      <c r="Q664">
        <v>3.6</v>
      </c>
      <c r="R664">
        <v>23.7</v>
      </c>
      <c r="S664">
        <v>70.25</v>
      </c>
      <c r="T664">
        <v>29.87</v>
      </c>
      <c r="U664">
        <v>1</v>
      </c>
      <c r="V664">
        <v>0</v>
      </c>
      <c r="W664">
        <v>100.12</v>
      </c>
      <c r="X664">
        <v>46.7</v>
      </c>
      <c r="Y664">
        <v>105.03</v>
      </c>
      <c r="Z664">
        <v>8.1</v>
      </c>
      <c r="AA664">
        <v>10.01</v>
      </c>
      <c r="AB664">
        <v>82.01</v>
      </c>
      <c r="AC664">
        <v>207.620253164557</v>
      </c>
      <c r="AD664">
        <v>22.780555555555555</v>
      </c>
      <c r="AE664">
        <v>79.89</v>
      </c>
      <c r="AF664">
        <v>15.76</v>
      </c>
      <c r="AG664">
        <v>0</v>
      </c>
      <c r="AH664">
        <v>-20.27</v>
      </c>
      <c r="AI664">
        <v>5</v>
      </c>
      <c r="AJ664">
        <v>236.51</v>
      </c>
      <c r="AK664">
        <v>68.11</v>
      </c>
      <c r="AL664" t="s">
        <v>14</v>
      </c>
      <c r="AM664" t="s">
        <v>15</v>
      </c>
      <c r="AN664" t="str">
        <f t="shared" si="40"/>
        <v>Afternoon</v>
      </c>
      <c r="AO664" t="str">
        <f t="shared" si="41"/>
        <v>Off-Peak</v>
      </c>
      <c r="AP664" t="str">
        <f t="shared" si="42"/>
        <v>Medium</v>
      </c>
      <c r="AQ664" t="str">
        <f t="shared" si="43"/>
        <v>Low</v>
      </c>
    </row>
    <row r="665" spans="1:43" x14ac:dyDescent="0.3">
      <c r="A665">
        <v>664</v>
      </c>
      <c r="B665" t="s">
        <v>14</v>
      </c>
      <c r="C665" t="s">
        <v>8</v>
      </c>
      <c r="D665" s="1">
        <v>46055</v>
      </c>
      <c r="E665" t="s">
        <v>38</v>
      </c>
      <c r="F665">
        <v>0</v>
      </c>
      <c r="G665">
        <v>19</v>
      </c>
      <c r="H665" t="s">
        <v>51</v>
      </c>
      <c r="I665" t="s">
        <v>50</v>
      </c>
      <c r="J665">
        <v>1.2</v>
      </c>
      <c r="K665" t="s">
        <v>34</v>
      </c>
      <c r="L665">
        <v>1</v>
      </c>
      <c r="M665">
        <v>3.97</v>
      </c>
      <c r="N665">
        <v>101</v>
      </c>
      <c r="O665" t="s">
        <v>13</v>
      </c>
      <c r="P665">
        <v>38</v>
      </c>
      <c r="Q665">
        <v>3.06</v>
      </c>
      <c r="R665">
        <v>43.6</v>
      </c>
      <c r="S665">
        <v>65.27</v>
      </c>
      <c r="T665">
        <v>100</v>
      </c>
      <c r="U665">
        <v>1</v>
      </c>
      <c r="V665">
        <v>0</v>
      </c>
      <c r="W665">
        <v>165.27</v>
      </c>
      <c r="X665">
        <v>41.1</v>
      </c>
      <c r="Y665">
        <v>103.75</v>
      </c>
      <c r="Z665">
        <v>7.73</v>
      </c>
      <c r="AA665">
        <v>4.79</v>
      </c>
      <c r="AB665">
        <v>152.75</v>
      </c>
      <c r="AC665">
        <v>210.20642201834863</v>
      </c>
      <c r="AD665">
        <v>49.91830065359477</v>
      </c>
      <c r="AE665">
        <v>74.400000000000006</v>
      </c>
      <c r="AF665">
        <v>16.55</v>
      </c>
      <c r="AG665">
        <v>1</v>
      </c>
      <c r="AH665">
        <v>28.53</v>
      </c>
      <c r="AI665">
        <v>129.53</v>
      </c>
      <c r="AJ665">
        <v>223.13</v>
      </c>
      <c r="AK665">
        <v>74.41</v>
      </c>
      <c r="AL665" t="s">
        <v>14</v>
      </c>
      <c r="AM665" t="s">
        <v>15</v>
      </c>
      <c r="AN665" t="str">
        <f t="shared" si="40"/>
        <v>Night</v>
      </c>
      <c r="AO665" t="str">
        <f t="shared" si="41"/>
        <v>Peak</v>
      </c>
      <c r="AP665" t="str">
        <f t="shared" si="42"/>
        <v>Medium</v>
      </c>
      <c r="AQ665" t="str">
        <f t="shared" si="43"/>
        <v>High</v>
      </c>
    </row>
    <row r="666" spans="1:43" x14ac:dyDescent="0.3">
      <c r="A666">
        <v>665</v>
      </c>
      <c r="B666" t="s">
        <v>25</v>
      </c>
      <c r="C666" t="s">
        <v>17</v>
      </c>
      <c r="D666" s="1">
        <v>46205</v>
      </c>
      <c r="E666" t="s">
        <v>41</v>
      </c>
      <c r="F666">
        <v>0</v>
      </c>
      <c r="G666">
        <v>16</v>
      </c>
      <c r="H666" t="s">
        <v>19</v>
      </c>
      <c r="I666" t="s">
        <v>11</v>
      </c>
      <c r="J666">
        <v>1.18</v>
      </c>
      <c r="K666" t="s">
        <v>12</v>
      </c>
      <c r="L666">
        <v>0</v>
      </c>
      <c r="M666">
        <v>3.96</v>
      </c>
      <c r="N666">
        <v>41</v>
      </c>
      <c r="O666" t="s">
        <v>35</v>
      </c>
      <c r="P666">
        <v>8</v>
      </c>
      <c r="Q666">
        <v>2.14</v>
      </c>
      <c r="R666">
        <v>47.1</v>
      </c>
      <c r="S666">
        <v>96.12</v>
      </c>
      <c r="T666">
        <v>29.88</v>
      </c>
      <c r="U666">
        <v>1.05</v>
      </c>
      <c r="V666">
        <v>4.8099999999999996</v>
      </c>
      <c r="W666">
        <v>130.81</v>
      </c>
      <c r="X666">
        <v>45.9</v>
      </c>
      <c r="Y666">
        <v>104.61</v>
      </c>
      <c r="Z666">
        <v>4.88</v>
      </c>
      <c r="AA666">
        <v>2.06</v>
      </c>
      <c r="AB666">
        <v>123.87</v>
      </c>
      <c r="AC666">
        <v>157.79617834394904</v>
      </c>
      <c r="AD666">
        <v>57.883177570093459</v>
      </c>
      <c r="AE666">
        <v>68.959999999999994</v>
      </c>
      <c r="AF666">
        <v>17.82</v>
      </c>
      <c r="AG666">
        <v>0</v>
      </c>
      <c r="AH666">
        <v>36.99</v>
      </c>
      <c r="AI666">
        <v>77.989999999999995</v>
      </c>
      <c r="AJ666">
        <v>159.09</v>
      </c>
      <c r="AK666">
        <v>61.49</v>
      </c>
      <c r="AL666" t="s">
        <v>23</v>
      </c>
      <c r="AM666" t="s">
        <v>24</v>
      </c>
      <c r="AN666" t="str">
        <f t="shared" si="40"/>
        <v>Evening</v>
      </c>
      <c r="AO666" t="str">
        <f t="shared" si="41"/>
        <v>Off-Peak</v>
      </c>
      <c r="AP666" t="str">
        <f t="shared" si="42"/>
        <v>Medium</v>
      </c>
      <c r="AQ666" t="str">
        <f t="shared" si="43"/>
        <v>Medium</v>
      </c>
    </row>
    <row r="667" spans="1:43" x14ac:dyDescent="0.3">
      <c r="A667">
        <v>666</v>
      </c>
      <c r="B667" t="s">
        <v>25</v>
      </c>
      <c r="C667" t="s">
        <v>17</v>
      </c>
      <c r="D667" s="1">
        <v>46164</v>
      </c>
      <c r="E667" t="s">
        <v>9</v>
      </c>
      <c r="F667">
        <v>0</v>
      </c>
      <c r="G667">
        <v>22</v>
      </c>
      <c r="H667" t="s">
        <v>19</v>
      </c>
      <c r="I667" t="s">
        <v>20</v>
      </c>
      <c r="J667">
        <v>1.25</v>
      </c>
      <c r="K667" t="s">
        <v>12</v>
      </c>
      <c r="L667">
        <v>0</v>
      </c>
      <c r="M667">
        <v>3.06</v>
      </c>
      <c r="N667">
        <v>19</v>
      </c>
      <c r="O667" t="s">
        <v>22</v>
      </c>
      <c r="P667">
        <v>2</v>
      </c>
      <c r="Q667">
        <v>1.57</v>
      </c>
      <c r="R667">
        <v>29.7</v>
      </c>
      <c r="S667">
        <v>79.72</v>
      </c>
      <c r="T667">
        <v>19.57</v>
      </c>
      <c r="U667">
        <v>1.06</v>
      </c>
      <c r="V667">
        <v>4.78</v>
      </c>
      <c r="W667">
        <v>104.07</v>
      </c>
      <c r="X667">
        <v>36.4</v>
      </c>
      <c r="Y667">
        <v>100.46</v>
      </c>
      <c r="Z667">
        <v>4.33</v>
      </c>
      <c r="AA667">
        <v>2.19</v>
      </c>
      <c r="AB667">
        <v>97.55</v>
      </c>
      <c r="AC667">
        <v>197.07070707070707</v>
      </c>
      <c r="AD667">
        <v>62.133757961783438</v>
      </c>
      <c r="AE667">
        <v>73.31</v>
      </c>
      <c r="AF667">
        <v>18.07</v>
      </c>
      <c r="AG667">
        <v>0</v>
      </c>
      <c r="AH667">
        <v>17.21</v>
      </c>
      <c r="AI667">
        <v>36.21</v>
      </c>
      <c r="AJ667">
        <v>185.79</v>
      </c>
      <c r="AK667">
        <v>65.73</v>
      </c>
      <c r="AL667" t="s">
        <v>23</v>
      </c>
      <c r="AM667" t="s">
        <v>24</v>
      </c>
      <c r="AN667" t="str">
        <f t="shared" si="40"/>
        <v>Night</v>
      </c>
      <c r="AO667" t="str">
        <f t="shared" si="41"/>
        <v>Off-Peak</v>
      </c>
      <c r="AP667" t="str">
        <f t="shared" si="42"/>
        <v>Medium</v>
      </c>
      <c r="AQ667" t="str">
        <f t="shared" si="43"/>
        <v>Low</v>
      </c>
    </row>
    <row r="668" spans="1:43" x14ac:dyDescent="0.3">
      <c r="A668">
        <v>667</v>
      </c>
      <c r="B668" t="s">
        <v>29</v>
      </c>
      <c r="C668" t="s">
        <v>30</v>
      </c>
      <c r="D668" s="1">
        <v>46236</v>
      </c>
      <c r="E668" t="s">
        <v>26</v>
      </c>
      <c r="F668">
        <v>1</v>
      </c>
      <c r="G668">
        <v>12</v>
      </c>
      <c r="H668" t="s">
        <v>43</v>
      </c>
      <c r="I668" t="s">
        <v>46</v>
      </c>
      <c r="J668">
        <v>1.1499999999999999</v>
      </c>
      <c r="K668" t="s">
        <v>12</v>
      </c>
      <c r="L668">
        <v>0</v>
      </c>
      <c r="M668">
        <v>1.87</v>
      </c>
      <c r="N668">
        <v>37</v>
      </c>
      <c r="O668" t="s">
        <v>35</v>
      </c>
      <c r="P668">
        <v>11</v>
      </c>
      <c r="Q668">
        <v>8.4700000000000006</v>
      </c>
      <c r="R668">
        <v>50.4</v>
      </c>
      <c r="S668">
        <v>104.38</v>
      </c>
      <c r="T668">
        <v>50.4</v>
      </c>
      <c r="U668">
        <v>1</v>
      </c>
      <c r="V668">
        <v>0</v>
      </c>
      <c r="W668">
        <v>154.78</v>
      </c>
      <c r="X668">
        <v>45.9</v>
      </c>
      <c r="Y668">
        <v>105.49</v>
      </c>
      <c r="Z668">
        <v>19.489999999999998</v>
      </c>
      <c r="AA668">
        <v>11.78</v>
      </c>
      <c r="AB668">
        <v>123.51</v>
      </c>
      <c r="AC668">
        <v>147.03571428571431</v>
      </c>
      <c r="AD668">
        <v>14.582054309327036</v>
      </c>
      <c r="AE668">
        <v>72.08</v>
      </c>
      <c r="AF668">
        <v>13.62</v>
      </c>
      <c r="AG668">
        <v>1</v>
      </c>
      <c r="AH668">
        <v>15.09</v>
      </c>
      <c r="AI668">
        <v>52.09</v>
      </c>
      <c r="AJ668">
        <v>150.19</v>
      </c>
      <c r="AK668">
        <v>62.78</v>
      </c>
      <c r="AL668" t="s">
        <v>14</v>
      </c>
      <c r="AM668" t="s">
        <v>15</v>
      </c>
      <c r="AN668" t="str">
        <f t="shared" si="40"/>
        <v>Afternoon</v>
      </c>
      <c r="AO668" t="str">
        <f t="shared" si="41"/>
        <v>Off-Peak</v>
      </c>
      <c r="AP668" t="str">
        <f t="shared" si="42"/>
        <v>Low</v>
      </c>
      <c r="AQ668" t="str">
        <f t="shared" si="43"/>
        <v>Medium</v>
      </c>
    </row>
    <row r="669" spans="1:43" x14ac:dyDescent="0.3">
      <c r="A669">
        <v>668</v>
      </c>
      <c r="B669" t="s">
        <v>23</v>
      </c>
      <c r="C669" t="s">
        <v>17</v>
      </c>
      <c r="D669" s="1">
        <v>46204</v>
      </c>
      <c r="E669" t="s">
        <v>18</v>
      </c>
      <c r="F669">
        <v>0</v>
      </c>
      <c r="G669">
        <v>21</v>
      </c>
      <c r="H669" t="s">
        <v>19</v>
      </c>
      <c r="I669" t="s">
        <v>33</v>
      </c>
      <c r="J669">
        <v>1</v>
      </c>
      <c r="K669" t="s">
        <v>12</v>
      </c>
      <c r="L669">
        <v>0</v>
      </c>
      <c r="M669">
        <v>5</v>
      </c>
      <c r="N669">
        <v>72</v>
      </c>
      <c r="O669" t="s">
        <v>13</v>
      </c>
      <c r="P669">
        <v>11</v>
      </c>
      <c r="Q669">
        <v>2.78</v>
      </c>
      <c r="R669">
        <v>27.9</v>
      </c>
      <c r="S669">
        <v>84.25</v>
      </c>
      <c r="T669">
        <v>97.59</v>
      </c>
      <c r="U669">
        <v>1.3</v>
      </c>
      <c r="V669">
        <v>25.28</v>
      </c>
      <c r="W669">
        <v>207.12</v>
      </c>
      <c r="X669">
        <v>42.7</v>
      </c>
      <c r="Y669">
        <v>106.66</v>
      </c>
      <c r="Z669">
        <v>6.95</v>
      </c>
      <c r="AA669">
        <v>7.6</v>
      </c>
      <c r="AB669">
        <v>192.57</v>
      </c>
      <c r="AC669">
        <v>414.12903225806451</v>
      </c>
      <c r="AD669">
        <v>69.269784172661872</v>
      </c>
      <c r="AE669">
        <v>88.46</v>
      </c>
      <c r="AF669">
        <v>20</v>
      </c>
      <c r="AG669">
        <v>1</v>
      </c>
      <c r="AH669">
        <v>11.83</v>
      </c>
      <c r="AI669">
        <v>83.83</v>
      </c>
      <c r="AJ669">
        <v>400</v>
      </c>
      <c r="AK669">
        <v>75.16</v>
      </c>
      <c r="AL669" t="s">
        <v>14</v>
      </c>
      <c r="AM669" t="s">
        <v>15</v>
      </c>
      <c r="AN669" t="str">
        <f t="shared" si="40"/>
        <v>Night</v>
      </c>
      <c r="AO669" t="str">
        <f t="shared" si="41"/>
        <v>Off-Peak</v>
      </c>
      <c r="AP669" t="str">
        <f t="shared" si="42"/>
        <v>High</v>
      </c>
      <c r="AQ669" t="str">
        <f t="shared" si="43"/>
        <v>High</v>
      </c>
    </row>
    <row r="670" spans="1:43" x14ac:dyDescent="0.3">
      <c r="A670">
        <v>669</v>
      </c>
      <c r="B670" t="s">
        <v>23</v>
      </c>
      <c r="C670" t="s">
        <v>17</v>
      </c>
      <c r="D670" s="1">
        <v>46061</v>
      </c>
      <c r="E670" t="s">
        <v>26</v>
      </c>
      <c r="F670">
        <v>1</v>
      </c>
      <c r="G670">
        <v>7</v>
      </c>
      <c r="H670" t="s">
        <v>27</v>
      </c>
      <c r="I670" t="s">
        <v>45</v>
      </c>
      <c r="J670">
        <v>1</v>
      </c>
      <c r="K670" t="s">
        <v>21</v>
      </c>
      <c r="L670">
        <v>0</v>
      </c>
      <c r="M670">
        <v>4.08</v>
      </c>
      <c r="N670">
        <v>105</v>
      </c>
      <c r="O670" t="s">
        <v>13</v>
      </c>
      <c r="P670">
        <v>20</v>
      </c>
      <c r="Q670">
        <v>5.25</v>
      </c>
      <c r="R670">
        <v>39.5</v>
      </c>
      <c r="S670">
        <v>122.19</v>
      </c>
      <c r="T670">
        <v>100</v>
      </c>
      <c r="U670">
        <v>1.17</v>
      </c>
      <c r="V670">
        <v>20.77</v>
      </c>
      <c r="W670">
        <v>242.96</v>
      </c>
      <c r="X670">
        <v>48.5</v>
      </c>
      <c r="Y670">
        <v>101.1</v>
      </c>
      <c r="Z670">
        <v>10.95</v>
      </c>
      <c r="AA670">
        <v>6.89</v>
      </c>
      <c r="AB670">
        <v>225.12</v>
      </c>
      <c r="AC670">
        <v>341.95443037974684</v>
      </c>
      <c r="AD670">
        <v>42.88</v>
      </c>
      <c r="AE670">
        <v>79.17</v>
      </c>
      <c r="AF670">
        <v>17.010000000000002</v>
      </c>
      <c r="AG670">
        <v>1</v>
      </c>
      <c r="AH670">
        <v>-1.85</v>
      </c>
      <c r="AI670">
        <v>103.15</v>
      </c>
      <c r="AJ670">
        <v>353.57</v>
      </c>
      <c r="AK670">
        <v>87.28</v>
      </c>
      <c r="AL670" t="s">
        <v>23</v>
      </c>
      <c r="AM670" t="s">
        <v>24</v>
      </c>
      <c r="AN670" t="str">
        <f t="shared" si="40"/>
        <v>Morning</v>
      </c>
      <c r="AO670" t="str">
        <f t="shared" si="41"/>
        <v>Peak</v>
      </c>
      <c r="AP670" t="str">
        <f t="shared" si="42"/>
        <v>High</v>
      </c>
      <c r="AQ670" t="str">
        <f t="shared" si="43"/>
        <v>High</v>
      </c>
    </row>
    <row r="671" spans="1:43" x14ac:dyDescent="0.3">
      <c r="A671">
        <v>670</v>
      </c>
      <c r="B671" t="s">
        <v>7</v>
      </c>
      <c r="C671" t="s">
        <v>8</v>
      </c>
      <c r="D671" s="1">
        <v>46041</v>
      </c>
      <c r="E671" t="s">
        <v>38</v>
      </c>
      <c r="F671">
        <v>0</v>
      </c>
      <c r="G671">
        <v>15</v>
      </c>
      <c r="H671" t="s">
        <v>32</v>
      </c>
      <c r="I671" t="s">
        <v>33</v>
      </c>
      <c r="J671">
        <v>1</v>
      </c>
      <c r="K671" t="s">
        <v>12</v>
      </c>
      <c r="L671">
        <v>0</v>
      </c>
      <c r="M671">
        <v>3.31</v>
      </c>
      <c r="N671">
        <v>36</v>
      </c>
      <c r="O671" t="s">
        <v>35</v>
      </c>
      <c r="P671">
        <v>12</v>
      </c>
      <c r="Q671">
        <v>5.98</v>
      </c>
      <c r="R671">
        <v>55.9</v>
      </c>
      <c r="S671">
        <v>90.51</v>
      </c>
      <c r="T671">
        <v>42.91</v>
      </c>
      <c r="U671">
        <v>1</v>
      </c>
      <c r="V671">
        <v>0</v>
      </c>
      <c r="W671">
        <v>133.41999999999999</v>
      </c>
      <c r="X671">
        <v>37.799999999999997</v>
      </c>
      <c r="Y671">
        <v>102.56</v>
      </c>
      <c r="Z671">
        <v>16.21</v>
      </c>
      <c r="AA671">
        <v>11.18</v>
      </c>
      <c r="AB671">
        <v>106.03</v>
      </c>
      <c r="AC671">
        <v>113.80679785330949</v>
      </c>
      <c r="AD671">
        <v>17.73076923076923</v>
      </c>
      <c r="AE671">
        <v>65.08</v>
      </c>
      <c r="AF671">
        <v>14</v>
      </c>
      <c r="AG671">
        <v>0</v>
      </c>
      <c r="AH671">
        <v>1.35</v>
      </c>
      <c r="AI671">
        <v>37.35</v>
      </c>
      <c r="AJ671">
        <v>129.74</v>
      </c>
      <c r="AK671">
        <v>71.819999999999993</v>
      </c>
      <c r="AL671" t="s">
        <v>14</v>
      </c>
      <c r="AM671" t="s">
        <v>15</v>
      </c>
      <c r="AN671" t="str">
        <f t="shared" si="40"/>
        <v>Evening</v>
      </c>
      <c r="AO671" t="str">
        <f t="shared" si="41"/>
        <v>Off-Peak</v>
      </c>
      <c r="AP671" t="str">
        <f t="shared" si="42"/>
        <v>Low</v>
      </c>
      <c r="AQ671" t="str">
        <f t="shared" si="43"/>
        <v>Medium</v>
      </c>
    </row>
    <row r="672" spans="1:43" x14ac:dyDescent="0.3">
      <c r="A672">
        <v>671</v>
      </c>
      <c r="B672" t="s">
        <v>23</v>
      </c>
      <c r="C672" t="s">
        <v>17</v>
      </c>
      <c r="D672" s="1">
        <v>46132</v>
      </c>
      <c r="E672" t="s">
        <v>38</v>
      </c>
      <c r="F672">
        <v>0</v>
      </c>
      <c r="G672">
        <v>19</v>
      </c>
      <c r="H672" t="s">
        <v>40</v>
      </c>
      <c r="I672" t="s">
        <v>45</v>
      </c>
      <c r="J672">
        <v>1</v>
      </c>
      <c r="K672" t="s">
        <v>12</v>
      </c>
      <c r="L672">
        <v>0</v>
      </c>
      <c r="M672">
        <v>4.42</v>
      </c>
      <c r="N672">
        <v>52</v>
      </c>
      <c r="O672" t="s">
        <v>35</v>
      </c>
      <c r="P672">
        <v>13</v>
      </c>
      <c r="Q672">
        <v>5.44</v>
      </c>
      <c r="R672">
        <v>45</v>
      </c>
      <c r="S672">
        <v>128.28</v>
      </c>
      <c r="T672">
        <v>72.58</v>
      </c>
      <c r="U672">
        <v>1.33</v>
      </c>
      <c r="V672">
        <v>42.33</v>
      </c>
      <c r="W672">
        <v>243.19</v>
      </c>
      <c r="X672">
        <v>36.6</v>
      </c>
      <c r="Y672">
        <v>107.21</v>
      </c>
      <c r="Z672">
        <v>15.9</v>
      </c>
      <c r="AA672">
        <v>5.52</v>
      </c>
      <c r="AB672">
        <v>221.77</v>
      </c>
      <c r="AC672">
        <v>295.69333333333333</v>
      </c>
      <c r="AD672">
        <v>40.766544117647058</v>
      </c>
      <c r="AE672">
        <v>69.540000000000006</v>
      </c>
      <c r="AF672">
        <v>17.45</v>
      </c>
      <c r="AG672">
        <v>1</v>
      </c>
      <c r="AH672">
        <v>17.47</v>
      </c>
      <c r="AI672">
        <v>69.47</v>
      </c>
      <c r="AJ672">
        <v>304.17</v>
      </c>
      <c r="AK672">
        <v>72.72</v>
      </c>
      <c r="AL672" t="s">
        <v>23</v>
      </c>
      <c r="AM672" t="s">
        <v>24</v>
      </c>
      <c r="AN672" t="str">
        <f t="shared" si="40"/>
        <v>Night</v>
      </c>
      <c r="AO672" t="str">
        <f t="shared" si="41"/>
        <v>Peak</v>
      </c>
      <c r="AP672" t="str">
        <f t="shared" si="42"/>
        <v>High</v>
      </c>
      <c r="AQ672" t="str">
        <f t="shared" si="43"/>
        <v>Medium</v>
      </c>
    </row>
    <row r="673" spans="1:43" x14ac:dyDescent="0.3">
      <c r="A673">
        <v>672</v>
      </c>
      <c r="B673" t="s">
        <v>25</v>
      </c>
      <c r="C673" t="s">
        <v>17</v>
      </c>
      <c r="D673" s="1">
        <v>46147</v>
      </c>
      <c r="E673" t="s">
        <v>44</v>
      </c>
      <c r="F673">
        <v>0</v>
      </c>
      <c r="G673">
        <v>15</v>
      </c>
      <c r="H673" t="s">
        <v>19</v>
      </c>
      <c r="I673" t="s">
        <v>42</v>
      </c>
      <c r="J673">
        <v>1.08</v>
      </c>
      <c r="K673" t="s">
        <v>34</v>
      </c>
      <c r="L673">
        <v>1</v>
      </c>
      <c r="M673">
        <v>3.21</v>
      </c>
      <c r="N673">
        <v>39</v>
      </c>
      <c r="O673" t="s">
        <v>35</v>
      </c>
      <c r="P673">
        <v>6</v>
      </c>
      <c r="Q673">
        <v>6.2</v>
      </c>
      <c r="R673">
        <v>46.9</v>
      </c>
      <c r="S673">
        <v>127.23</v>
      </c>
      <c r="T673">
        <v>38.130000000000003</v>
      </c>
      <c r="U673">
        <v>1.1100000000000001</v>
      </c>
      <c r="V673">
        <v>14</v>
      </c>
      <c r="W673">
        <v>179.36</v>
      </c>
      <c r="X673">
        <v>37.9</v>
      </c>
      <c r="Y673">
        <v>107.94</v>
      </c>
      <c r="Z673">
        <v>17.64</v>
      </c>
      <c r="AA673">
        <v>9.9499999999999993</v>
      </c>
      <c r="AB673">
        <v>151.77000000000001</v>
      </c>
      <c r="AC673">
        <v>194.1620469083156</v>
      </c>
      <c r="AD673">
        <v>24.479032258064517</v>
      </c>
      <c r="AE673">
        <v>82.84</v>
      </c>
      <c r="AF673">
        <v>12.35</v>
      </c>
      <c r="AG673">
        <v>0</v>
      </c>
      <c r="AH673">
        <v>-11.6</v>
      </c>
      <c r="AI673">
        <v>27.4</v>
      </c>
      <c r="AJ673">
        <v>183.86</v>
      </c>
      <c r="AK673">
        <v>71.39</v>
      </c>
      <c r="AL673" t="s">
        <v>23</v>
      </c>
      <c r="AM673" t="s">
        <v>24</v>
      </c>
      <c r="AN673" t="str">
        <f t="shared" si="40"/>
        <v>Evening</v>
      </c>
      <c r="AO673" t="str">
        <f t="shared" si="41"/>
        <v>Off-Peak</v>
      </c>
      <c r="AP673" t="str">
        <f t="shared" si="42"/>
        <v>Medium</v>
      </c>
      <c r="AQ673" t="str">
        <f t="shared" si="43"/>
        <v>Medium</v>
      </c>
    </row>
    <row r="674" spans="1:43" x14ac:dyDescent="0.3">
      <c r="A674">
        <v>673</v>
      </c>
      <c r="B674" t="s">
        <v>25</v>
      </c>
      <c r="C674" t="s">
        <v>17</v>
      </c>
      <c r="D674" s="1">
        <v>46084</v>
      </c>
      <c r="E674" t="s">
        <v>44</v>
      </c>
      <c r="F674">
        <v>0</v>
      </c>
      <c r="G674">
        <v>21</v>
      </c>
      <c r="H674" t="s">
        <v>19</v>
      </c>
      <c r="I674" t="s">
        <v>37</v>
      </c>
      <c r="J674">
        <v>1.02</v>
      </c>
      <c r="K674" t="s">
        <v>21</v>
      </c>
      <c r="L674">
        <v>0</v>
      </c>
      <c r="M674">
        <v>3.52</v>
      </c>
      <c r="N674">
        <v>56</v>
      </c>
      <c r="O674" t="s">
        <v>35</v>
      </c>
      <c r="P674">
        <v>14</v>
      </c>
      <c r="Q674">
        <v>5.39</v>
      </c>
      <c r="R674">
        <v>49.6</v>
      </c>
      <c r="S674">
        <v>127.85</v>
      </c>
      <c r="T674">
        <v>78.88</v>
      </c>
      <c r="U674">
        <v>1.36</v>
      </c>
      <c r="V674">
        <v>46.03</v>
      </c>
      <c r="W674">
        <v>252.76</v>
      </c>
      <c r="X674">
        <v>36.200000000000003</v>
      </c>
      <c r="Y674">
        <v>109.86</v>
      </c>
      <c r="Z674">
        <v>16.38</v>
      </c>
      <c r="AA674">
        <v>9.2200000000000006</v>
      </c>
      <c r="AB674">
        <v>227.16</v>
      </c>
      <c r="AC674">
        <v>274.79032258064518</v>
      </c>
      <c r="AD674">
        <v>42.144712430426715</v>
      </c>
      <c r="AE674">
        <v>75.14</v>
      </c>
      <c r="AF674">
        <v>18.36</v>
      </c>
      <c r="AG674">
        <v>1</v>
      </c>
      <c r="AH674">
        <v>-12.91</v>
      </c>
      <c r="AI674">
        <v>43.09</v>
      </c>
      <c r="AJ674">
        <v>272.43</v>
      </c>
      <c r="AK674">
        <v>74.55</v>
      </c>
      <c r="AL674" t="s">
        <v>14</v>
      </c>
      <c r="AM674" t="s">
        <v>15</v>
      </c>
      <c r="AN674" t="str">
        <f t="shared" si="40"/>
        <v>Night</v>
      </c>
      <c r="AO674" t="str">
        <f t="shared" si="41"/>
        <v>Off-Peak</v>
      </c>
      <c r="AP674" t="str">
        <f t="shared" si="42"/>
        <v>High</v>
      </c>
      <c r="AQ674" t="str">
        <f t="shared" si="43"/>
        <v>Medium</v>
      </c>
    </row>
    <row r="675" spans="1:43" x14ac:dyDescent="0.3">
      <c r="A675">
        <v>674</v>
      </c>
      <c r="B675" t="s">
        <v>7</v>
      </c>
      <c r="C675" t="s">
        <v>8</v>
      </c>
      <c r="D675" s="1">
        <v>46224</v>
      </c>
      <c r="E675" t="s">
        <v>44</v>
      </c>
      <c r="F675">
        <v>0</v>
      </c>
      <c r="G675">
        <v>12</v>
      </c>
      <c r="H675" t="s">
        <v>10</v>
      </c>
      <c r="I675" t="s">
        <v>28</v>
      </c>
      <c r="J675">
        <v>1.03</v>
      </c>
      <c r="K675" t="s">
        <v>21</v>
      </c>
      <c r="L675">
        <v>0</v>
      </c>
      <c r="M675">
        <v>5</v>
      </c>
      <c r="N675">
        <v>64</v>
      </c>
      <c r="O675" t="s">
        <v>35</v>
      </c>
      <c r="P675">
        <v>33</v>
      </c>
      <c r="Q675">
        <v>2.4</v>
      </c>
      <c r="R675">
        <v>46.2</v>
      </c>
      <c r="S675">
        <v>74.489999999999995</v>
      </c>
      <c r="T675">
        <v>86.62</v>
      </c>
      <c r="U675">
        <v>1</v>
      </c>
      <c r="V675">
        <v>0</v>
      </c>
      <c r="W675">
        <v>161.11000000000001</v>
      </c>
      <c r="X675">
        <v>49.7</v>
      </c>
      <c r="Y675">
        <v>102.53</v>
      </c>
      <c r="Z675">
        <v>4.96</v>
      </c>
      <c r="AA675">
        <v>6.77</v>
      </c>
      <c r="AB675">
        <v>149.38</v>
      </c>
      <c r="AC675">
        <v>194</v>
      </c>
      <c r="AD675">
        <v>62.241666666666667</v>
      </c>
      <c r="AE675">
        <v>75.349999999999994</v>
      </c>
      <c r="AF675">
        <v>17.71</v>
      </c>
      <c r="AG675">
        <v>1</v>
      </c>
      <c r="AH675">
        <v>-2.96</v>
      </c>
      <c r="AI675">
        <v>61.04</v>
      </c>
      <c r="AJ675">
        <v>185.1</v>
      </c>
      <c r="AK675">
        <v>76.62</v>
      </c>
      <c r="AL675" t="s">
        <v>14</v>
      </c>
      <c r="AM675" t="s">
        <v>15</v>
      </c>
      <c r="AN675" t="str">
        <f t="shared" si="40"/>
        <v>Afternoon</v>
      </c>
      <c r="AO675" t="str">
        <f t="shared" si="41"/>
        <v>Off-Peak</v>
      </c>
      <c r="AP675" t="str">
        <f t="shared" si="42"/>
        <v>Medium</v>
      </c>
      <c r="AQ675" t="str">
        <f t="shared" si="43"/>
        <v>Medium</v>
      </c>
    </row>
    <row r="676" spans="1:43" x14ac:dyDescent="0.3">
      <c r="A676">
        <v>675</v>
      </c>
      <c r="B676" t="s">
        <v>25</v>
      </c>
      <c r="C676" t="s">
        <v>17</v>
      </c>
      <c r="D676" s="1">
        <v>46173</v>
      </c>
      <c r="E676" t="s">
        <v>26</v>
      </c>
      <c r="F676">
        <v>1</v>
      </c>
      <c r="G676">
        <v>7</v>
      </c>
      <c r="H676" t="s">
        <v>27</v>
      </c>
      <c r="I676" t="s">
        <v>20</v>
      </c>
      <c r="J676">
        <v>1.25</v>
      </c>
      <c r="K676" t="s">
        <v>34</v>
      </c>
      <c r="L676">
        <v>1</v>
      </c>
      <c r="M676">
        <v>5</v>
      </c>
      <c r="N676">
        <v>130</v>
      </c>
      <c r="O676" t="s">
        <v>13</v>
      </c>
      <c r="P676">
        <v>23</v>
      </c>
      <c r="Q676">
        <v>3.19</v>
      </c>
      <c r="R676">
        <v>41.4</v>
      </c>
      <c r="S676">
        <v>103.26</v>
      </c>
      <c r="T676">
        <v>100</v>
      </c>
      <c r="U676">
        <v>1.28</v>
      </c>
      <c r="V676">
        <v>28.91</v>
      </c>
      <c r="W676">
        <v>232.17</v>
      </c>
      <c r="X676">
        <v>36.799999999999997</v>
      </c>
      <c r="Y676">
        <v>108.41</v>
      </c>
      <c r="Z676">
        <v>9.39</v>
      </c>
      <c r="AA676">
        <v>9.75</v>
      </c>
      <c r="AB676">
        <v>213.03</v>
      </c>
      <c r="AC676">
        <v>308.73913043478262</v>
      </c>
      <c r="AD676">
        <v>66.780564263322887</v>
      </c>
      <c r="AE676">
        <v>90.88</v>
      </c>
      <c r="AF676">
        <v>17.649999999999999</v>
      </c>
      <c r="AG676">
        <v>1</v>
      </c>
      <c r="AH676">
        <v>12.84</v>
      </c>
      <c r="AI676">
        <v>142.84</v>
      </c>
      <c r="AJ676">
        <v>325.26</v>
      </c>
      <c r="AK676">
        <v>85.91</v>
      </c>
      <c r="AL676" t="s">
        <v>23</v>
      </c>
      <c r="AM676" t="s">
        <v>24</v>
      </c>
      <c r="AN676" t="str">
        <f t="shared" si="40"/>
        <v>Morning</v>
      </c>
      <c r="AO676" t="str">
        <f t="shared" si="41"/>
        <v>Peak</v>
      </c>
      <c r="AP676" t="str">
        <f t="shared" si="42"/>
        <v>High</v>
      </c>
      <c r="AQ676" t="str">
        <f t="shared" si="43"/>
        <v>High</v>
      </c>
    </row>
    <row r="677" spans="1:43" x14ac:dyDescent="0.3">
      <c r="A677">
        <v>676</v>
      </c>
      <c r="B677" t="s">
        <v>16</v>
      </c>
      <c r="C677" t="s">
        <v>17</v>
      </c>
      <c r="D677" s="1">
        <v>46215</v>
      </c>
      <c r="E677" t="s">
        <v>26</v>
      </c>
      <c r="F677">
        <v>1</v>
      </c>
      <c r="G677">
        <v>19</v>
      </c>
      <c r="H677" t="s">
        <v>40</v>
      </c>
      <c r="I677" t="s">
        <v>46</v>
      </c>
      <c r="J677">
        <v>1.1499999999999999</v>
      </c>
      <c r="K677" t="s">
        <v>34</v>
      </c>
      <c r="L677">
        <v>1</v>
      </c>
      <c r="M677">
        <v>5</v>
      </c>
      <c r="N677">
        <v>91</v>
      </c>
      <c r="O677" t="s">
        <v>13</v>
      </c>
      <c r="P677">
        <v>15</v>
      </c>
      <c r="Q677">
        <v>8.33</v>
      </c>
      <c r="R677">
        <v>63.4</v>
      </c>
      <c r="S677">
        <v>143.94999999999999</v>
      </c>
      <c r="T677">
        <v>100</v>
      </c>
      <c r="U677">
        <v>1.31</v>
      </c>
      <c r="V677">
        <v>44.62</v>
      </c>
      <c r="W677">
        <v>288.57</v>
      </c>
      <c r="X677">
        <v>38</v>
      </c>
      <c r="Y677">
        <v>101.72</v>
      </c>
      <c r="Z677">
        <v>22.28</v>
      </c>
      <c r="AA677">
        <v>11.66</v>
      </c>
      <c r="AB677">
        <v>254.63</v>
      </c>
      <c r="AC677">
        <v>240.97476340694007</v>
      </c>
      <c r="AD677">
        <v>30.56782713085234</v>
      </c>
      <c r="AE677">
        <v>71.959999999999994</v>
      </c>
      <c r="AF677">
        <v>16.100000000000001</v>
      </c>
      <c r="AG677">
        <v>1</v>
      </c>
      <c r="AH677">
        <v>-9.99</v>
      </c>
      <c r="AI677">
        <v>81.010000000000005</v>
      </c>
      <c r="AJ677">
        <v>272.19</v>
      </c>
      <c r="AK677">
        <v>71.8</v>
      </c>
      <c r="AL677" t="s">
        <v>23</v>
      </c>
      <c r="AM677" t="s">
        <v>24</v>
      </c>
      <c r="AN677" t="str">
        <f t="shared" si="40"/>
        <v>Night</v>
      </c>
      <c r="AO677" t="str">
        <f t="shared" si="41"/>
        <v>Peak</v>
      </c>
      <c r="AP677" t="str">
        <f t="shared" si="42"/>
        <v>Medium</v>
      </c>
      <c r="AQ677" t="str">
        <f t="shared" si="43"/>
        <v>High</v>
      </c>
    </row>
    <row r="678" spans="1:43" x14ac:dyDescent="0.3">
      <c r="A678">
        <v>677</v>
      </c>
      <c r="B678" t="s">
        <v>25</v>
      </c>
      <c r="C678" t="s">
        <v>17</v>
      </c>
      <c r="D678" s="1">
        <v>46051</v>
      </c>
      <c r="E678" t="s">
        <v>41</v>
      </c>
      <c r="F678">
        <v>0</v>
      </c>
      <c r="G678">
        <v>8</v>
      </c>
      <c r="H678" t="s">
        <v>27</v>
      </c>
      <c r="I678" t="s">
        <v>42</v>
      </c>
      <c r="J678">
        <v>1.08</v>
      </c>
      <c r="K678" t="s">
        <v>12</v>
      </c>
      <c r="L678">
        <v>0</v>
      </c>
      <c r="M678">
        <v>4.5599999999999996</v>
      </c>
      <c r="N678">
        <v>49</v>
      </c>
      <c r="O678" t="s">
        <v>35</v>
      </c>
      <c r="P678">
        <v>8</v>
      </c>
      <c r="Q678">
        <v>2.72</v>
      </c>
      <c r="R678">
        <v>38.799999999999997</v>
      </c>
      <c r="S678">
        <v>88.32</v>
      </c>
      <c r="T678">
        <v>84.7</v>
      </c>
      <c r="U678">
        <v>1.35</v>
      </c>
      <c r="V678">
        <v>30.91</v>
      </c>
      <c r="W678">
        <v>203.93</v>
      </c>
      <c r="X678">
        <v>47.1</v>
      </c>
      <c r="Y678">
        <v>101.31</v>
      </c>
      <c r="Z678">
        <v>5.84</v>
      </c>
      <c r="AA678">
        <v>4.01</v>
      </c>
      <c r="AB678">
        <v>194.08</v>
      </c>
      <c r="AC678">
        <v>300.12371134020623</v>
      </c>
      <c r="AD678">
        <v>71.352941176470594</v>
      </c>
      <c r="AE678">
        <v>58.04</v>
      </c>
      <c r="AF678">
        <v>13.41</v>
      </c>
      <c r="AG678">
        <v>1</v>
      </c>
      <c r="AH678">
        <v>-0.38</v>
      </c>
      <c r="AI678">
        <v>48.62</v>
      </c>
      <c r="AJ678">
        <v>310.23</v>
      </c>
      <c r="AK678">
        <v>75.33</v>
      </c>
      <c r="AL678" t="s">
        <v>23</v>
      </c>
      <c r="AM678" t="s">
        <v>24</v>
      </c>
      <c r="AN678" t="str">
        <f t="shared" si="40"/>
        <v>Morning</v>
      </c>
      <c r="AO678" t="str">
        <f t="shared" si="41"/>
        <v>Peak</v>
      </c>
      <c r="AP678" t="str">
        <f t="shared" si="42"/>
        <v>High</v>
      </c>
      <c r="AQ678" t="str">
        <f t="shared" si="43"/>
        <v>Medium</v>
      </c>
    </row>
    <row r="679" spans="1:43" x14ac:dyDescent="0.3">
      <c r="A679">
        <v>678</v>
      </c>
      <c r="B679" t="s">
        <v>7</v>
      </c>
      <c r="C679" t="s">
        <v>8</v>
      </c>
      <c r="D679" s="1">
        <v>46233</v>
      </c>
      <c r="E679" t="s">
        <v>41</v>
      </c>
      <c r="F679">
        <v>0</v>
      </c>
      <c r="G679">
        <v>19</v>
      </c>
      <c r="H679" t="s">
        <v>51</v>
      </c>
      <c r="I679" t="s">
        <v>11</v>
      </c>
      <c r="J679">
        <v>1.18</v>
      </c>
      <c r="K679" t="s">
        <v>12</v>
      </c>
      <c r="L679">
        <v>0</v>
      </c>
      <c r="M679">
        <v>3.3</v>
      </c>
      <c r="N679">
        <v>61</v>
      </c>
      <c r="O679" t="s">
        <v>35</v>
      </c>
      <c r="P679">
        <v>33</v>
      </c>
      <c r="Q679">
        <v>4.01</v>
      </c>
      <c r="R679">
        <v>36.1</v>
      </c>
      <c r="S679">
        <v>88.3</v>
      </c>
      <c r="T679">
        <v>65.75</v>
      </c>
      <c r="U679">
        <v>1</v>
      </c>
      <c r="V679">
        <v>0</v>
      </c>
      <c r="W679">
        <v>154.05000000000001</v>
      </c>
      <c r="X679">
        <v>38.700000000000003</v>
      </c>
      <c r="Y679">
        <v>107.29</v>
      </c>
      <c r="Z679">
        <v>11.13</v>
      </c>
      <c r="AA679">
        <v>2.1800000000000002</v>
      </c>
      <c r="AB679">
        <v>140.74</v>
      </c>
      <c r="AC679">
        <v>233.91689750692521</v>
      </c>
      <c r="AD679">
        <v>35.097256857855363</v>
      </c>
      <c r="AE679">
        <v>70.06</v>
      </c>
      <c r="AF679">
        <v>20</v>
      </c>
      <c r="AG679">
        <v>1</v>
      </c>
      <c r="AH679">
        <v>1.4</v>
      </c>
      <c r="AI679">
        <v>62.4</v>
      </c>
      <c r="AJ679">
        <v>237.23</v>
      </c>
      <c r="AK679">
        <v>79.44</v>
      </c>
      <c r="AL679" t="s">
        <v>14</v>
      </c>
      <c r="AM679" t="s">
        <v>15</v>
      </c>
      <c r="AN679" t="str">
        <f t="shared" si="40"/>
        <v>Night</v>
      </c>
      <c r="AO679" t="str">
        <f t="shared" si="41"/>
        <v>Peak</v>
      </c>
      <c r="AP679" t="str">
        <f t="shared" si="42"/>
        <v>Medium</v>
      </c>
      <c r="AQ679" t="str">
        <f t="shared" si="43"/>
        <v>Medium</v>
      </c>
    </row>
    <row r="680" spans="1:43" x14ac:dyDescent="0.3">
      <c r="A680">
        <v>679</v>
      </c>
      <c r="B680" t="s">
        <v>29</v>
      </c>
      <c r="C680" t="s">
        <v>30</v>
      </c>
      <c r="D680" s="1">
        <v>46076</v>
      </c>
      <c r="E680" t="s">
        <v>38</v>
      </c>
      <c r="F680">
        <v>0</v>
      </c>
      <c r="G680">
        <v>18</v>
      </c>
      <c r="H680" t="s">
        <v>32</v>
      </c>
      <c r="I680" t="s">
        <v>33</v>
      </c>
      <c r="J680">
        <v>1</v>
      </c>
      <c r="K680" t="s">
        <v>12</v>
      </c>
      <c r="L680">
        <v>0</v>
      </c>
      <c r="M680">
        <v>5</v>
      </c>
      <c r="N680">
        <v>70</v>
      </c>
      <c r="O680" t="s">
        <v>35</v>
      </c>
      <c r="P680">
        <v>20</v>
      </c>
      <c r="Q680">
        <v>5.7</v>
      </c>
      <c r="R680">
        <v>50.8</v>
      </c>
      <c r="S680">
        <v>92</v>
      </c>
      <c r="T680">
        <v>100</v>
      </c>
      <c r="U680">
        <v>1</v>
      </c>
      <c r="V680">
        <v>0</v>
      </c>
      <c r="W680">
        <v>192</v>
      </c>
      <c r="X680">
        <v>38.299999999999997</v>
      </c>
      <c r="Y680">
        <v>104.46</v>
      </c>
      <c r="Z680">
        <v>15.54</v>
      </c>
      <c r="AA680">
        <v>10.210000000000001</v>
      </c>
      <c r="AB680">
        <v>166.25</v>
      </c>
      <c r="AC680">
        <v>196.35826771653547</v>
      </c>
      <c r="AD680">
        <v>29.166666666666664</v>
      </c>
      <c r="AE680">
        <v>79.540000000000006</v>
      </c>
      <c r="AF680">
        <v>17.309999999999999</v>
      </c>
      <c r="AG680">
        <v>1</v>
      </c>
      <c r="AH680">
        <v>-12.18</v>
      </c>
      <c r="AI680">
        <v>57.82</v>
      </c>
      <c r="AJ680">
        <v>192.52</v>
      </c>
      <c r="AK680">
        <v>74.81</v>
      </c>
      <c r="AL680" t="s">
        <v>14</v>
      </c>
      <c r="AM680" t="s">
        <v>15</v>
      </c>
      <c r="AN680" t="str">
        <f t="shared" si="40"/>
        <v>Night</v>
      </c>
      <c r="AO680" t="str">
        <f t="shared" si="41"/>
        <v>Peak</v>
      </c>
      <c r="AP680" t="str">
        <f t="shared" si="42"/>
        <v>Medium</v>
      </c>
      <c r="AQ680" t="str">
        <f t="shared" si="43"/>
        <v>Medium</v>
      </c>
    </row>
    <row r="681" spans="1:43" x14ac:dyDescent="0.3">
      <c r="A681">
        <v>680</v>
      </c>
      <c r="B681" t="s">
        <v>23</v>
      </c>
      <c r="C681" t="s">
        <v>17</v>
      </c>
      <c r="D681" s="1">
        <v>46138</v>
      </c>
      <c r="E681" t="s">
        <v>26</v>
      </c>
      <c r="F681">
        <v>1</v>
      </c>
      <c r="G681">
        <v>20</v>
      </c>
      <c r="H681" t="s">
        <v>40</v>
      </c>
      <c r="I681" t="s">
        <v>46</v>
      </c>
      <c r="J681">
        <v>1.1499999999999999</v>
      </c>
      <c r="K681" t="s">
        <v>12</v>
      </c>
      <c r="L681">
        <v>0</v>
      </c>
      <c r="M681">
        <v>3.43</v>
      </c>
      <c r="N681">
        <v>98</v>
      </c>
      <c r="O681" t="s">
        <v>13</v>
      </c>
      <c r="P681">
        <v>19</v>
      </c>
      <c r="Q681">
        <v>10.35</v>
      </c>
      <c r="R681">
        <v>70.3</v>
      </c>
      <c r="S681">
        <v>178.7</v>
      </c>
      <c r="T681">
        <v>100</v>
      </c>
      <c r="U681">
        <v>1.23</v>
      </c>
      <c r="V681">
        <v>41.1</v>
      </c>
      <c r="W681">
        <v>319.8</v>
      </c>
      <c r="X681">
        <v>45.1</v>
      </c>
      <c r="Y681">
        <v>107.94</v>
      </c>
      <c r="Z681">
        <v>24.78</v>
      </c>
      <c r="AA681">
        <v>6.04</v>
      </c>
      <c r="AB681">
        <v>288.98</v>
      </c>
      <c r="AC681">
        <v>246.64011379800857</v>
      </c>
      <c r="AD681">
        <v>27.920772946859906</v>
      </c>
      <c r="AE681">
        <v>77.84</v>
      </c>
      <c r="AF681">
        <v>11.71</v>
      </c>
      <c r="AG681">
        <v>1</v>
      </c>
      <c r="AH681">
        <v>-33.6</v>
      </c>
      <c r="AI681">
        <v>64.400000000000006</v>
      </c>
      <c r="AJ681">
        <v>259.81</v>
      </c>
      <c r="AK681">
        <v>73.64</v>
      </c>
      <c r="AL681" t="s">
        <v>23</v>
      </c>
      <c r="AM681" t="s">
        <v>24</v>
      </c>
      <c r="AN681" t="str">
        <f t="shared" si="40"/>
        <v>Night</v>
      </c>
      <c r="AO681" t="str">
        <f t="shared" si="41"/>
        <v>Peak</v>
      </c>
      <c r="AP681" t="str">
        <f t="shared" si="42"/>
        <v>Medium</v>
      </c>
      <c r="AQ681" t="str">
        <f t="shared" si="43"/>
        <v>High</v>
      </c>
    </row>
    <row r="682" spans="1:43" x14ac:dyDescent="0.3">
      <c r="A682">
        <v>681</v>
      </c>
      <c r="B682" t="s">
        <v>16</v>
      </c>
      <c r="C682" t="s">
        <v>17</v>
      </c>
      <c r="D682" s="1">
        <v>46136</v>
      </c>
      <c r="E682" t="s">
        <v>9</v>
      </c>
      <c r="F682">
        <v>0</v>
      </c>
      <c r="G682">
        <v>14</v>
      </c>
      <c r="H682" t="s">
        <v>19</v>
      </c>
      <c r="I682" t="s">
        <v>50</v>
      </c>
      <c r="J682">
        <v>1.2</v>
      </c>
      <c r="K682" t="s">
        <v>12</v>
      </c>
      <c r="L682">
        <v>0</v>
      </c>
      <c r="M682">
        <v>3.23</v>
      </c>
      <c r="N682">
        <v>32</v>
      </c>
      <c r="O682" t="s">
        <v>22</v>
      </c>
      <c r="P682">
        <v>4</v>
      </c>
      <c r="Q682">
        <v>7.84</v>
      </c>
      <c r="R682">
        <v>57.1</v>
      </c>
      <c r="S682">
        <v>145.25</v>
      </c>
      <c r="T682">
        <v>47.2</v>
      </c>
      <c r="U682">
        <v>1.1000000000000001</v>
      </c>
      <c r="V682">
        <v>14.53</v>
      </c>
      <c r="W682">
        <v>206.98</v>
      </c>
      <c r="X682">
        <v>41</v>
      </c>
      <c r="Y682">
        <v>102.83</v>
      </c>
      <c r="Z682">
        <v>19.68</v>
      </c>
      <c r="AA682">
        <v>7.44</v>
      </c>
      <c r="AB682">
        <v>179.86</v>
      </c>
      <c r="AC682">
        <v>188.99474605954467</v>
      </c>
      <c r="AD682">
        <v>22.941326530612248</v>
      </c>
      <c r="AE682">
        <v>62.08</v>
      </c>
      <c r="AF682">
        <v>18.010000000000002</v>
      </c>
      <c r="AG682">
        <v>0</v>
      </c>
      <c r="AH682">
        <v>-12.4</v>
      </c>
      <c r="AI682">
        <v>19.600000000000001</v>
      </c>
      <c r="AJ682">
        <v>170.35</v>
      </c>
      <c r="AK682">
        <v>67.209999999999994</v>
      </c>
      <c r="AL682" t="s">
        <v>14</v>
      </c>
      <c r="AM682" t="s">
        <v>15</v>
      </c>
      <c r="AN682" t="str">
        <f t="shared" si="40"/>
        <v>Afternoon</v>
      </c>
      <c r="AO682" t="str">
        <f t="shared" si="41"/>
        <v>Off-Peak</v>
      </c>
      <c r="AP682" t="str">
        <f t="shared" si="42"/>
        <v>Medium</v>
      </c>
      <c r="AQ682" t="str">
        <f t="shared" si="43"/>
        <v>Low</v>
      </c>
    </row>
    <row r="683" spans="1:43" x14ac:dyDescent="0.3">
      <c r="A683">
        <v>682</v>
      </c>
      <c r="B683" t="s">
        <v>7</v>
      </c>
      <c r="C683" t="s">
        <v>8</v>
      </c>
      <c r="D683" s="1">
        <v>46234</v>
      </c>
      <c r="E683" t="s">
        <v>9</v>
      </c>
      <c r="F683">
        <v>0</v>
      </c>
      <c r="G683">
        <v>21</v>
      </c>
      <c r="H683" t="s">
        <v>51</v>
      </c>
      <c r="I683" t="s">
        <v>42</v>
      </c>
      <c r="J683">
        <v>1.08</v>
      </c>
      <c r="K683" t="s">
        <v>12</v>
      </c>
      <c r="L683">
        <v>0</v>
      </c>
      <c r="M683">
        <v>2.79</v>
      </c>
      <c r="N683">
        <v>83</v>
      </c>
      <c r="O683" t="s">
        <v>13</v>
      </c>
      <c r="P683">
        <v>42</v>
      </c>
      <c r="Q683">
        <v>1.89</v>
      </c>
      <c r="R683">
        <v>38.299999999999997</v>
      </c>
      <c r="S683">
        <v>64.12</v>
      </c>
      <c r="T683">
        <v>88.5</v>
      </c>
      <c r="U683">
        <v>1</v>
      </c>
      <c r="V683">
        <v>0</v>
      </c>
      <c r="W683">
        <v>152.62</v>
      </c>
      <c r="X683">
        <v>47.5</v>
      </c>
      <c r="Y683">
        <v>102.13</v>
      </c>
      <c r="Z683">
        <v>4.0599999999999996</v>
      </c>
      <c r="AA683">
        <v>4.22</v>
      </c>
      <c r="AB683">
        <v>144.34</v>
      </c>
      <c r="AC683">
        <v>226.1201044386423</v>
      </c>
      <c r="AD683">
        <v>76.370370370370381</v>
      </c>
      <c r="AE683">
        <v>86.77</v>
      </c>
      <c r="AF683">
        <v>17.350000000000001</v>
      </c>
      <c r="AG683">
        <v>1</v>
      </c>
      <c r="AH683">
        <v>6.91</v>
      </c>
      <c r="AI683">
        <v>89.91</v>
      </c>
      <c r="AJ683">
        <v>216.97</v>
      </c>
      <c r="AK683">
        <v>75.5</v>
      </c>
      <c r="AL683" t="s">
        <v>14</v>
      </c>
      <c r="AM683" t="s">
        <v>15</v>
      </c>
      <c r="AN683" t="str">
        <f t="shared" si="40"/>
        <v>Night</v>
      </c>
      <c r="AO683" t="str">
        <f t="shared" si="41"/>
        <v>Off-Peak</v>
      </c>
      <c r="AP683" t="str">
        <f t="shared" si="42"/>
        <v>Medium</v>
      </c>
      <c r="AQ683" t="str">
        <f t="shared" si="43"/>
        <v>High</v>
      </c>
    </row>
    <row r="684" spans="1:43" x14ac:dyDescent="0.3">
      <c r="A684">
        <v>683</v>
      </c>
      <c r="B684" t="s">
        <v>23</v>
      </c>
      <c r="C684" t="s">
        <v>17</v>
      </c>
      <c r="D684" s="1">
        <v>46094</v>
      </c>
      <c r="E684" t="s">
        <v>9</v>
      </c>
      <c r="F684">
        <v>0</v>
      </c>
      <c r="G684">
        <v>9</v>
      </c>
      <c r="H684" t="s">
        <v>27</v>
      </c>
      <c r="I684" t="s">
        <v>46</v>
      </c>
      <c r="J684">
        <v>1.1499999999999999</v>
      </c>
      <c r="K684" t="s">
        <v>21</v>
      </c>
      <c r="L684">
        <v>0</v>
      </c>
      <c r="M684">
        <v>2.4700000000000002</v>
      </c>
      <c r="N684">
        <v>49</v>
      </c>
      <c r="O684" t="s">
        <v>35</v>
      </c>
      <c r="P684">
        <v>6</v>
      </c>
      <c r="Q684">
        <v>5.14</v>
      </c>
      <c r="R684">
        <v>43.2</v>
      </c>
      <c r="S684">
        <v>104.81</v>
      </c>
      <c r="T684">
        <v>69.540000000000006</v>
      </c>
      <c r="U684">
        <v>1.25</v>
      </c>
      <c r="V684">
        <v>26.2</v>
      </c>
      <c r="W684">
        <v>200.55</v>
      </c>
      <c r="X684">
        <v>44.6</v>
      </c>
      <c r="Y684">
        <v>105.49</v>
      </c>
      <c r="Z684">
        <v>12.16</v>
      </c>
      <c r="AA684">
        <v>10.42</v>
      </c>
      <c r="AB684">
        <v>177.97</v>
      </c>
      <c r="AC684">
        <v>247.18055555555551</v>
      </c>
      <c r="AD684">
        <v>34.624513618677042</v>
      </c>
      <c r="AE684">
        <v>77.23</v>
      </c>
      <c r="AF684">
        <v>13.58</v>
      </c>
      <c r="AG684">
        <v>1</v>
      </c>
      <c r="AH684">
        <v>10.29</v>
      </c>
      <c r="AI684">
        <v>59.29</v>
      </c>
      <c r="AJ684">
        <v>268.77999999999997</v>
      </c>
      <c r="AK684">
        <v>64.680000000000007</v>
      </c>
      <c r="AL684" t="s">
        <v>23</v>
      </c>
      <c r="AM684" t="s">
        <v>24</v>
      </c>
      <c r="AN684" t="str">
        <f t="shared" si="40"/>
        <v>Morning</v>
      </c>
      <c r="AO684" t="str">
        <f t="shared" si="41"/>
        <v>Peak</v>
      </c>
      <c r="AP684" t="str">
        <f t="shared" si="42"/>
        <v>Medium</v>
      </c>
      <c r="AQ684" t="str">
        <f t="shared" si="43"/>
        <v>Medium</v>
      </c>
    </row>
    <row r="685" spans="1:43" x14ac:dyDescent="0.3">
      <c r="A685">
        <v>684</v>
      </c>
      <c r="B685" t="s">
        <v>23</v>
      </c>
      <c r="C685" t="s">
        <v>17</v>
      </c>
      <c r="D685" s="1">
        <v>46085</v>
      </c>
      <c r="E685" t="s">
        <v>18</v>
      </c>
      <c r="F685">
        <v>0</v>
      </c>
      <c r="G685">
        <v>13</v>
      </c>
      <c r="H685" t="s">
        <v>19</v>
      </c>
      <c r="I685" t="s">
        <v>11</v>
      </c>
      <c r="J685">
        <v>1.18</v>
      </c>
      <c r="K685" t="s">
        <v>21</v>
      </c>
      <c r="L685">
        <v>0</v>
      </c>
      <c r="M685">
        <v>3.25</v>
      </c>
      <c r="N685">
        <v>40</v>
      </c>
      <c r="O685" t="s">
        <v>35</v>
      </c>
      <c r="P685">
        <v>5</v>
      </c>
      <c r="Q685">
        <v>4.7300000000000004</v>
      </c>
      <c r="R685">
        <v>48.1</v>
      </c>
      <c r="S685">
        <v>105.79</v>
      </c>
      <c r="T685">
        <v>55.27</v>
      </c>
      <c r="U685">
        <v>1.08</v>
      </c>
      <c r="V685">
        <v>8.4600000000000009</v>
      </c>
      <c r="W685">
        <v>169.52</v>
      </c>
      <c r="X685">
        <v>39.299999999999997</v>
      </c>
      <c r="Y685">
        <v>101.15</v>
      </c>
      <c r="Z685">
        <v>12.17</v>
      </c>
      <c r="AA685">
        <v>9.2100000000000009</v>
      </c>
      <c r="AB685">
        <v>148.13999999999999</v>
      </c>
      <c r="AC685">
        <v>184.79002079002078</v>
      </c>
      <c r="AD685">
        <v>31.319238900634243</v>
      </c>
      <c r="AE685">
        <v>78.31</v>
      </c>
      <c r="AF685">
        <v>15.28</v>
      </c>
      <c r="AG685">
        <v>0</v>
      </c>
      <c r="AH685">
        <v>10.42</v>
      </c>
      <c r="AI685">
        <v>50.42</v>
      </c>
      <c r="AJ685">
        <v>180.74</v>
      </c>
      <c r="AK685">
        <v>68.739999999999995</v>
      </c>
      <c r="AL685" t="s">
        <v>14</v>
      </c>
      <c r="AM685" t="s">
        <v>15</v>
      </c>
      <c r="AN685" t="str">
        <f t="shared" si="40"/>
        <v>Afternoon</v>
      </c>
      <c r="AO685" t="str">
        <f t="shared" si="41"/>
        <v>Off-Peak</v>
      </c>
      <c r="AP685" t="str">
        <f t="shared" si="42"/>
        <v>Medium</v>
      </c>
      <c r="AQ685" t="str">
        <f t="shared" si="43"/>
        <v>Medium</v>
      </c>
    </row>
    <row r="686" spans="1:43" x14ac:dyDescent="0.3">
      <c r="A686">
        <v>685</v>
      </c>
      <c r="B686" t="s">
        <v>14</v>
      </c>
      <c r="C686" t="s">
        <v>8</v>
      </c>
      <c r="D686" s="1">
        <v>46110</v>
      </c>
      <c r="E686" t="s">
        <v>26</v>
      </c>
      <c r="F686">
        <v>1</v>
      </c>
      <c r="G686">
        <v>8</v>
      </c>
      <c r="H686" t="s">
        <v>49</v>
      </c>
      <c r="I686" t="s">
        <v>37</v>
      </c>
      <c r="J686">
        <v>1.02</v>
      </c>
      <c r="K686" t="s">
        <v>21</v>
      </c>
      <c r="L686">
        <v>0</v>
      </c>
      <c r="M686">
        <v>2.35</v>
      </c>
      <c r="N686">
        <v>39</v>
      </c>
      <c r="O686" t="s">
        <v>35</v>
      </c>
      <c r="P686">
        <v>13</v>
      </c>
      <c r="Q686">
        <v>3.21</v>
      </c>
      <c r="R686">
        <v>26.5</v>
      </c>
      <c r="S686">
        <v>69.58</v>
      </c>
      <c r="T686">
        <v>37.229999999999997</v>
      </c>
      <c r="U686">
        <v>1</v>
      </c>
      <c r="V686">
        <v>0</v>
      </c>
      <c r="W686">
        <v>106.81</v>
      </c>
      <c r="X686">
        <v>44</v>
      </c>
      <c r="Y686">
        <v>102.79</v>
      </c>
      <c r="Z686">
        <v>7.51</v>
      </c>
      <c r="AA686">
        <v>11.53</v>
      </c>
      <c r="AB686">
        <v>87.77</v>
      </c>
      <c r="AC686">
        <v>198.72452830188678</v>
      </c>
      <c r="AD686">
        <v>27.342679127725855</v>
      </c>
      <c r="AE686">
        <v>78.48</v>
      </c>
      <c r="AF686">
        <v>14.64</v>
      </c>
      <c r="AG686">
        <v>1</v>
      </c>
      <c r="AH686">
        <v>12.14</v>
      </c>
      <c r="AI686">
        <v>51.14</v>
      </c>
      <c r="AJ686">
        <v>194.16</v>
      </c>
      <c r="AK686">
        <v>71.06</v>
      </c>
      <c r="AL686" t="s">
        <v>14</v>
      </c>
      <c r="AM686" t="s">
        <v>15</v>
      </c>
      <c r="AN686" t="str">
        <f t="shared" si="40"/>
        <v>Morning</v>
      </c>
      <c r="AO686" t="str">
        <f t="shared" si="41"/>
        <v>Peak</v>
      </c>
      <c r="AP686" t="str">
        <f t="shared" si="42"/>
        <v>Medium</v>
      </c>
      <c r="AQ686" t="str">
        <f t="shared" si="43"/>
        <v>Medium</v>
      </c>
    </row>
    <row r="687" spans="1:43" x14ac:dyDescent="0.3">
      <c r="A687">
        <v>686</v>
      </c>
      <c r="B687" t="s">
        <v>16</v>
      </c>
      <c r="C687" t="s">
        <v>17</v>
      </c>
      <c r="D687" s="1">
        <v>46116</v>
      </c>
      <c r="E687" t="s">
        <v>31</v>
      </c>
      <c r="F687">
        <v>1</v>
      </c>
      <c r="G687">
        <v>19</v>
      </c>
      <c r="H687" t="s">
        <v>40</v>
      </c>
      <c r="I687" t="s">
        <v>46</v>
      </c>
      <c r="J687">
        <v>1.1499999999999999</v>
      </c>
      <c r="K687" t="s">
        <v>12</v>
      </c>
      <c r="L687">
        <v>0</v>
      </c>
      <c r="M687">
        <v>2.5099999999999998</v>
      </c>
      <c r="N687">
        <v>99</v>
      </c>
      <c r="O687" t="s">
        <v>13</v>
      </c>
      <c r="P687">
        <v>18</v>
      </c>
      <c r="Q687">
        <v>4.0999999999999996</v>
      </c>
      <c r="R687">
        <v>39.1</v>
      </c>
      <c r="S687">
        <v>108.67</v>
      </c>
      <c r="T687">
        <v>100</v>
      </c>
      <c r="U687">
        <v>1.26</v>
      </c>
      <c r="V687">
        <v>28.25</v>
      </c>
      <c r="W687">
        <v>236.92</v>
      </c>
      <c r="X687">
        <v>48</v>
      </c>
      <c r="Y687">
        <v>101.66</v>
      </c>
      <c r="Z687">
        <v>8.68</v>
      </c>
      <c r="AA687">
        <v>6.75</v>
      </c>
      <c r="AB687">
        <v>221.49</v>
      </c>
      <c r="AC687">
        <v>339.88235294117646</v>
      </c>
      <c r="AD687">
        <v>54.021951219512204</v>
      </c>
      <c r="AE687">
        <v>69.53</v>
      </c>
      <c r="AF687">
        <v>10.08</v>
      </c>
      <c r="AG687">
        <v>1</v>
      </c>
      <c r="AH687">
        <v>-6.4</v>
      </c>
      <c r="AI687">
        <v>92.6</v>
      </c>
      <c r="AJ687">
        <v>345.3</v>
      </c>
      <c r="AK687">
        <v>83.33</v>
      </c>
      <c r="AL687" t="s">
        <v>23</v>
      </c>
      <c r="AM687" t="s">
        <v>24</v>
      </c>
      <c r="AN687" t="str">
        <f t="shared" si="40"/>
        <v>Night</v>
      </c>
      <c r="AO687" t="str">
        <f t="shared" si="41"/>
        <v>Peak</v>
      </c>
      <c r="AP687" t="str">
        <f t="shared" si="42"/>
        <v>High</v>
      </c>
      <c r="AQ687" t="str">
        <f t="shared" si="43"/>
        <v>High</v>
      </c>
    </row>
    <row r="688" spans="1:43" x14ac:dyDescent="0.3">
      <c r="A688">
        <v>687</v>
      </c>
      <c r="B688" t="s">
        <v>48</v>
      </c>
      <c r="C688" t="s">
        <v>30</v>
      </c>
      <c r="D688" s="1">
        <v>46069</v>
      </c>
      <c r="E688" t="s">
        <v>38</v>
      </c>
      <c r="F688">
        <v>0</v>
      </c>
      <c r="G688">
        <v>18</v>
      </c>
      <c r="H688" t="s">
        <v>32</v>
      </c>
      <c r="I688" t="s">
        <v>37</v>
      </c>
      <c r="J688">
        <v>1.02</v>
      </c>
      <c r="K688" t="s">
        <v>12</v>
      </c>
      <c r="L688">
        <v>0</v>
      </c>
      <c r="M688">
        <v>4.53</v>
      </c>
      <c r="N688">
        <v>52</v>
      </c>
      <c r="O688" t="s">
        <v>35</v>
      </c>
      <c r="P688">
        <v>18</v>
      </c>
      <c r="Q688">
        <v>2.39</v>
      </c>
      <c r="R688">
        <v>33.200000000000003</v>
      </c>
      <c r="S688">
        <v>74.739999999999995</v>
      </c>
      <c r="T688">
        <v>42.39</v>
      </c>
      <c r="U688">
        <v>1</v>
      </c>
      <c r="V688">
        <v>0</v>
      </c>
      <c r="W688">
        <v>117.13</v>
      </c>
      <c r="X688">
        <v>40.5</v>
      </c>
      <c r="Y688">
        <v>103.2</v>
      </c>
      <c r="Z688">
        <v>6.08</v>
      </c>
      <c r="AA688">
        <v>11.77</v>
      </c>
      <c r="AB688">
        <v>99.28</v>
      </c>
      <c r="AC688">
        <v>179.42168674698794</v>
      </c>
      <c r="AD688">
        <v>41.539748953974893</v>
      </c>
      <c r="AE688">
        <v>78.58</v>
      </c>
      <c r="AF688">
        <v>15.6</v>
      </c>
      <c r="AG688">
        <v>1</v>
      </c>
      <c r="AH688">
        <v>-9.61</v>
      </c>
      <c r="AI688">
        <v>42.39</v>
      </c>
      <c r="AJ688">
        <v>198.05</v>
      </c>
      <c r="AK688">
        <v>66.36</v>
      </c>
      <c r="AL688" t="s">
        <v>14</v>
      </c>
      <c r="AM688" t="s">
        <v>15</v>
      </c>
      <c r="AN688" t="str">
        <f t="shared" si="40"/>
        <v>Night</v>
      </c>
      <c r="AO688" t="str">
        <f t="shared" si="41"/>
        <v>Peak</v>
      </c>
      <c r="AP688" t="str">
        <f t="shared" si="42"/>
        <v>Medium</v>
      </c>
      <c r="AQ688" t="str">
        <f t="shared" si="43"/>
        <v>Medium</v>
      </c>
    </row>
    <row r="689" spans="1:43" x14ac:dyDescent="0.3">
      <c r="A689">
        <v>688</v>
      </c>
      <c r="B689" t="s">
        <v>25</v>
      </c>
      <c r="C689" t="s">
        <v>17</v>
      </c>
      <c r="D689" s="1">
        <v>46068</v>
      </c>
      <c r="E689" t="s">
        <v>26</v>
      </c>
      <c r="F689">
        <v>1</v>
      </c>
      <c r="G689">
        <v>19</v>
      </c>
      <c r="H689" t="s">
        <v>40</v>
      </c>
      <c r="I689" t="s">
        <v>20</v>
      </c>
      <c r="J689">
        <v>1.25</v>
      </c>
      <c r="K689" t="s">
        <v>12</v>
      </c>
      <c r="L689">
        <v>0</v>
      </c>
      <c r="M689">
        <v>5</v>
      </c>
      <c r="N689">
        <v>93</v>
      </c>
      <c r="O689" t="s">
        <v>13</v>
      </c>
      <c r="P689">
        <v>21</v>
      </c>
      <c r="Q689">
        <v>3.55</v>
      </c>
      <c r="R689">
        <v>46</v>
      </c>
      <c r="S689">
        <v>107.29</v>
      </c>
      <c r="T689">
        <v>100</v>
      </c>
      <c r="U689">
        <v>1.21</v>
      </c>
      <c r="V689">
        <v>22.53</v>
      </c>
      <c r="W689">
        <v>229.82</v>
      </c>
      <c r="X689">
        <v>46</v>
      </c>
      <c r="Y689">
        <v>107.65</v>
      </c>
      <c r="Z689">
        <v>8.3000000000000007</v>
      </c>
      <c r="AA689">
        <v>7.11</v>
      </c>
      <c r="AB689">
        <v>214.41</v>
      </c>
      <c r="AC689">
        <v>279.66521739130434</v>
      </c>
      <c r="AD689">
        <v>60.397183098591555</v>
      </c>
      <c r="AE689">
        <v>86.7</v>
      </c>
      <c r="AF689">
        <v>19.809999999999999</v>
      </c>
      <c r="AG689">
        <v>1</v>
      </c>
      <c r="AH689">
        <v>8.6300000000000008</v>
      </c>
      <c r="AI689">
        <v>101.63</v>
      </c>
      <c r="AJ689">
        <v>290.43</v>
      </c>
      <c r="AK689">
        <v>83.2</v>
      </c>
      <c r="AL689" t="s">
        <v>23</v>
      </c>
      <c r="AM689" t="s">
        <v>24</v>
      </c>
      <c r="AN689" t="str">
        <f t="shared" si="40"/>
        <v>Night</v>
      </c>
      <c r="AO689" t="str">
        <f t="shared" si="41"/>
        <v>Peak</v>
      </c>
      <c r="AP689" t="str">
        <f t="shared" si="42"/>
        <v>High</v>
      </c>
      <c r="AQ689" t="str">
        <f t="shared" si="43"/>
        <v>High</v>
      </c>
    </row>
    <row r="690" spans="1:43" x14ac:dyDescent="0.3">
      <c r="A690">
        <v>689</v>
      </c>
      <c r="B690" t="s">
        <v>29</v>
      </c>
      <c r="C690" t="s">
        <v>30</v>
      </c>
      <c r="D690" s="1">
        <v>46082</v>
      </c>
      <c r="E690" t="s">
        <v>26</v>
      </c>
      <c r="F690">
        <v>1</v>
      </c>
      <c r="G690">
        <v>19</v>
      </c>
      <c r="H690" t="s">
        <v>32</v>
      </c>
      <c r="I690" t="s">
        <v>45</v>
      </c>
      <c r="J690">
        <v>1</v>
      </c>
      <c r="K690" t="s">
        <v>12</v>
      </c>
      <c r="L690">
        <v>0</v>
      </c>
      <c r="M690">
        <v>5</v>
      </c>
      <c r="N690">
        <v>90</v>
      </c>
      <c r="O690" t="s">
        <v>13</v>
      </c>
      <c r="P690">
        <v>19</v>
      </c>
      <c r="Q690">
        <v>2.74</v>
      </c>
      <c r="R690">
        <v>43.8</v>
      </c>
      <c r="S690">
        <v>70.48</v>
      </c>
      <c r="T690">
        <v>97.84</v>
      </c>
      <c r="U690">
        <v>1</v>
      </c>
      <c r="V690">
        <v>0</v>
      </c>
      <c r="W690">
        <v>168.32</v>
      </c>
      <c r="X690">
        <v>41.2</v>
      </c>
      <c r="Y690">
        <v>101.21</v>
      </c>
      <c r="Z690">
        <v>6.72</v>
      </c>
      <c r="AA690">
        <v>8.2100000000000009</v>
      </c>
      <c r="AB690">
        <v>153.38999999999999</v>
      </c>
      <c r="AC690">
        <v>210.12328767123287</v>
      </c>
      <c r="AD690">
        <v>55.981751824817508</v>
      </c>
      <c r="AE690">
        <v>88.32</v>
      </c>
      <c r="AF690">
        <v>16.09</v>
      </c>
      <c r="AG690">
        <v>1</v>
      </c>
      <c r="AH690">
        <v>-0.18</v>
      </c>
      <c r="AI690">
        <v>89.82</v>
      </c>
      <c r="AJ690">
        <v>207.12</v>
      </c>
      <c r="AK690">
        <v>77.53</v>
      </c>
      <c r="AL690" t="s">
        <v>14</v>
      </c>
      <c r="AM690" t="s">
        <v>15</v>
      </c>
      <c r="AN690" t="str">
        <f t="shared" si="40"/>
        <v>Night</v>
      </c>
      <c r="AO690" t="str">
        <f t="shared" si="41"/>
        <v>Peak</v>
      </c>
      <c r="AP690" t="str">
        <f t="shared" si="42"/>
        <v>Medium</v>
      </c>
      <c r="AQ690" t="str">
        <f t="shared" si="43"/>
        <v>High</v>
      </c>
    </row>
    <row r="691" spans="1:43" x14ac:dyDescent="0.3">
      <c r="A691">
        <v>690</v>
      </c>
      <c r="B691" t="s">
        <v>16</v>
      </c>
      <c r="C691" t="s">
        <v>17</v>
      </c>
      <c r="D691" s="1">
        <v>46143</v>
      </c>
      <c r="E691" t="s">
        <v>9</v>
      </c>
      <c r="F691">
        <v>0</v>
      </c>
      <c r="G691">
        <v>11</v>
      </c>
      <c r="H691" t="s">
        <v>19</v>
      </c>
      <c r="I691" t="s">
        <v>20</v>
      </c>
      <c r="J691">
        <v>1.25</v>
      </c>
      <c r="K691" t="s">
        <v>34</v>
      </c>
      <c r="L691">
        <v>1</v>
      </c>
      <c r="M691">
        <v>3.29</v>
      </c>
      <c r="N691">
        <v>59</v>
      </c>
      <c r="O691" t="s">
        <v>35</v>
      </c>
      <c r="P691">
        <v>10</v>
      </c>
      <c r="Q691">
        <v>4.32</v>
      </c>
      <c r="R691">
        <v>40.9</v>
      </c>
      <c r="S691">
        <v>103.05</v>
      </c>
      <c r="T691">
        <v>55.92</v>
      </c>
      <c r="U691">
        <v>1.07</v>
      </c>
      <c r="V691">
        <v>7.21</v>
      </c>
      <c r="W691">
        <v>166.18</v>
      </c>
      <c r="X691">
        <v>43.1</v>
      </c>
      <c r="Y691">
        <v>106.12</v>
      </c>
      <c r="Z691">
        <v>10.64</v>
      </c>
      <c r="AA691">
        <v>8.74</v>
      </c>
      <c r="AB691">
        <v>146.80000000000001</v>
      </c>
      <c r="AC691">
        <v>215.35452322738388</v>
      </c>
      <c r="AD691">
        <v>33.981481481481481</v>
      </c>
      <c r="AE691">
        <v>82.49</v>
      </c>
      <c r="AF691">
        <v>13.2</v>
      </c>
      <c r="AG691">
        <v>0</v>
      </c>
      <c r="AH691">
        <v>16.61</v>
      </c>
      <c r="AI691">
        <v>75.61</v>
      </c>
      <c r="AJ691">
        <v>209.83</v>
      </c>
      <c r="AK691">
        <v>69.72</v>
      </c>
      <c r="AL691" t="s">
        <v>23</v>
      </c>
      <c r="AM691" t="s">
        <v>24</v>
      </c>
      <c r="AN691" t="str">
        <f t="shared" si="40"/>
        <v>Afternoon</v>
      </c>
      <c r="AO691" t="str">
        <f t="shared" si="41"/>
        <v>Off-Peak</v>
      </c>
      <c r="AP691" t="str">
        <f t="shared" si="42"/>
        <v>Medium</v>
      </c>
      <c r="AQ691" t="str">
        <f t="shared" si="43"/>
        <v>Medium</v>
      </c>
    </row>
    <row r="692" spans="1:43" x14ac:dyDescent="0.3">
      <c r="A692">
        <v>691</v>
      </c>
      <c r="B692" t="s">
        <v>23</v>
      </c>
      <c r="C692" t="s">
        <v>17</v>
      </c>
      <c r="D692" s="1">
        <v>46111</v>
      </c>
      <c r="E692" t="s">
        <v>38</v>
      </c>
      <c r="F692">
        <v>0</v>
      </c>
      <c r="G692">
        <v>8</v>
      </c>
      <c r="H692" t="s">
        <v>27</v>
      </c>
      <c r="I692" t="s">
        <v>46</v>
      </c>
      <c r="J692">
        <v>1.1499999999999999</v>
      </c>
      <c r="K692" t="s">
        <v>34</v>
      </c>
      <c r="L692">
        <v>1</v>
      </c>
      <c r="M692">
        <v>4.6100000000000003</v>
      </c>
      <c r="N692">
        <v>69</v>
      </c>
      <c r="O692" t="s">
        <v>35</v>
      </c>
      <c r="P692">
        <v>16</v>
      </c>
      <c r="Q692">
        <v>3.12</v>
      </c>
      <c r="R692">
        <v>52.5</v>
      </c>
      <c r="S692">
        <v>93.65</v>
      </c>
      <c r="T692">
        <v>100</v>
      </c>
      <c r="U692">
        <v>1.45</v>
      </c>
      <c r="V692">
        <v>42.14</v>
      </c>
      <c r="W692">
        <v>235.79</v>
      </c>
      <c r="X692">
        <v>46</v>
      </c>
      <c r="Y692">
        <v>105.85</v>
      </c>
      <c r="Z692">
        <v>7.19</v>
      </c>
      <c r="AA692">
        <v>6.9</v>
      </c>
      <c r="AB692">
        <v>221.7</v>
      </c>
      <c r="AC692">
        <v>253.37142857142857</v>
      </c>
      <c r="AD692">
        <v>71.057692307692307</v>
      </c>
      <c r="AE692">
        <v>81.63</v>
      </c>
      <c r="AF692">
        <v>15.59</v>
      </c>
      <c r="AG692">
        <v>1</v>
      </c>
      <c r="AH692">
        <v>8.7200000000000006</v>
      </c>
      <c r="AI692">
        <v>77.72</v>
      </c>
      <c r="AJ692">
        <v>263.33</v>
      </c>
      <c r="AK692">
        <v>72.59</v>
      </c>
      <c r="AL692" t="s">
        <v>23</v>
      </c>
      <c r="AM692" t="s">
        <v>24</v>
      </c>
      <c r="AN692" t="str">
        <f t="shared" si="40"/>
        <v>Morning</v>
      </c>
      <c r="AO692" t="str">
        <f t="shared" si="41"/>
        <v>Peak</v>
      </c>
      <c r="AP692" t="str">
        <f t="shared" si="42"/>
        <v>High</v>
      </c>
      <c r="AQ692" t="str">
        <f t="shared" si="43"/>
        <v>Medium</v>
      </c>
    </row>
    <row r="693" spans="1:43" x14ac:dyDescent="0.3">
      <c r="A693">
        <v>692</v>
      </c>
      <c r="B693" t="s">
        <v>16</v>
      </c>
      <c r="C693" t="s">
        <v>17</v>
      </c>
      <c r="D693" s="1">
        <v>46124</v>
      </c>
      <c r="E693" t="s">
        <v>26</v>
      </c>
      <c r="F693">
        <v>1</v>
      </c>
      <c r="G693">
        <v>21</v>
      </c>
      <c r="H693" t="s">
        <v>19</v>
      </c>
      <c r="I693" t="s">
        <v>42</v>
      </c>
      <c r="J693">
        <v>1.08</v>
      </c>
      <c r="K693" t="s">
        <v>34</v>
      </c>
      <c r="L693">
        <v>1</v>
      </c>
      <c r="M693">
        <v>5</v>
      </c>
      <c r="N693">
        <v>107</v>
      </c>
      <c r="O693" t="s">
        <v>13</v>
      </c>
      <c r="P693">
        <v>21</v>
      </c>
      <c r="Q693">
        <v>10.86</v>
      </c>
      <c r="R693">
        <v>84</v>
      </c>
      <c r="S693">
        <v>174.28</v>
      </c>
      <c r="T693">
        <v>100</v>
      </c>
      <c r="U693">
        <v>1.27</v>
      </c>
      <c r="V693">
        <v>47.06</v>
      </c>
      <c r="W693">
        <v>321.33999999999997</v>
      </c>
      <c r="X693">
        <v>35.9</v>
      </c>
      <c r="Y693">
        <v>105.38</v>
      </c>
      <c r="Z693">
        <v>31.88</v>
      </c>
      <c r="AA693">
        <v>7.63</v>
      </c>
      <c r="AB693">
        <v>281.83</v>
      </c>
      <c r="AC693">
        <v>201.30714285714285</v>
      </c>
      <c r="AD693">
        <v>25.951197053406997</v>
      </c>
      <c r="AE693">
        <v>66.66</v>
      </c>
      <c r="AF693">
        <v>17.899999999999999</v>
      </c>
      <c r="AG693">
        <v>1</v>
      </c>
      <c r="AH693">
        <v>22.26</v>
      </c>
      <c r="AI693">
        <v>129.26</v>
      </c>
      <c r="AJ693">
        <v>218.79</v>
      </c>
      <c r="AK693">
        <v>76.81</v>
      </c>
      <c r="AL693" t="s">
        <v>23</v>
      </c>
      <c r="AM693" t="s">
        <v>24</v>
      </c>
      <c r="AN693" t="str">
        <f t="shared" si="40"/>
        <v>Night</v>
      </c>
      <c r="AO693" t="str">
        <f t="shared" si="41"/>
        <v>Off-Peak</v>
      </c>
      <c r="AP693" t="str">
        <f t="shared" si="42"/>
        <v>Medium</v>
      </c>
      <c r="AQ693" t="str">
        <f t="shared" si="43"/>
        <v>High</v>
      </c>
    </row>
    <row r="694" spans="1:43" x14ac:dyDescent="0.3">
      <c r="A694">
        <v>693</v>
      </c>
      <c r="B694" t="s">
        <v>23</v>
      </c>
      <c r="C694" t="s">
        <v>17</v>
      </c>
      <c r="D694" s="1">
        <v>46208</v>
      </c>
      <c r="E694" t="s">
        <v>26</v>
      </c>
      <c r="F694">
        <v>1</v>
      </c>
      <c r="G694">
        <v>14</v>
      </c>
      <c r="H694" t="s">
        <v>19</v>
      </c>
      <c r="I694" t="s">
        <v>11</v>
      </c>
      <c r="J694">
        <v>1.18</v>
      </c>
      <c r="K694" t="s">
        <v>34</v>
      </c>
      <c r="L694">
        <v>1</v>
      </c>
      <c r="M694">
        <v>4.4000000000000004</v>
      </c>
      <c r="N694">
        <v>51</v>
      </c>
      <c r="O694" t="s">
        <v>35</v>
      </c>
      <c r="P694">
        <v>7</v>
      </c>
      <c r="Q694">
        <v>4.43</v>
      </c>
      <c r="R694">
        <v>51.4</v>
      </c>
      <c r="S694">
        <v>114.24</v>
      </c>
      <c r="T694">
        <v>44.51</v>
      </c>
      <c r="U694">
        <v>1.18</v>
      </c>
      <c r="V694">
        <v>20.56</v>
      </c>
      <c r="W694">
        <v>179.31</v>
      </c>
      <c r="X694">
        <v>41.8</v>
      </c>
      <c r="Y694">
        <v>104.84</v>
      </c>
      <c r="Z694">
        <v>11.1</v>
      </c>
      <c r="AA694">
        <v>4.2300000000000004</v>
      </c>
      <c r="AB694">
        <v>163.98</v>
      </c>
      <c r="AC694">
        <v>191.41634241245134</v>
      </c>
      <c r="AD694">
        <v>37.015801354401809</v>
      </c>
      <c r="AE694">
        <v>75.959999999999994</v>
      </c>
      <c r="AF694">
        <v>12.86</v>
      </c>
      <c r="AG694">
        <v>1</v>
      </c>
      <c r="AH694">
        <v>-3.98</v>
      </c>
      <c r="AI694">
        <v>47.02</v>
      </c>
      <c r="AJ694">
        <v>195.89</v>
      </c>
      <c r="AK694">
        <v>74.430000000000007</v>
      </c>
      <c r="AL694" t="s">
        <v>14</v>
      </c>
      <c r="AM694" t="s">
        <v>15</v>
      </c>
      <c r="AN694" t="str">
        <f t="shared" si="40"/>
        <v>Afternoon</v>
      </c>
      <c r="AO694" t="str">
        <f t="shared" si="41"/>
        <v>Off-Peak</v>
      </c>
      <c r="AP694" t="str">
        <f t="shared" si="42"/>
        <v>Medium</v>
      </c>
      <c r="AQ694" t="str">
        <f t="shared" si="43"/>
        <v>Medium</v>
      </c>
    </row>
    <row r="695" spans="1:43" x14ac:dyDescent="0.3">
      <c r="A695">
        <v>694</v>
      </c>
      <c r="B695" t="s">
        <v>23</v>
      </c>
      <c r="C695" t="s">
        <v>17</v>
      </c>
      <c r="D695" s="1">
        <v>46085</v>
      </c>
      <c r="E695" t="s">
        <v>18</v>
      </c>
      <c r="F695">
        <v>0</v>
      </c>
      <c r="G695">
        <v>8</v>
      </c>
      <c r="H695" t="s">
        <v>27</v>
      </c>
      <c r="I695" t="s">
        <v>33</v>
      </c>
      <c r="J695">
        <v>1</v>
      </c>
      <c r="K695" t="s">
        <v>34</v>
      </c>
      <c r="L695">
        <v>1</v>
      </c>
      <c r="M695">
        <v>4.33</v>
      </c>
      <c r="N695">
        <v>91</v>
      </c>
      <c r="O695" t="s">
        <v>13</v>
      </c>
      <c r="P695">
        <v>16</v>
      </c>
      <c r="Q695">
        <v>3.84</v>
      </c>
      <c r="R695">
        <v>46.4</v>
      </c>
      <c r="S695">
        <v>99.45</v>
      </c>
      <c r="T695">
        <v>100</v>
      </c>
      <c r="U695">
        <v>1.32</v>
      </c>
      <c r="V695">
        <v>31.82</v>
      </c>
      <c r="W695">
        <v>231.27</v>
      </c>
      <c r="X695">
        <v>36.4</v>
      </c>
      <c r="Y695">
        <v>106.64</v>
      </c>
      <c r="Z695">
        <v>11.24</v>
      </c>
      <c r="AA695">
        <v>5.62</v>
      </c>
      <c r="AB695">
        <v>214.41</v>
      </c>
      <c r="AC695">
        <v>277.25431034482762</v>
      </c>
      <c r="AD695">
        <v>55.8359375</v>
      </c>
      <c r="AE695">
        <v>71.63</v>
      </c>
      <c r="AF695">
        <v>15.81</v>
      </c>
      <c r="AG695">
        <v>1</v>
      </c>
      <c r="AH695">
        <v>19.010000000000002</v>
      </c>
      <c r="AI695">
        <v>110.01</v>
      </c>
      <c r="AJ695">
        <v>288.35000000000002</v>
      </c>
      <c r="AK695">
        <v>76.760000000000005</v>
      </c>
      <c r="AL695" t="s">
        <v>23</v>
      </c>
      <c r="AM695" t="s">
        <v>24</v>
      </c>
      <c r="AN695" t="str">
        <f t="shared" si="40"/>
        <v>Morning</v>
      </c>
      <c r="AO695" t="str">
        <f t="shared" si="41"/>
        <v>Peak</v>
      </c>
      <c r="AP695" t="str">
        <f t="shared" si="42"/>
        <v>High</v>
      </c>
      <c r="AQ695" t="str">
        <f t="shared" si="43"/>
        <v>High</v>
      </c>
    </row>
    <row r="696" spans="1:43" x14ac:dyDescent="0.3">
      <c r="A696">
        <v>695</v>
      </c>
      <c r="B696" t="s">
        <v>7</v>
      </c>
      <c r="C696" t="s">
        <v>8</v>
      </c>
      <c r="D696" s="1">
        <v>46257</v>
      </c>
      <c r="E696" t="s">
        <v>26</v>
      </c>
      <c r="F696">
        <v>1</v>
      </c>
      <c r="G696">
        <v>21</v>
      </c>
      <c r="H696" t="s">
        <v>51</v>
      </c>
      <c r="I696" t="s">
        <v>46</v>
      </c>
      <c r="J696">
        <v>1.1499999999999999</v>
      </c>
      <c r="K696" t="s">
        <v>12</v>
      </c>
      <c r="L696">
        <v>0</v>
      </c>
      <c r="M696">
        <v>4.13</v>
      </c>
      <c r="N696">
        <v>100</v>
      </c>
      <c r="O696" t="s">
        <v>13</v>
      </c>
      <c r="P696">
        <v>44</v>
      </c>
      <c r="Q696">
        <v>3.41</v>
      </c>
      <c r="R696">
        <v>48.7</v>
      </c>
      <c r="S696">
        <v>73</v>
      </c>
      <c r="T696">
        <v>100</v>
      </c>
      <c r="U696">
        <v>1</v>
      </c>
      <c r="V696">
        <v>0</v>
      </c>
      <c r="W696">
        <v>173</v>
      </c>
      <c r="X696">
        <v>45.9</v>
      </c>
      <c r="Y696">
        <v>108.52</v>
      </c>
      <c r="Z696">
        <v>8.07</v>
      </c>
      <c r="AA696">
        <v>9.02</v>
      </c>
      <c r="AB696">
        <v>155.91</v>
      </c>
      <c r="AC696">
        <v>192.08624229979463</v>
      </c>
      <c r="AD696">
        <v>45.721407624633429</v>
      </c>
      <c r="AE696">
        <v>90.26</v>
      </c>
      <c r="AF696">
        <v>19.62</v>
      </c>
      <c r="AG696">
        <v>1</v>
      </c>
      <c r="AH696">
        <v>33.520000000000003</v>
      </c>
      <c r="AI696">
        <v>133.52000000000001</v>
      </c>
      <c r="AJ696">
        <v>200.87</v>
      </c>
      <c r="AK696">
        <v>76.97</v>
      </c>
      <c r="AL696" t="s">
        <v>14</v>
      </c>
      <c r="AM696" t="s">
        <v>15</v>
      </c>
      <c r="AN696" t="str">
        <f t="shared" si="40"/>
        <v>Night</v>
      </c>
      <c r="AO696" t="str">
        <f t="shared" si="41"/>
        <v>Off-Peak</v>
      </c>
      <c r="AP696" t="str">
        <f t="shared" si="42"/>
        <v>Medium</v>
      </c>
      <c r="AQ696" t="str">
        <f t="shared" si="43"/>
        <v>High</v>
      </c>
    </row>
    <row r="697" spans="1:43" x14ac:dyDescent="0.3">
      <c r="A697">
        <v>696</v>
      </c>
      <c r="B697" t="s">
        <v>14</v>
      </c>
      <c r="C697" t="s">
        <v>8</v>
      </c>
      <c r="D697" s="1">
        <v>46216</v>
      </c>
      <c r="E697" t="s">
        <v>38</v>
      </c>
      <c r="F697">
        <v>0</v>
      </c>
      <c r="G697">
        <v>22</v>
      </c>
      <c r="H697" t="s">
        <v>51</v>
      </c>
      <c r="I697" t="s">
        <v>11</v>
      </c>
      <c r="J697">
        <v>1.18</v>
      </c>
      <c r="K697" t="s">
        <v>12</v>
      </c>
      <c r="L697">
        <v>0</v>
      </c>
      <c r="M697">
        <v>3.24</v>
      </c>
      <c r="N697">
        <v>41</v>
      </c>
      <c r="O697" t="s">
        <v>35</v>
      </c>
      <c r="P697">
        <v>22</v>
      </c>
      <c r="Q697">
        <v>3.13</v>
      </c>
      <c r="R697">
        <v>27.9</v>
      </c>
      <c r="S697">
        <v>78.28</v>
      </c>
      <c r="T697">
        <v>38.520000000000003</v>
      </c>
      <c r="U697">
        <v>1</v>
      </c>
      <c r="V697">
        <v>0</v>
      </c>
      <c r="W697">
        <v>116.8</v>
      </c>
      <c r="X697">
        <v>44.1</v>
      </c>
      <c r="Y697">
        <v>101.62</v>
      </c>
      <c r="Z697">
        <v>7.21</v>
      </c>
      <c r="AA697">
        <v>2.39</v>
      </c>
      <c r="AB697">
        <v>107.2</v>
      </c>
      <c r="AC697">
        <v>230.53763440860217</v>
      </c>
      <c r="AD697">
        <v>34.249201277955272</v>
      </c>
      <c r="AE697">
        <v>84.32</v>
      </c>
      <c r="AF697">
        <v>19.489999999999998</v>
      </c>
      <c r="AG697">
        <v>0</v>
      </c>
      <c r="AH697">
        <v>3.81</v>
      </c>
      <c r="AI697">
        <v>44.81</v>
      </c>
      <c r="AJ697">
        <v>230.29</v>
      </c>
      <c r="AK697">
        <v>74.22</v>
      </c>
      <c r="AL697" t="s">
        <v>14</v>
      </c>
      <c r="AM697" t="s">
        <v>15</v>
      </c>
      <c r="AN697" t="str">
        <f t="shared" si="40"/>
        <v>Night</v>
      </c>
      <c r="AO697" t="str">
        <f t="shared" si="41"/>
        <v>Off-Peak</v>
      </c>
      <c r="AP697" t="str">
        <f t="shared" si="42"/>
        <v>Medium</v>
      </c>
      <c r="AQ697" t="str">
        <f t="shared" si="43"/>
        <v>Medium</v>
      </c>
    </row>
    <row r="698" spans="1:43" x14ac:dyDescent="0.3">
      <c r="A698">
        <v>697</v>
      </c>
      <c r="B698" t="s">
        <v>16</v>
      </c>
      <c r="C698" t="s">
        <v>17</v>
      </c>
      <c r="D698" s="1">
        <v>46068</v>
      </c>
      <c r="E698" t="s">
        <v>26</v>
      </c>
      <c r="F698">
        <v>1</v>
      </c>
      <c r="G698">
        <v>14</v>
      </c>
      <c r="H698" t="s">
        <v>19</v>
      </c>
      <c r="I698" t="s">
        <v>39</v>
      </c>
      <c r="J698">
        <v>1.05</v>
      </c>
      <c r="K698" t="s">
        <v>12</v>
      </c>
      <c r="L698">
        <v>0</v>
      </c>
      <c r="M698">
        <v>3.44</v>
      </c>
      <c r="N698">
        <v>37</v>
      </c>
      <c r="O698" t="s">
        <v>35</v>
      </c>
      <c r="P698">
        <v>8</v>
      </c>
      <c r="Q698">
        <v>1.43</v>
      </c>
      <c r="R698">
        <v>35.1</v>
      </c>
      <c r="S698">
        <v>77.23</v>
      </c>
      <c r="T698">
        <v>48.08</v>
      </c>
      <c r="U698">
        <v>1.03</v>
      </c>
      <c r="V698">
        <v>2.3199999999999998</v>
      </c>
      <c r="W698">
        <v>127.63</v>
      </c>
      <c r="X698">
        <v>39.9</v>
      </c>
      <c r="Y698">
        <v>108.14</v>
      </c>
      <c r="Z698">
        <v>3.88</v>
      </c>
      <c r="AA698">
        <v>9</v>
      </c>
      <c r="AB698">
        <v>114.75</v>
      </c>
      <c r="AC698">
        <v>196.15384615384613</v>
      </c>
      <c r="AD698">
        <v>80.244755244755254</v>
      </c>
      <c r="AE698">
        <v>67.36</v>
      </c>
      <c r="AF698">
        <v>17.02</v>
      </c>
      <c r="AG698">
        <v>1</v>
      </c>
      <c r="AH698">
        <v>10.49</v>
      </c>
      <c r="AI698">
        <v>47.49</v>
      </c>
      <c r="AJ698">
        <v>184.59</v>
      </c>
      <c r="AK698">
        <v>67.05</v>
      </c>
      <c r="AL698" t="s">
        <v>14</v>
      </c>
      <c r="AM698" t="s">
        <v>15</v>
      </c>
      <c r="AN698" t="str">
        <f t="shared" si="40"/>
        <v>Afternoon</v>
      </c>
      <c r="AO698" t="str">
        <f t="shared" si="41"/>
        <v>Off-Peak</v>
      </c>
      <c r="AP698" t="str">
        <f t="shared" si="42"/>
        <v>Medium</v>
      </c>
      <c r="AQ698" t="str">
        <f t="shared" si="43"/>
        <v>Medium</v>
      </c>
    </row>
    <row r="699" spans="1:43" x14ac:dyDescent="0.3">
      <c r="A699">
        <v>698</v>
      </c>
      <c r="B699" t="s">
        <v>25</v>
      </c>
      <c r="C699" t="s">
        <v>17</v>
      </c>
      <c r="D699" s="1">
        <v>46103</v>
      </c>
      <c r="E699" t="s">
        <v>26</v>
      </c>
      <c r="F699">
        <v>1</v>
      </c>
      <c r="G699">
        <v>19</v>
      </c>
      <c r="H699" t="s">
        <v>40</v>
      </c>
      <c r="I699" t="s">
        <v>11</v>
      </c>
      <c r="J699">
        <v>1.18</v>
      </c>
      <c r="K699" t="s">
        <v>12</v>
      </c>
      <c r="L699">
        <v>0</v>
      </c>
      <c r="M699">
        <v>3.99</v>
      </c>
      <c r="N699">
        <v>102</v>
      </c>
      <c r="O699" t="s">
        <v>13</v>
      </c>
      <c r="P699">
        <v>12</v>
      </c>
      <c r="Q699">
        <v>6.86</v>
      </c>
      <c r="R699">
        <v>49.9</v>
      </c>
      <c r="S699">
        <v>128.81</v>
      </c>
      <c r="T699">
        <v>100</v>
      </c>
      <c r="U699">
        <v>1.28</v>
      </c>
      <c r="V699">
        <v>36.07</v>
      </c>
      <c r="W699">
        <v>264.88</v>
      </c>
      <c r="X699">
        <v>36.1</v>
      </c>
      <c r="Y699">
        <v>100.61</v>
      </c>
      <c r="Z699">
        <v>19.079999999999998</v>
      </c>
      <c r="AA699">
        <v>5.04</v>
      </c>
      <c r="AB699">
        <v>240.76</v>
      </c>
      <c r="AC699">
        <v>289.49098196392782</v>
      </c>
      <c r="AD699">
        <v>35.096209912536438</v>
      </c>
      <c r="AE699">
        <v>79.790000000000006</v>
      </c>
      <c r="AF699">
        <v>17.05</v>
      </c>
      <c r="AG699">
        <v>1</v>
      </c>
      <c r="AH699">
        <v>-10.96</v>
      </c>
      <c r="AI699">
        <v>91.04</v>
      </c>
      <c r="AJ699">
        <v>314.27999999999997</v>
      </c>
      <c r="AK699">
        <v>80.760000000000005</v>
      </c>
      <c r="AL699" t="s">
        <v>23</v>
      </c>
      <c r="AM699" t="s">
        <v>24</v>
      </c>
      <c r="AN699" t="str">
        <f t="shared" si="40"/>
        <v>Night</v>
      </c>
      <c r="AO699" t="str">
        <f t="shared" si="41"/>
        <v>Peak</v>
      </c>
      <c r="AP699" t="str">
        <f t="shared" si="42"/>
        <v>High</v>
      </c>
      <c r="AQ699" t="str">
        <f t="shared" si="43"/>
        <v>High</v>
      </c>
    </row>
    <row r="700" spans="1:43" x14ac:dyDescent="0.3">
      <c r="A700">
        <v>699</v>
      </c>
      <c r="B700" t="s">
        <v>7</v>
      </c>
      <c r="C700" t="s">
        <v>8</v>
      </c>
      <c r="D700" s="1">
        <v>46070</v>
      </c>
      <c r="E700" t="s">
        <v>44</v>
      </c>
      <c r="F700">
        <v>0</v>
      </c>
      <c r="G700">
        <v>7</v>
      </c>
      <c r="H700" t="s">
        <v>49</v>
      </c>
      <c r="I700" t="s">
        <v>33</v>
      </c>
      <c r="J700">
        <v>1</v>
      </c>
      <c r="K700" t="s">
        <v>12</v>
      </c>
      <c r="L700">
        <v>0</v>
      </c>
      <c r="M700">
        <v>2.9</v>
      </c>
      <c r="N700">
        <v>38</v>
      </c>
      <c r="O700" t="s">
        <v>35</v>
      </c>
      <c r="P700">
        <v>17</v>
      </c>
      <c r="Q700">
        <v>9.52</v>
      </c>
      <c r="R700">
        <v>59.6</v>
      </c>
      <c r="S700">
        <v>116.74</v>
      </c>
      <c r="T700">
        <v>25.73</v>
      </c>
      <c r="U700">
        <v>1</v>
      </c>
      <c r="V700">
        <v>0</v>
      </c>
      <c r="W700">
        <v>142.47</v>
      </c>
      <c r="X700">
        <v>48.9</v>
      </c>
      <c r="Y700">
        <v>104.82</v>
      </c>
      <c r="Z700">
        <v>20.41</v>
      </c>
      <c r="AA700">
        <v>4.72</v>
      </c>
      <c r="AB700">
        <v>117.34</v>
      </c>
      <c r="AC700">
        <v>118.12751677852349</v>
      </c>
      <c r="AD700">
        <v>12.325630252100842</v>
      </c>
      <c r="AE700">
        <v>77.03</v>
      </c>
      <c r="AF700">
        <v>17.64</v>
      </c>
      <c r="AG700">
        <v>0</v>
      </c>
      <c r="AH700">
        <v>16.41</v>
      </c>
      <c r="AI700">
        <v>54.41</v>
      </c>
      <c r="AJ700">
        <v>110.82</v>
      </c>
      <c r="AK700">
        <v>74.92</v>
      </c>
      <c r="AL700" t="s">
        <v>14</v>
      </c>
      <c r="AM700" t="s">
        <v>15</v>
      </c>
      <c r="AN700" t="str">
        <f t="shared" si="40"/>
        <v>Morning</v>
      </c>
      <c r="AO700" t="str">
        <f t="shared" si="41"/>
        <v>Peak</v>
      </c>
      <c r="AP700" t="str">
        <f t="shared" si="42"/>
        <v>Low</v>
      </c>
      <c r="AQ700" t="str">
        <f t="shared" si="43"/>
        <v>Medium</v>
      </c>
    </row>
    <row r="701" spans="1:43" x14ac:dyDescent="0.3">
      <c r="A701">
        <v>700</v>
      </c>
      <c r="B701" t="s">
        <v>7</v>
      </c>
      <c r="C701" t="s">
        <v>8</v>
      </c>
      <c r="D701" s="1">
        <v>46093</v>
      </c>
      <c r="E701" t="s">
        <v>41</v>
      </c>
      <c r="F701">
        <v>0</v>
      </c>
      <c r="G701">
        <v>8</v>
      </c>
      <c r="H701" t="s">
        <v>49</v>
      </c>
      <c r="I701" t="s">
        <v>50</v>
      </c>
      <c r="J701">
        <v>1.2</v>
      </c>
      <c r="K701" t="s">
        <v>12</v>
      </c>
      <c r="L701">
        <v>0</v>
      </c>
      <c r="M701">
        <v>4.0999999999999996</v>
      </c>
      <c r="N701">
        <v>7</v>
      </c>
      <c r="O701" t="s">
        <v>22</v>
      </c>
      <c r="P701">
        <v>2</v>
      </c>
      <c r="Q701">
        <v>2.71</v>
      </c>
      <c r="R701">
        <v>39.4</v>
      </c>
      <c r="S701">
        <v>77.06</v>
      </c>
      <c r="T701">
        <v>0.99</v>
      </c>
      <c r="U701">
        <v>1</v>
      </c>
      <c r="V701">
        <v>0</v>
      </c>
      <c r="W701">
        <v>78.05</v>
      </c>
      <c r="X701">
        <v>39.700000000000003</v>
      </c>
      <c r="Y701">
        <v>105.11</v>
      </c>
      <c r="Z701">
        <v>7.16</v>
      </c>
      <c r="AA701">
        <v>8.93</v>
      </c>
      <c r="AB701">
        <v>61.96</v>
      </c>
      <c r="AC701">
        <v>94.35532994923858</v>
      </c>
      <c r="AD701">
        <v>22.863468634686349</v>
      </c>
      <c r="AE701">
        <v>79.77</v>
      </c>
      <c r="AF701">
        <v>17.66</v>
      </c>
      <c r="AG701">
        <v>0</v>
      </c>
      <c r="AH701">
        <v>19.940000000000001</v>
      </c>
      <c r="AI701">
        <v>26.94</v>
      </c>
      <c r="AJ701">
        <v>96.28</v>
      </c>
      <c r="AK701">
        <v>63.7</v>
      </c>
      <c r="AL701" t="s">
        <v>14</v>
      </c>
      <c r="AM701" t="s">
        <v>15</v>
      </c>
      <c r="AN701" t="str">
        <f t="shared" si="40"/>
        <v>Morning</v>
      </c>
      <c r="AO701" t="str">
        <f t="shared" si="41"/>
        <v>Peak</v>
      </c>
      <c r="AP701" t="str">
        <f t="shared" si="42"/>
        <v>Low</v>
      </c>
      <c r="AQ701" t="str">
        <f t="shared" si="43"/>
        <v>Low</v>
      </c>
    </row>
    <row r="702" spans="1:43" x14ac:dyDescent="0.3">
      <c r="A702">
        <v>701</v>
      </c>
      <c r="B702" t="s">
        <v>29</v>
      </c>
      <c r="C702" t="s">
        <v>30</v>
      </c>
      <c r="D702" s="1">
        <v>46117</v>
      </c>
      <c r="E702" t="s">
        <v>26</v>
      </c>
      <c r="F702">
        <v>1</v>
      </c>
      <c r="G702">
        <v>11</v>
      </c>
      <c r="H702" t="s">
        <v>43</v>
      </c>
      <c r="I702" t="s">
        <v>39</v>
      </c>
      <c r="J702">
        <v>1.05</v>
      </c>
      <c r="K702" t="s">
        <v>34</v>
      </c>
      <c r="L702">
        <v>1</v>
      </c>
      <c r="M702">
        <v>4.47</v>
      </c>
      <c r="N702">
        <v>68</v>
      </c>
      <c r="O702" t="s">
        <v>35</v>
      </c>
      <c r="P702">
        <v>23</v>
      </c>
      <c r="Q702">
        <v>8.3000000000000007</v>
      </c>
      <c r="R702">
        <v>69.400000000000006</v>
      </c>
      <c r="S702">
        <v>118.96</v>
      </c>
      <c r="T702">
        <v>75.92</v>
      </c>
      <c r="U702">
        <v>1</v>
      </c>
      <c r="V702">
        <v>0</v>
      </c>
      <c r="W702">
        <v>194.88</v>
      </c>
      <c r="X702">
        <v>39.1</v>
      </c>
      <c r="Y702">
        <v>101.98</v>
      </c>
      <c r="Z702">
        <v>21.62</v>
      </c>
      <c r="AA702">
        <v>4.1500000000000004</v>
      </c>
      <c r="AB702">
        <v>169.11</v>
      </c>
      <c r="AC702">
        <v>146.20461095100865</v>
      </c>
      <c r="AD702">
        <v>20.374698795180723</v>
      </c>
      <c r="AE702">
        <v>64.040000000000006</v>
      </c>
      <c r="AF702">
        <v>18.170000000000002</v>
      </c>
      <c r="AG702">
        <v>1</v>
      </c>
      <c r="AH702">
        <v>-4.42</v>
      </c>
      <c r="AI702">
        <v>63.58</v>
      </c>
      <c r="AJ702">
        <v>120.35</v>
      </c>
      <c r="AK702">
        <v>80.209999999999994</v>
      </c>
      <c r="AL702" t="s">
        <v>23</v>
      </c>
      <c r="AM702" t="s">
        <v>24</v>
      </c>
      <c r="AN702" t="str">
        <f t="shared" si="40"/>
        <v>Afternoon</v>
      </c>
      <c r="AO702" t="str">
        <f t="shared" si="41"/>
        <v>Off-Peak</v>
      </c>
      <c r="AP702" t="str">
        <f t="shared" si="42"/>
        <v>Low</v>
      </c>
      <c r="AQ702" t="str">
        <f t="shared" si="43"/>
        <v>Medium</v>
      </c>
    </row>
    <row r="703" spans="1:43" x14ac:dyDescent="0.3">
      <c r="A703">
        <v>702</v>
      </c>
      <c r="B703" t="s">
        <v>25</v>
      </c>
      <c r="C703" t="s">
        <v>17</v>
      </c>
      <c r="D703" s="1">
        <v>46056</v>
      </c>
      <c r="E703" t="s">
        <v>44</v>
      </c>
      <c r="F703">
        <v>0</v>
      </c>
      <c r="G703">
        <v>17</v>
      </c>
      <c r="H703" t="s">
        <v>40</v>
      </c>
      <c r="I703" t="s">
        <v>39</v>
      </c>
      <c r="J703">
        <v>1.05</v>
      </c>
      <c r="K703" t="s">
        <v>12</v>
      </c>
      <c r="L703">
        <v>0</v>
      </c>
      <c r="M703">
        <v>4.4800000000000004</v>
      </c>
      <c r="N703">
        <v>80</v>
      </c>
      <c r="O703" t="s">
        <v>13</v>
      </c>
      <c r="P703">
        <v>14</v>
      </c>
      <c r="Q703">
        <v>15</v>
      </c>
      <c r="R703">
        <v>87.7</v>
      </c>
      <c r="S703">
        <v>218.23</v>
      </c>
      <c r="T703">
        <v>89.99</v>
      </c>
      <c r="U703">
        <v>1.29</v>
      </c>
      <c r="V703">
        <v>63.29</v>
      </c>
      <c r="W703">
        <v>371.51</v>
      </c>
      <c r="X703">
        <v>36.5</v>
      </c>
      <c r="Y703">
        <v>100.9</v>
      </c>
      <c r="Z703">
        <v>41.45</v>
      </c>
      <c r="AA703">
        <v>11.62</v>
      </c>
      <c r="AB703">
        <v>318.44</v>
      </c>
      <c r="AC703">
        <v>217.86088939566704</v>
      </c>
      <c r="AD703">
        <v>21.229333333333333</v>
      </c>
      <c r="AE703">
        <v>60.72</v>
      </c>
      <c r="AF703">
        <v>19.5</v>
      </c>
      <c r="AG703">
        <v>1</v>
      </c>
      <c r="AH703">
        <v>11.79</v>
      </c>
      <c r="AI703">
        <v>91.79</v>
      </c>
      <c r="AJ703">
        <v>222.73</v>
      </c>
      <c r="AK703">
        <v>68.91</v>
      </c>
      <c r="AL703" t="s">
        <v>23</v>
      </c>
      <c r="AM703" t="s">
        <v>24</v>
      </c>
      <c r="AN703" t="str">
        <f t="shared" si="40"/>
        <v>Evening</v>
      </c>
      <c r="AO703" t="str">
        <f t="shared" si="41"/>
        <v>Peak</v>
      </c>
      <c r="AP703" t="str">
        <f t="shared" si="42"/>
        <v>Medium</v>
      </c>
      <c r="AQ703" t="str">
        <f t="shared" si="43"/>
        <v>High</v>
      </c>
    </row>
    <row r="704" spans="1:43" x14ac:dyDescent="0.3">
      <c r="A704">
        <v>703</v>
      </c>
      <c r="B704" t="s">
        <v>14</v>
      </c>
      <c r="C704" t="s">
        <v>8</v>
      </c>
      <c r="D704" s="1">
        <v>46026</v>
      </c>
      <c r="E704" t="s">
        <v>26</v>
      </c>
      <c r="F704">
        <v>1</v>
      </c>
      <c r="G704">
        <v>9</v>
      </c>
      <c r="H704" t="s">
        <v>49</v>
      </c>
      <c r="I704" t="s">
        <v>33</v>
      </c>
      <c r="J704">
        <v>1</v>
      </c>
      <c r="K704" t="s">
        <v>34</v>
      </c>
      <c r="L704">
        <v>1</v>
      </c>
      <c r="M704">
        <v>4.88</v>
      </c>
      <c r="N704">
        <v>57</v>
      </c>
      <c r="O704" t="s">
        <v>35</v>
      </c>
      <c r="P704">
        <v>18</v>
      </c>
      <c r="Q704">
        <v>12.98</v>
      </c>
      <c r="R704">
        <v>83.4</v>
      </c>
      <c r="S704">
        <v>156.31</v>
      </c>
      <c r="T704">
        <v>57.21</v>
      </c>
      <c r="U704">
        <v>1</v>
      </c>
      <c r="V704">
        <v>0</v>
      </c>
      <c r="W704">
        <v>213.52</v>
      </c>
      <c r="X704">
        <v>43.7</v>
      </c>
      <c r="Y704">
        <v>100.75</v>
      </c>
      <c r="Z704">
        <v>29.95</v>
      </c>
      <c r="AA704">
        <v>11.91</v>
      </c>
      <c r="AB704">
        <v>171.66</v>
      </c>
      <c r="AC704">
        <v>123.49640287769783</v>
      </c>
      <c r="AD704">
        <v>13.224961479198766</v>
      </c>
      <c r="AE704">
        <v>76.87</v>
      </c>
      <c r="AF704">
        <v>14.79</v>
      </c>
      <c r="AG704">
        <v>1</v>
      </c>
      <c r="AH704">
        <v>7.21</v>
      </c>
      <c r="AI704">
        <v>64.209999999999994</v>
      </c>
      <c r="AJ704">
        <v>112.08</v>
      </c>
      <c r="AK704">
        <v>75.209999999999994</v>
      </c>
      <c r="AL704" t="s">
        <v>23</v>
      </c>
      <c r="AM704" t="s">
        <v>24</v>
      </c>
      <c r="AN704" t="str">
        <f t="shared" si="40"/>
        <v>Morning</v>
      </c>
      <c r="AO704" t="str">
        <f t="shared" si="41"/>
        <v>Peak</v>
      </c>
      <c r="AP704" t="str">
        <f t="shared" si="42"/>
        <v>Low</v>
      </c>
      <c r="AQ704" t="str">
        <f t="shared" si="43"/>
        <v>Medium</v>
      </c>
    </row>
    <row r="705" spans="1:43" x14ac:dyDescent="0.3">
      <c r="A705">
        <v>704</v>
      </c>
      <c r="B705" t="s">
        <v>14</v>
      </c>
      <c r="C705" t="s">
        <v>8</v>
      </c>
      <c r="D705" s="1">
        <v>46136</v>
      </c>
      <c r="E705" t="s">
        <v>9</v>
      </c>
      <c r="F705">
        <v>0</v>
      </c>
      <c r="G705">
        <v>7</v>
      </c>
      <c r="H705" t="s">
        <v>49</v>
      </c>
      <c r="I705" t="s">
        <v>42</v>
      </c>
      <c r="J705">
        <v>1.08</v>
      </c>
      <c r="K705" t="s">
        <v>21</v>
      </c>
      <c r="L705">
        <v>0</v>
      </c>
      <c r="M705">
        <v>2.69</v>
      </c>
      <c r="N705">
        <v>9</v>
      </c>
      <c r="O705" t="s">
        <v>22</v>
      </c>
      <c r="P705">
        <v>4</v>
      </c>
      <c r="Q705">
        <v>9.25</v>
      </c>
      <c r="R705">
        <v>60.9</v>
      </c>
      <c r="S705">
        <v>120.07</v>
      </c>
      <c r="T705">
        <v>5.16</v>
      </c>
      <c r="U705">
        <v>1</v>
      </c>
      <c r="V705">
        <v>0</v>
      </c>
      <c r="W705">
        <v>125.23</v>
      </c>
      <c r="X705">
        <v>39</v>
      </c>
      <c r="Y705">
        <v>100.37</v>
      </c>
      <c r="Z705">
        <v>23.81</v>
      </c>
      <c r="AA705">
        <v>6.58</v>
      </c>
      <c r="AB705">
        <v>94.84</v>
      </c>
      <c r="AC705">
        <v>93.438423645320213</v>
      </c>
      <c r="AD705">
        <v>10.252972972972973</v>
      </c>
      <c r="AE705">
        <v>52.47</v>
      </c>
      <c r="AF705">
        <v>16.87</v>
      </c>
      <c r="AG705">
        <v>0</v>
      </c>
      <c r="AH705">
        <v>8.86</v>
      </c>
      <c r="AI705">
        <v>17.86</v>
      </c>
      <c r="AJ705">
        <v>78.790000000000006</v>
      </c>
      <c r="AK705">
        <v>64.73</v>
      </c>
      <c r="AL705" t="s">
        <v>14</v>
      </c>
      <c r="AM705" t="s">
        <v>15</v>
      </c>
      <c r="AN705" t="str">
        <f t="shared" si="40"/>
        <v>Morning</v>
      </c>
      <c r="AO705" t="str">
        <f t="shared" si="41"/>
        <v>Peak</v>
      </c>
      <c r="AP705" t="str">
        <f t="shared" si="42"/>
        <v>Low</v>
      </c>
      <c r="AQ705" t="str">
        <f t="shared" si="43"/>
        <v>Low</v>
      </c>
    </row>
    <row r="706" spans="1:43" x14ac:dyDescent="0.3">
      <c r="A706">
        <v>705</v>
      </c>
      <c r="B706" t="s">
        <v>7</v>
      </c>
      <c r="C706" t="s">
        <v>8</v>
      </c>
      <c r="D706" s="1">
        <v>46203</v>
      </c>
      <c r="E706" t="s">
        <v>44</v>
      </c>
      <c r="F706">
        <v>0</v>
      </c>
      <c r="G706">
        <v>17</v>
      </c>
      <c r="H706" t="s">
        <v>32</v>
      </c>
      <c r="I706" t="s">
        <v>50</v>
      </c>
      <c r="J706">
        <v>1.2</v>
      </c>
      <c r="K706" t="s">
        <v>21</v>
      </c>
      <c r="L706">
        <v>0</v>
      </c>
      <c r="M706">
        <v>4.3</v>
      </c>
      <c r="N706">
        <v>38</v>
      </c>
      <c r="O706" t="s">
        <v>35</v>
      </c>
      <c r="P706">
        <v>12</v>
      </c>
      <c r="Q706">
        <v>1.6</v>
      </c>
      <c r="R706">
        <v>31.4</v>
      </c>
      <c r="S706">
        <v>54.66</v>
      </c>
      <c r="T706">
        <v>38.299999999999997</v>
      </c>
      <c r="U706">
        <v>1</v>
      </c>
      <c r="V706">
        <v>0</v>
      </c>
      <c r="W706">
        <v>92.96</v>
      </c>
      <c r="X706">
        <v>47.6</v>
      </c>
      <c r="Y706">
        <v>105.74</v>
      </c>
      <c r="Z706">
        <v>3.54</v>
      </c>
      <c r="AA706">
        <v>6.01</v>
      </c>
      <c r="AB706">
        <v>83.41</v>
      </c>
      <c r="AC706">
        <v>159.38216560509554</v>
      </c>
      <c r="AD706">
        <v>52.131249999999994</v>
      </c>
      <c r="AE706">
        <v>76.31</v>
      </c>
      <c r="AF706">
        <v>17.84</v>
      </c>
      <c r="AG706">
        <v>0</v>
      </c>
      <c r="AH706">
        <v>15.18</v>
      </c>
      <c r="AI706">
        <v>53.18</v>
      </c>
      <c r="AJ706">
        <v>195.46</v>
      </c>
      <c r="AK706">
        <v>64.91</v>
      </c>
      <c r="AL706" t="s">
        <v>14</v>
      </c>
      <c r="AM706" t="s">
        <v>15</v>
      </c>
      <c r="AN706" t="str">
        <f t="shared" si="40"/>
        <v>Evening</v>
      </c>
      <c r="AO706" t="str">
        <f t="shared" si="41"/>
        <v>Peak</v>
      </c>
      <c r="AP706" t="str">
        <f t="shared" si="42"/>
        <v>Medium</v>
      </c>
      <c r="AQ706" t="str">
        <f t="shared" si="43"/>
        <v>Medium</v>
      </c>
    </row>
    <row r="707" spans="1:43" x14ac:dyDescent="0.3">
      <c r="A707">
        <v>706</v>
      </c>
      <c r="B707" t="s">
        <v>29</v>
      </c>
      <c r="C707" t="s">
        <v>30</v>
      </c>
      <c r="D707" s="1">
        <v>46101</v>
      </c>
      <c r="E707" t="s">
        <v>9</v>
      </c>
      <c r="F707">
        <v>0</v>
      </c>
      <c r="G707">
        <v>19</v>
      </c>
      <c r="H707" t="s">
        <v>32</v>
      </c>
      <c r="I707" t="s">
        <v>42</v>
      </c>
      <c r="J707">
        <v>1.08</v>
      </c>
      <c r="K707" t="s">
        <v>21</v>
      </c>
      <c r="L707">
        <v>0</v>
      </c>
      <c r="M707">
        <v>4.53</v>
      </c>
      <c r="N707">
        <v>54</v>
      </c>
      <c r="O707" t="s">
        <v>35</v>
      </c>
      <c r="P707">
        <v>12</v>
      </c>
      <c r="Q707">
        <v>1.58</v>
      </c>
      <c r="R707">
        <v>37.5</v>
      </c>
      <c r="S707">
        <v>56.63</v>
      </c>
      <c r="T707">
        <v>74.459999999999994</v>
      </c>
      <c r="U707">
        <v>1</v>
      </c>
      <c r="V707">
        <v>0</v>
      </c>
      <c r="W707">
        <v>131.09</v>
      </c>
      <c r="X707">
        <v>45.2</v>
      </c>
      <c r="Y707">
        <v>101.55</v>
      </c>
      <c r="Z707">
        <v>3.55</v>
      </c>
      <c r="AA707">
        <v>2.79</v>
      </c>
      <c r="AB707">
        <v>124.75</v>
      </c>
      <c r="AC707">
        <v>199.6</v>
      </c>
      <c r="AD707">
        <v>78.955696202531641</v>
      </c>
      <c r="AE707">
        <v>81.06</v>
      </c>
      <c r="AF707">
        <v>17.12</v>
      </c>
      <c r="AG707">
        <v>1</v>
      </c>
      <c r="AH707">
        <v>10.78</v>
      </c>
      <c r="AI707">
        <v>64.78</v>
      </c>
      <c r="AJ707">
        <v>211.23</v>
      </c>
      <c r="AK707">
        <v>71.7</v>
      </c>
      <c r="AL707" t="s">
        <v>14</v>
      </c>
      <c r="AM707" t="s">
        <v>15</v>
      </c>
      <c r="AN707" t="str">
        <f t="shared" ref="AN707:AN770" si="44">IF(G707&lt;11,"Morning",IF(G707&lt;15,"Afternoon",IF(G707&lt;18,"Evening","Night")))</f>
        <v>Night</v>
      </c>
      <c r="AO707" t="str">
        <f t="shared" ref="AO707:AO770" si="45">IF(OR(AND(G707&gt;=7,G707&lt;=10),AND(G707&gt;=17,G707&lt;=20)),"Peak","Off-Peak")</f>
        <v>Peak</v>
      </c>
      <c r="AP707" t="str">
        <f t="shared" ref="AP707:AP770" si="46">IF(AC707&lt;150,"Low",IF(AC707&lt;=250,"Medium","High"))</f>
        <v>Medium</v>
      </c>
      <c r="AQ707" t="str">
        <f t="shared" ref="AQ707:AQ770" si="47">IF(N707&lt;=35,"Low",IF(N707&lt;=70,"Medium","High"))</f>
        <v>Medium</v>
      </c>
    </row>
    <row r="708" spans="1:43" x14ac:dyDescent="0.3">
      <c r="A708">
        <v>707</v>
      </c>
      <c r="B708" t="s">
        <v>7</v>
      </c>
      <c r="C708" t="s">
        <v>8</v>
      </c>
      <c r="D708" s="1">
        <v>46244</v>
      </c>
      <c r="E708" t="s">
        <v>38</v>
      </c>
      <c r="F708">
        <v>0</v>
      </c>
      <c r="G708">
        <v>18</v>
      </c>
      <c r="H708" t="s">
        <v>51</v>
      </c>
      <c r="I708" t="s">
        <v>42</v>
      </c>
      <c r="J708">
        <v>1.08</v>
      </c>
      <c r="K708" t="s">
        <v>12</v>
      </c>
      <c r="L708">
        <v>0</v>
      </c>
      <c r="M708">
        <v>5</v>
      </c>
      <c r="N708">
        <v>67</v>
      </c>
      <c r="O708" t="s">
        <v>35</v>
      </c>
      <c r="P708">
        <v>28</v>
      </c>
      <c r="Q708">
        <v>6.18</v>
      </c>
      <c r="R708">
        <v>73</v>
      </c>
      <c r="S708">
        <v>104.45</v>
      </c>
      <c r="T708">
        <v>76.540000000000006</v>
      </c>
      <c r="U708">
        <v>1</v>
      </c>
      <c r="V708">
        <v>0</v>
      </c>
      <c r="W708">
        <v>180.99</v>
      </c>
      <c r="X708">
        <v>35.1</v>
      </c>
      <c r="Y708">
        <v>108.09</v>
      </c>
      <c r="Z708">
        <v>19.059999999999999</v>
      </c>
      <c r="AA708">
        <v>9.7799999999999994</v>
      </c>
      <c r="AB708">
        <v>152.15</v>
      </c>
      <c r="AC708">
        <v>125.05479452054796</v>
      </c>
      <c r="AD708">
        <v>24.619741100323626</v>
      </c>
      <c r="AE708">
        <v>87.25</v>
      </c>
      <c r="AF708">
        <v>17.18</v>
      </c>
      <c r="AG708">
        <v>1</v>
      </c>
      <c r="AH708">
        <v>0.92</v>
      </c>
      <c r="AI708">
        <v>67.92</v>
      </c>
      <c r="AJ708">
        <v>151.44999999999999</v>
      </c>
      <c r="AK708">
        <v>78.12</v>
      </c>
      <c r="AL708" t="s">
        <v>14</v>
      </c>
      <c r="AM708" t="s">
        <v>15</v>
      </c>
      <c r="AN708" t="str">
        <f t="shared" si="44"/>
        <v>Night</v>
      </c>
      <c r="AO708" t="str">
        <f t="shared" si="45"/>
        <v>Peak</v>
      </c>
      <c r="AP708" t="str">
        <f t="shared" si="46"/>
        <v>Low</v>
      </c>
      <c r="AQ708" t="str">
        <f t="shared" si="47"/>
        <v>Medium</v>
      </c>
    </row>
    <row r="709" spans="1:43" x14ac:dyDescent="0.3">
      <c r="A709">
        <v>708</v>
      </c>
      <c r="B709" t="s">
        <v>25</v>
      </c>
      <c r="C709" t="s">
        <v>17</v>
      </c>
      <c r="D709" s="1">
        <v>46118</v>
      </c>
      <c r="E709" t="s">
        <v>38</v>
      </c>
      <c r="F709">
        <v>0</v>
      </c>
      <c r="G709">
        <v>19</v>
      </c>
      <c r="H709" t="s">
        <v>40</v>
      </c>
      <c r="I709" t="s">
        <v>46</v>
      </c>
      <c r="J709">
        <v>1.1499999999999999</v>
      </c>
      <c r="K709" t="s">
        <v>21</v>
      </c>
      <c r="L709">
        <v>0</v>
      </c>
      <c r="M709">
        <v>3.15</v>
      </c>
      <c r="N709">
        <v>70</v>
      </c>
      <c r="O709" t="s">
        <v>35</v>
      </c>
      <c r="P709">
        <v>16</v>
      </c>
      <c r="Q709">
        <v>4.04</v>
      </c>
      <c r="R709">
        <v>40.9</v>
      </c>
      <c r="S709">
        <v>95.7</v>
      </c>
      <c r="T709">
        <v>96.23</v>
      </c>
      <c r="U709">
        <v>1.28</v>
      </c>
      <c r="V709">
        <v>26.8</v>
      </c>
      <c r="W709">
        <v>218.73</v>
      </c>
      <c r="X709">
        <v>43.5</v>
      </c>
      <c r="Y709">
        <v>108.99</v>
      </c>
      <c r="Z709">
        <v>10.130000000000001</v>
      </c>
      <c r="AA709">
        <v>3.63</v>
      </c>
      <c r="AB709">
        <v>204.97</v>
      </c>
      <c r="AC709">
        <v>300.68948655256725</v>
      </c>
      <c r="AD709">
        <v>50.735148514851481</v>
      </c>
      <c r="AE709">
        <v>72.62</v>
      </c>
      <c r="AF709">
        <v>14.73</v>
      </c>
      <c r="AG709">
        <v>1</v>
      </c>
      <c r="AH709">
        <v>15.5</v>
      </c>
      <c r="AI709">
        <v>85.5</v>
      </c>
      <c r="AJ709">
        <v>321.75</v>
      </c>
      <c r="AK709">
        <v>69.8</v>
      </c>
      <c r="AL709" t="s">
        <v>23</v>
      </c>
      <c r="AM709" t="s">
        <v>24</v>
      </c>
      <c r="AN709" t="str">
        <f t="shared" si="44"/>
        <v>Night</v>
      </c>
      <c r="AO709" t="str">
        <f t="shared" si="45"/>
        <v>Peak</v>
      </c>
      <c r="AP709" t="str">
        <f t="shared" si="46"/>
        <v>High</v>
      </c>
      <c r="AQ709" t="str">
        <f t="shared" si="47"/>
        <v>Medium</v>
      </c>
    </row>
    <row r="710" spans="1:43" x14ac:dyDescent="0.3">
      <c r="A710">
        <v>709</v>
      </c>
      <c r="B710" t="s">
        <v>29</v>
      </c>
      <c r="C710" t="s">
        <v>30</v>
      </c>
      <c r="D710" s="1">
        <v>46255</v>
      </c>
      <c r="E710" t="s">
        <v>9</v>
      </c>
      <c r="F710">
        <v>0</v>
      </c>
      <c r="G710">
        <v>19</v>
      </c>
      <c r="H710" t="s">
        <v>32</v>
      </c>
      <c r="I710" t="s">
        <v>45</v>
      </c>
      <c r="J710">
        <v>1</v>
      </c>
      <c r="K710" t="s">
        <v>12</v>
      </c>
      <c r="L710">
        <v>0</v>
      </c>
      <c r="M710">
        <v>3.55</v>
      </c>
      <c r="N710">
        <v>76</v>
      </c>
      <c r="O710" t="s">
        <v>13</v>
      </c>
      <c r="P710">
        <v>25</v>
      </c>
      <c r="Q710">
        <v>1</v>
      </c>
      <c r="R710">
        <v>23</v>
      </c>
      <c r="S710">
        <v>54.14</v>
      </c>
      <c r="T710">
        <v>78.44</v>
      </c>
      <c r="U710">
        <v>1</v>
      </c>
      <c r="V710">
        <v>0</v>
      </c>
      <c r="W710">
        <v>132.58000000000001</v>
      </c>
      <c r="X710">
        <v>38.5</v>
      </c>
      <c r="Y710">
        <v>102.92</v>
      </c>
      <c r="Z710">
        <v>2.67</v>
      </c>
      <c r="AA710">
        <v>11.33</v>
      </c>
      <c r="AB710">
        <v>118.58</v>
      </c>
      <c r="AC710">
        <v>309.33913043478259</v>
      </c>
      <c r="AD710">
        <v>118.58</v>
      </c>
      <c r="AE710">
        <v>79.37</v>
      </c>
      <c r="AF710">
        <v>15.29</v>
      </c>
      <c r="AG710">
        <v>1</v>
      </c>
      <c r="AH710">
        <v>19.68</v>
      </c>
      <c r="AI710">
        <v>95.68</v>
      </c>
      <c r="AJ710">
        <v>331.85</v>
      </c>
      <c r="AK710">
        <v>72.28</v>
      </c>
      <c r="AL710" t="s">
        <v>14</v>
      </c>
      <c r="AM710" t="s">
        <v>15</v>
      </c>
      <c r="AN710" t="str">
        <f t="shared" si="44"/>
        <v>Night</v>
      </c>
      <c r="AO710" t="str">
        <f t="shared" si="45"/>
        <v>Peak</v>
      </c>
      <c r="AP710" t="str">
        <f t="shared" si="46"/>
        <v>High</v>
      </c>
      <c r="AQ710" t="str">
        <f t="shared" si="47"/>
        <v>High</v>
      </c>
    </row>
    <row r="711" spans="1:43" x14ac:dyDescent="0.3">
      <c r="A711">
        <v>710</v>
      </c>
      <c r="B711" t="s">
        <v>29</v>
      </c>
      <c r="C711" t="s">
        <v>30</v>
      </c>
      <c r="D711" s="1">
        <v>46083</v>
      </c>
      <c r="E711" t="s">
        <v>38</v>
      </c>
      <c r="F711">
        <v>0</v>
      </c>
      <c r="G711">
        <v>16</v>
      </c>
      <c r="H711" t="s">
        <v>32</v>
      </c>
      <c r="I711" t="s">
        <v>28</v>
      </c>
      <c r="J711">
        <v>1.03</v>
      </c>
      <c r="K711" t="s">
        <v>34</v>
      </c>
      <c r="L711">
        <v>1</v>
      </c>
      <c r="M711">
        <v>3.84</v>
      </c>
      <c r="N711">
        <v>33</v>
      </c>
      <c r="O711" t="s">
        <v>22</v>
      </c>
      <c r="P711">
        <v>8</v>
      </c>
      <c r="Q711">
        <v>2.95</v>
      </c>
      <c r="R711">
        <v>30.1</v>
      </c>
      <c r="S711">
        <v>76.459999999999994</v>
      </c>
      <c r="T711">
        <v>36.630000000000003</v>
      </c>
      <c r="U711">
        <v>1</v>
      </c>
      <c r="V711">
        <v>0</v>
      </c>
      <c r="W711">
        <v>113.09</v>
      </c>
      <c r="X711">
        <v>35.200000000000003</v>
      </c>
      <c r="Y711">
        <v>101.64</v>
      </c>
      <c r="Z711">
        <v>8.52</v>
      </c>
      <c r="AA711">
        <v>11.91</v>
      </c>
      <c r="AB711">
        <v>92.66</v>
      </c>
      <c r="AC711">
        <v>184.70431893687706</v>
      </c>
      <c r="AD711">
        <v>31.410169491525419</v>
      </c>
      <c r="AE711">
        <v>79.849999999999994</v>
      </c>
      <c r="AF711">
        <v>18.829999999999998</v>
      </c>
      <c r="AG711">
        <v>0</v>
      </c>
      <c r="AH711">
        <v>-5.31</v>
      </c>
      <c r="AI711">
        <v>27.69</v>
      </c>
      <c r="AJ711">
        <v>186.44</v>
      </c>
      <c r="AK711">
        <v>70.13</v>
      </c>
      <c r="AL711" t="s">
        <v>23</v>
      </c>
      <c r="AM711" t="s">
        <v>24</v>
      </c>
      <c r="AN711" t="str">
        <f t="shared" si="44"/>
        <v>Evening</v>
      </c>
      <c r="AO711" t="str">
        <f t="shared" si="45"/>
        <v>Off-Peak</v>
      </c>
      <c r="AP711" t="str">
        <f t="shared" si="46"/>
        <v>Medium</v>
      </c>
      <c r="AQ711" t="str">
        <f t="shared" si="47"/>
        <v>Low</v>
      </c>
    </row>
    <row r="712" spans="1:43" x14ac:dyDescent="0.3">
      <c r="A712">
        <v>711</v>
      </c>
      <c r="B712" t="s">
        <v>25</v>
      </c>
      <c r="C712" t="s">
        <v>17</v>
      </c>
      <c r="D712" s="1">
        <v>46162</v>
      </c>
      <c r="E712" t="s">
        <v>18</v>
      </c>
      <c r="F712">
        <v>0</v>
      </c>
      <c r="G712">
        <v>15</v>
      </c>
      <c r="H712" t="s">
        <v>19</v>
      </c>
      <c r="I712" t="s">
        <v>45</v>
      </c>
      <c r="J712">
        <v>1</v>
      </c>
      <c r="K712" t="s">
        <v>12</v>
      </c>
      <c r="L712">
        <v>0</v>
      </c>
      <c r="M712">
        <v>3.32</v>
      </c>
      <c r="N712">
        <v>14</v>
      </c>
      <c r="O712" t="s">
        <v>22</v>
      </c>
      <c r="P712">
        <v>2</v>
      </c>
      <c r="Q712">
        <v>6</v>
      </c>
      <c r="R712">
        <v>46.6</v>
      </c>
      <c r="S712">
        <v>142.04</v>
      </c>
      <c r="T712">
        <v>14.06</v>
      </c>
      <c r="U712">
        <v>1.07</v>
      </c>
      <c r="V712">
        <v>9.94</v>
      </c>
      <c r="W712">
        <v>166.04</v>
      </c>
      <c r="X712">
        <v>44.3</v>
      </c>
      <c r="Y712">
        <v>104.1</v>
      </c>
      <c r="Z712">
        <v>14.1</v>
      </c>
      <c r="AA712">
        <v>3.22</v>
      </c>
      <c r="AB712">
        <v>148.72</v>
      </c>
      <c r="AC712">
        <v>191.48497854077252</v>
      </c>
      <c r="AD712">
        <v>24.786666666666665</v>
      </c>
      <c r="AE712">
        <v>63.71</v>
      </c>
      <c r="AF712">
        <v>17.440000000000001</v>
      </c>
      <c r="AG712">
        <v>0</v>
      </c>
      <c r="AH712">
        <v>2.97</v>
      </c>
      <c r="AI712">
        <v>16.97</v>
      </c>
      <c r="AJ712">
        <v>215.42</v>
      </c>
      <c r="AK712">
        <v>71.72</v>
      </c>
      <c r="AL712" t="s">
        <v>23</v>
      </c>
      <c r="AM712" t="s">
        <v>24</v>
      </c>
      <c r="AN712" t="str">
        <f t="shared" si="44"/>
        <v>Evening</v>
      </c>
      <c r="AO712" t="str">
        <f t="shared" si="45"/>
        <v>Off-Peak</v>
      </c>
      <c r="AP712" t="str">
        <f t="shared" si="46"/>
        <v>Medium</v>
      </c>
      <c r="AQ712" t="str">
        <f t="shared" si="47"/>
        <v>Low</v>
      </c>
    </row>
    <row r="713" spans="1:43" x14ac:dyDescent="0.3">
      <c r="A713">
        <v>712</v>
      </c>
      <c r="B713" t="s">
        <v>29</v>
      </c>
      <c r="C713" t="s">
        <v>30</v>
      </c>
      <c r="D713" s="1">
        <v>46219</v>
      </c>
      <c r="E713" t="s">
        <v>41</v>
      </c>
      <c r="F713">
        <v>0</v>
      </c>
      <c r="G713">
        <v>20</v>
      </c>
      <c r="H713" t="s">
        <v>32</v>
      </c>
      <c r="I713" t="s">
        <v>11</v>
      </c>
      <c r="J713">
        <v>1.18</v>
      </c>
      <c r="K713" t="s">
        <v>12</v>
      </c>
      <c r="L713">
        <v>0</v>
      </c>
      <c r="M713">
        <v>5</v>
      </c>
      <c r="N713">
        <v>72</v>
      </c>
      <c r="O713" t="s">
        <v>13</v>
      </c>
      <c r="P713">
        <v>19</v>
      </c>
      <c r="Q713">
        <v>3.59</v>
      </c>
      <c r="R713">
        <v>39.4</v>
      </c>
      <c r="S713">
        <v>84.58</v>
      </c>
      <c r="T713">
        <v>87.68</v>
      </c>
      <c r="U713">
        <v>1</v>
      </c>
      <c r="V713">
        <v>0</v>
      </c>
      <c r="W713">
        <v>172.26</v>
      </c>
      <c r="X713">
        <v>38.1</v>
      </c>
      <c r="Y713">
        <v>108.82</v>
      </c>
      <c r="Z713">
        <v>10.25</v>
      </c>
      <c r="AA713">
        <v>8.83</v>
      </c>
      <c r="AB713">
        <v>153.18</v>
      </c>
      <c r="AC713">
        <v>233.26903553299496</v>
      </c>
      <c r="AD713">
        <v>42.668523676880227</v>
      </c>
      <c r="AE713">
        <v>85.08</v>
      </c>
      <c r="AF713">
        <v>16.62</v>
      </c>
      <c r="AG713">
        <v>1</v>
      </c>
      <c r="AH713">
        <v>-23.53</v>
      </c>
      <c r="AI713">
        <v>48.47</v>
      </c>
      <c r="AJ713">
        <v>253.7</v>
      </c>
      <c r="AK713">
        <v>70.3</v>
      </c>
      <c r="AL713" t="s">
        <v>14</v>
      </c>
      <c r="AM713" t="s">
        <v>15</v>
      </c>
      <c r="AN713" t="str">
        <f t="shared" si="44"/>
        <v>Night</v>
      </c>
      <c r="AO713" t="str">
        <f t="shared" si="45"/>
        <v>Peak</v>
      </c>
      <c r="AP713" t="str">
        <f t="shared" si="46"/>
        <v>Medium</v>
      </c>
      <c r="AQ713" t="str">
        <f t="shared" si="47"/>
        <v>High</v>
      </c>
    </row>
    <row r="714" spans="1:43" x14ac:dyDescent="0.3">
      <c r="A714">
        <v>713</v>
      </c>
      <c r="B714" t="s">
        <v>16</v>
      </c>
      <c r="C714" t="s">
        <v>17</v>
      </c>
      <c r="D714" s="1">
        <v>46038</v>
      </c>
      <c r="E714" t="s">
        <v>9</v>
      </c>
      <c r="F714">
        <v>0</v>
      </c>
      <c r="G714">
        <v>12</v>
      </c>
      <c r="H714" t="s">
        <v>19</v>
      </c>
      <c r="I714" t="s">
        <v>45</v>
      </c>
      <c r="J714">
        <v>1</v>
      </c>
      <c r="K714" t="s">
        <v>21</v>
      </c>
      <c r="L714">
        <v>0</v>
      </c>
      <c r="M714">
        <v>2.4700000000000002</v>
      </c>
      <c r="N714">
        <v>34</v>
      </c>
      <c r="O714" t="s">
        <v>22</v>
      </c>
      <c r="P714">
        <v>6</v>
      </c>
      <c r="Q714">
        <v>4.0599999999999996</v>
      </c>
      <c r="R714">
        <v>38.5</v>
      </c>
      <c r="S714">
        <v>100.7</v>
      </c>
      <c r="T714">
        <v>27.78</v>
      </c>
      <c r="U714">
        <v>1.01</v>
      </c>
      <c r="V714">
        <v>1.01</v>
      </c>
      <c r="W714">
        <v>129.49</v>
      </c>
      <c r="X714">
        <v>48.5</v>
      </c>
      <c r="Y714">
        <v>104</v>
      </c>
      <c r="Z714">
        <v>8.6999999999999993</v>
      </c>
      <c r="AA714">
        <v>6.66</v>
      </c>
      <c r="AB714">
        <v>114.13</v>
      </c>
      <c r="AC714">
        <v>177.86493506493505</v>
      </c>
      <c r="AD714">
        <v>28.110837438423648</v>
      </c>
      <c r="AE714">
        <v>76.91</v>
      </c>
      <c r="AF714">
        <v>12.83</v>
      </c>
      <c r="AG714">
        <v>0</v>
      </c>
      <c r="AH714">
        <v>11.75</v>
      </c>
      <c r="AI714">
        <v>45.75</v>
      </c>
      <c r="AJ714">
        <v>178.71</v>
      </c>
      <c r="AK714">
        <v>69.900000000000006</v>
      </c>
      <c r="AL714" t="s">
        <v>14</v>
      </c>
      <c r="AM714" t="s">
        <v>15</v>
      </c>
      <c r="AN714" t="str">
        <f t="shared" si="44"/>
        <v>Afternoon</v>
      </c>
      <c r="AO714" t="str">
        <f t="shared" si="45"/>
        <v>Off-Peak</v>
      </c>
      <c r="AP714" t="str">
        <f t="shared" si="46"/>
        <v>Medium</v>
      </c>
      <c r="AQ714" t="str">
        <f t="shared" si="47"/>
        <v>Low</v>
      </c>
    </row>
    <row r="715" spans="1:43" x14ac:dyDescent="0.3">
      <c r="A715">
        <v>714</v>
      </c>
      <c r="B715" t="s">
        <v>16</v>
      </c>
      <c r="C715" t="s">
        <v>17</v>
      </c>
      <c r="D715" s="1">
        <v>46262</v>
      </c>
      <c r="E715" t="s">
        <v>9</v>
      </c>
      <c r="F715">
        <v>0</v>
      </c>
      <c r="G715">
        <v>8</v>
      </c>
      <c r="H715" t="s">
        <v>27</v>
      </c>
      <c r="I715" t="s">
        <v>33</v>
      </c>
      <c r="J715">
        <v>1</v>
      </c>
      <c r="K715" t="s">
        <v>21</v>
      </c>
      <c r="L715">
        <v>0</v>
      </c>
      <c r="M715">
        <v>4.82</v>
      </c>
      <c r="N715">
        <v>94</v>
      </c>
      <c r="O715" t="s">
        <v>13</v>
      </c>
      <c r="P715">
        <v>14</v>
      </c>
      <c r="Q715">
        <v>1.58</v>
      </c>
      <c r="R715">
        <v>36.700000000000003</v>
      </c>
      <c r="S715">
        <v>90.07</v>
      </c>
      <c r="T715">
        <v>100</v>
      </c>
      <c r="U715">
        <v>1.33</v>
      </c>
      <c r="V715">
        <v>29.72</v>
      </c>
      <c r="W715">
        <v>219.79</v>
      </c>
      <c r="X715">
        <v>43.6</v>
      </c>
      <c r="Y715">
        <v>101.08</v>
      </c>
      <c r="Z715">
        <v>3.66</v>
      </c>
      <c r="AA715">
        <v>7.41</v>
      </c>
      <c r="AB715">
        <v>208.72</v>
      </c>
      <c r="AC715">
        <v>341.2316076294278</v>
      </c>
      <c r="AD715">
        <v>132.1012658227848</v>
      </c>
      <c r="AE715">
        <v>74.680000000000007</v>
      </c>
      <c r="AF715">
        <v>15</v>
      </c>
      <c r="AG715">
        <v>1</v>
      </c>
      <c r="AH715">
        <v>21.35</v>
      </c>
      <c r="AI715">
        <v>115.35</v>
      </c>
      <c r="AJ715">
        <v>353.54</v>
      </c>
      <c r="AK715">
        <v>77.48</v>
      </c>
      <c r="AL715" t="s">
        <v>23</v>
      </c>
      <c r="AM715" t="s">
        <v>24</v>
      </c>
      <c r="AN715" t="str">
        <f t="shared" si="44"/>
        <v>Morning</v>
      </c>
      <c r="AO715" t="str">
        <f t="shared" si="45"/>
        <v>Peak</v>
      </c>
      <c r="AP715" t="str">
        <f t="shared" si="46"/>
        <v>High</v>
      </c>
      <c r="AQ715" t="str">
        <f t="shared" si="47"/>
        <v>High</v>
      </c>
    </row>
    <row r="716" spans="1:43" x14ac:dyDescent="0.3">
      <c r="A716">
        <v>715</v>
      </c>
      <c r="B716" t="s">
        <v>23</v>
      </c>
      <c r="C716" t="s">
        <v>17</v>
      </c>
      <c r="D716" s="1">
        <v>46117</v>
      </c>
      <c r="E716" t="s">
        <v>26</v>
      </c>
      <c r="F716">
        <v>1</v>
      </c>
      <c r="G716">
        <v>19</v>
      </c>
      <c r="H716" t="s">
        <v>40</v>
      </c>
      <c r="I716" t="s">
        <v>50</v>
      </c>
      <c r="J716">
        <v>1.2</v>
      </c>
      <c r="K716" t="s">
        <v>12</v>
      </c>
      <c r="L716">
        <v>0</v>
      </c>
      <c r="M716">
        <v>5</v>
      </c>
      <c r="N716">
        <v>73</v>
      </c>
      <c r="O716" t="s">
        <v>13</v>
      </c>
      <c r="P716">
        <v>18</v>
      </c>
      <c r="Q716">
        <v>2.92</v>
      </c>
      <c r="R716">
        <v>38.799999999999997</v>
      </c>
      <c r="S716">
        <v>80.67</v>
      </c>
      <c r="T716">
        <v>73.790000000000006</v>
      </c>
      <c r="U716">
        <v>1.27</v>
      </c>
      <c r="V716">
        <v>21.78</v>
      </c>
      <c r="W716">
        <v>176.24</v>
      </c>
      <c r="X716">
        <v>38.1</v>
      </c>
      <c r="Y716">
        <v>109.85</v>
      </c>
      <c r="Z716">
        <v>8.42</v>
      </c>
      <c r="AA716">
        <v>3.8</v>
      </c>
      <c r="AB716">
        <v>164.02</v>
      </c>
      <c r="AC716">
        <v>253.63917525773201</v>
      </c>
      <c r="AD716">
        <v>56.171232876712331</v>
      </c>
      <c r="AE716">
        <v>78.97</v>
      </c>
      <c r="AF716">
        <v>17.47</v>
      </c>
      <c r="AG716">
        <v>1</v>
      </c>
      <c r="AH716">
        <v>-0.86</v>
      </c>
      <c r="AI716">
        <v>72.14</v>
      </c>
      <c r="AJ716">
        <v>259.32</v>
      </c>
      <c r="AK716">
        <v>80.83</v>
      </c>
      <c r="AL716" t="s">
        <v>23</v>
      </c>
      <c r="AM716" t="s">
        <v>24</v>
      </c>
      <c r="AN716" t="str">
        <f t="shared" si="44"/>
        <v>Night</v>
      </c>
      <c r="AO716" t="str">
        <f t="shared" si="45"/>
        <v>Peak</v>
      </c>
      <c r="AP716" t="str">
        <f t="shared" si="46"/>
        <v>High</v>
      </c>
      <c r="AQ716" t="str">
        <f t="shared" si="47"/>
        <v>High</v>
      </c>
    </row>
    <row r="717" spans="1:43" x14ac:dyDescent="0.3">
      <c r="A717">
        <v>716</v>
      </c>
      <c r="B717" t="s">
        <v>16</v>
      </c>
      <c r="C717" t="s">
        <v>17</v>
      </c>
      <c r="D717" s="1">
        <v>46151</v>
      </c>
      <c r="E717" t="s">
        <v>31</v>
      </c>
      <c r="F717">
        <v>1</v>
      </c>
      <c r="G717">
        <v>11</v>
      </c>
      <c r="H717" t="s">
        <v>19</v>
      </c>
      <c r="I717" t="s">
        <v>39</v>
      </c>
      <c r="J717">
        <v>1.05</v>
      </c>
      <c r="K717" t="s">
        <v>21</v>
      </c>
      <c r="L717">
        <v>0</v>
      </c>
      <c r="M717">
        <v>3.56</v>
      </c>
      <c r="N717">
        <v>47</v>
      </c>
      <c r="O717" t="s">
        <v>35</v>
      </c>
      <c r="P717">
        <v>12</v>
      </c>
      <c r="Q717">
        <v>6.2</v>
      </c>
      <c r="R717">
        <v>60.1</v>
      </c>
      <c r="S717">
        <v>132.05000000000001</v>
      </c>
      <c r="T717">
        <v>72.45</v>
      </c>
      <c r="U717">
        <v>1</v>
      </c>
      <c r="V717">
        <v>0</v>
      </c>
      <c r="W717">
        <v>204.5</v>
      </c>
      <c r="X717">
        <v>49.7</v>
      </c>
      <c r="Y717">
        <v>105</v>
      </c>
      <c r="Z717">
        <v>13.1</v>
      </c>
      <c r="AA717">
        <v>9.24</v>
      </c>
      <c r="AB717">
        <v>182.16</v>
      </c>
      <c r="AC717">
        <v>181.85690515806988</v>
      </c>
      <c r="AD717">
        <v>29.380645161290321</v>
      </c>
      <c r="AE717">
        <v>74.650000000000006</v>
      </c>
      <c r="AF717">
        <v>14.29</v>
      </c>
      <c r="AG717">
        <v>1</v>
      </c>
      <c r="AH717">
        <v>5</v>
      </c>
      <c r="AI717">
        <v>52</v>
      </c>
      <c r="AJ717">
        <v>182.71</v>
      </c>
      <c r="AK717">
        <v>73.03</v>
      </c>
      <c r="AL717" t="s">
        <v>23</v>
      </c>
      <c r="AM717" t="s">
        <v>24</v>
      </c>
      <c r="AN717" t="str">
        <f t="shared" si="44"/>
        <v>Afternoon</v>
      </c>
      <c r="AO717" t="str">
        <f t="shared" si="45"/>
        <v>Off-Peak</v>
      </c>
      <c r="AP717" t="str">
        <f t="shared" si="46"/>
        <v>Medium</v>
      </c>
      <c r="AQ717" t="str">
        <f t="shared" si="47"/>
        <v>Medium</v>
      </c>
    </row>
    <row r="718" spans="1:43" x14ac:dyDescent="0.3">
      <c r="A718">
        <v>717</v>
      </c>
      <c r="B718" t="s">
        <v>29</v>
      </c>
      <c r="C718" t="s">
        <v>30</v>
      </c>
      <c r="D718" s="1">
        <v>46185</v>
      </c>
      <c r="E718" t="s">
        <v>9</v>
      </c>
      <c r="F718">
        <v>0</v>
      </c>
      <c r="G718">
        <v>22</v>
      </c>
      <c r="H718" t="s">
        <v>36</v>
      </c>
      <c r="I718" t="s">
        <v>42</v>
      </c>
      <c r="J718">
        <v>1.08</v>
      </c>
      <c r="K718" t="s">
        <v>12</v>
      </c>
      <c r="L718">
        <v>0</v>
      </c>
      <c r="M718">
        <v>2.23</v>
      </c>
      <c r="N718">
        <v>11</v>
      </c>
      <c r="O718" t="s">
        <v>22</v>
      </c>
      <c r="P718">
        <v>2</v>
      </c>
      <c r="Q718">
        <v>2.82</v>
      </c>
      <c r="R718">
        <v>25.9</v>
      </c>
      <c r="S718">
        <v>77.94</v>
      </c>
      <c r="T718">
        <v>15.8</v>
      </c>
      <c r="U718">
        <v>1</v>
      </c>
      <c r="V718">
        <v>0</v>
      </c>
      <c r="W718">
        <v>93.74</v>
      </c>
      <c r="X718">
        <v>43.2</v>
      </c>
      <c r="Y718">
        <v>103.42</v>
      </c>
      <c r="Z718">
        <v>6.74</v>
      </c>
      <c r="AA718">
        <v>3.67</v>
      </c>
      <c r="AB718">
        <v>83.33</v>
      </c>
      <c r="AC718">
        <v>193.04247104247105</v>
      </c>
      <c r="AD718">
        <v>29.549645390070921</v>
      </c>
      <c r="AE718">
        <v>79.12</v>
      </c>
      <c r="AF718">
        <v>16.850000000000001</v>
      </c>
      <c r="AG718">
        <v>0</v>
      </c>
      <c r="AH718">
        <v>-0.3</v>
      </c>
      <c r="AI718">
        <v>10.7</v>
      </c>
      <c r="AJ718">
        <v>192.27</v>
      </c>
      <c r="AK718">
        <v>61.18</v>
      </c>
      <c r="AL718" t="s">
        <v>14</v>
      </c>
      <c r="AM718" t="s">
        <v>15</v>
      </c>
      <c r="AN718" t="str">
        <f t="shared" si="44"/>
        <v>Night</v>
      </c>
      <c r="AO718" t="str">
        <f t="shared" si="45"/>
        <v>Off-Peak</v>
      </c>
      <c r="AP718" t="str">
        <f t="shared" si="46"/>
        <v>Medium</v>
      </c>
      <c r="AQ718" t="str">
        <f t="shared" si="47"/>
        <v>Low</v>
      </c>
    </row>
    <row r="719" spans="1:43" x14ac:dyDescent="0.3">
      <c r="A719">
        <v>718</v>
      </c>
      <c r="B719" t="s">
        <v>29</v>
      </c>
      <c r="C719" t="s">
        <v>30</v>
      </c>
      <c r="D719" s="1">
        <v>46188</v>
      </c>
      <c r="E719" t="s">
        <v>38</v>
      </c>
      <c r="F719">
        <v>0</v>
      </c>
      <c r="G719">
        <v>13</v>
      </c>
      <c r="H719" t="s">
        <v>43</v>
      </c>
      <c r="I719" t="s">
        <v>20</v>
      </c>
      <c r="J719">
        <v>1.25</v>
      </c>
      <c r="K719" t="s">
        <v>21</v>
      </c>
      <c r="L719">
        <v>0</v>
      </c>
      <c r="M719">
        <v>4.13</v>
      </c>
      <c r="N719">
        <v>40</v>
      </c>
      <c r="O719" t="s">
        <v>35</v>
      </c>
      <c r="P719">
        <v>13</v>
      </c>
      <c r="Q719">
        <v>8.73</v>
      </c>
      <c r="R719">
        <v>63.2</v>
      </c>
      <c r="S719">
        <v>115.71</v>
      </c>
      <c r="T719">
        <v>46.52</v>
      </c>
      <c r="U719">
        <v>1</v>
      </c>
      <c r="V719">
        <v>0</v>
      </c>
      <c r="W719">
        <v>162.22999999999999</v>
      </c>
      <c r="X719">
        <v>37.5</v>
      </c>
      <c r="Y719">
        <v>108.94</v>
      </c>
      <c r="Z719">
        <v>25.39</v>
      </c>
      <c r="AA719">
        <v>10.85</v>
      </c>
      <c r="AB719">
        <v>125.99</v>
      </c>
      <c r="AC719">
        <v>119.61075949367087</v>
      </c>
      <c r="AD719">
        <v>14.431844215349368</v>
      </c>
      <c r="AE719">
        <v>72.319999999999993</v>
      </c>
      <c r="AF719">
        <v>17.649999999999999</v>
      </c>
      <c r="AG719">
        <v>0</v>
      </c>
      <c r="AH719">
        <v>-2.76</v>
      </c>
      <c r="AI719">
        <v>37.24</v>
      </c>
      <c r="AJ719">
        <v>125.31</v>
      </c>
      <c r="AK719">
        <v>74.95</v>
      </c>
      <c r="AL719" t="s">
        <v>14</v>
      </c>
      <c r="AM719" t="s">
        <v>15</v>
      </c>
      <c r="AN719" t="str">
        <f t="shared" si="44"/>
        <v>Afternoon</v>
      </c>
      <c r="AO719" t="str">
        <f t="shared" si="45"/>
        <v>Off-Peak</v>
      </c>
      <c r="AP719" t="str">
        <f t="shared" si="46"/>
        <v>Low</v>
      </c>
      <c r="AQ719" t="str">
        <f t="shared" si="47"/>
        <v>Medium</v>
      </c>
    </row>
    <row r="720" spans="1:43" x14ac:dyDescent="0.3">
      <c r="A720">
        <v>719</v>
      </c>
      <c r="B720" t="s">
        <v>14</v>
      </c>
      <c r="C720" t="s">
        <v>8</v>
      </c>
      <c r="D720" s="1">
        <v>46029</v>
      </c>
      <c r="E720" t="s">
        <v>18</v>
      </c>
      <c r="F720">
        <v>0</v>
      </c>
      <c r="G720">
        <v>20</v>
      </c>
      <c r="H720" t="s">
        <v>51</v>
      </c>
      <c r="I720" t="s">
        <v>20</v>
      </c>
      <c r="J720">
        <v>1.25</v>
      </c>
      <c r="K720" t="s">
        <v>12</v>
      </c>
      <c r="L720">
        <v>0</v>
      </c>
      <c r="M720">
        <v>5</v>
      </c>
      <c r="N720">
        <v>61</v>
      </c>
      <c r="O720" t="s">
        <v>35</v>
      </c>
      <c r="P720">
        <v>27</v>
      </c>
      <c r="Q720">
        <v>4.12</v>
      </c>
      <c r="R720">
        <v>49.7</v>
      </c>
      <c r="S720">
        <v>87.86</v>
      </c>
      <c r="T720">
        <v>85.25</v>
      </c>
      <c r="U720">
        <v>1</v>
      </c>
      <c r="V720">
        <v>0</v>
      </c>
      <c r="W720">
        <v>173.11</v>
      </c>
      <c r="X720">
        <v>42.8</v>
      </c>
      <c r="Y720">
        <v>109.27</v>
      </c>
      <c r="Z720">
        <v>10.54</v>
      </c>
      <c r="AA720">
        <v>6.54</v>
      </c>
      <c r="AB720">
        <v>156.03</v>
      </c>
      <c r="AC720">
        <v>188.36619718309859</v>
      </c>
      <c r="AD720">
        <v>37.871359223300971</v>
      </c>
      <c r="AE720">
        <v>78.7</v>
      </c>
      <c r="AF720">
        <v>19.649999999999999</v>
      </c>
      <c r="AG720">
        <v>1</v>
      </c>
      <c r="AH720">
        <v>6.48</v>
      </c>
      <c r="AI720">
        <v>67.48</v>
      </c>
      <c r="AJ720">
        <v>222.29</v>
      </c>
      <c r="AK720">
        <v>70.91</v>
      </c>
      <c r="AL720" t="s">
        <v>14</v>
      </c>
      <c r="AM720" t="s">
        <v>15</v>
      </c>
      <c r="AN720" t="str">
        <f t="shared" si="44"/>
        <v>Night</v>
      </c>
      <c r="AO720" t="str">
        <f t="shared" si="45"/>
        <v>Peak</v>
      </c>
      <c r="AP720" t="str">
        <f t="shared" si="46"/>
        <v>Medium</v>
      </c>
      <c r="AQ720" t="str">
        <f t="shared" si="47"/>
        <v>Medium</v>
      </c>
    </row>
    <row r="721" spans="1:43" x14ac:dyDescent="0.3">
      <c r="A721">
        <v>720</v>
      </c>
      <c r="B721" t="s">
        <v>25</v>
      </c>
      <c r="C721" t="s">
        <v>17</v>
      </c>
      <c r="D721" s="1">
        <v>46246</v>
      </c>
      <c r="E721" t="s">
        <v>18</v>
      </c>
      <c r="F721">
        <v>0</v>
      </c>
      <c r="G721">
        <v>7</v>
      </c>
      <c r="H721" t="s">
        <v>27</v>
      </c>
      <c r="I721" t="s">
        <v>39</v>
      </c>
      <c r="J721">
        <v>1.05</v>
      </c>
      <c r="K721" t="s">
        <v>12</v>
      </c>
      <c r="L721">
        <v>0</v>
      </c>
      <c r="M721">
        <v>4.58</v>
      </c>
      <c r="N721">
        <v>60</v>
      </c>
      <c r="O721" t="s">
        <v>35</v>
      </c>
      <c r="P721">
        <v>9</v>
      </c>
      <c r="Q721">
        <v>5.4</v>
      </c>
      <c r="R721">
        <v>55.1</v>
      </c>
      <c r="S721">
        <v>120.84</v>
      </c>
      <c r="T721">
        <v>79.58</v>
      </c>
      <c r="U721">
        <v>1.34</v>
      </c>
      <c r="V721">
        <v>41.09</v>
      </c>
      <c r="W721">
        <v>241.51</v>
      </c>
      <c r="X721">
        <v>49.4</v>
      </c>
      <c r="Y721">
        <v>104.97</v>
      </c>
      <c r="Z721">
        <v>11.48</v>
      </c>
      <c r="AA721">
        <v>8.35</v>
      </c>
      <c r="AB721">
        <v>221.68</v>
      </c>
      <c r="AC721">
        <v>241.39382940108894</v>
      </c>
      <c r="AD721">
        <v>41.05185185185185</v>
      </c>
      <c r="AE721">
        <v>71.83</v>
      </c>
      <c r="AF721">
        <v>15.49</v>
      </c>
      <c r="AG721">
        <v>1</v>
      </c>
      <c r="AH721">
        <v>-8.76</v>
      </c>
      <c r="AI721">
        <v>51.24</v>
      </c>
      <c r="AJ721">
        <v>231.34</v>
      </c>
      <c r="AK721">
        <v>73.150000000000006</v>
      </c>
      <c r="AL721" t="s">
        <v>23</v>
      </c>
      <c r="AM721" t="s">
        <v>24</v>
      </c>
      <c r="AN721" t="str">
        <f t="shared" si="44"/>
        <v>Morning</v>
      </c>
      <c r="AO721" t="str">
        <f t="shared" si="45"/>
        <v>Peak</v>
      </c>
      <c r="AP721" t="str">
        <f t="shared" si="46"/>
        <v>Medium</v>
      </c>
      <c r="AQ721" t="str">
        <f t="shared" si="47"/>
        <v>Medium</v>
      </c>
    </row>
    <row r="722" spans="1:43" x14ac:dyDescent="0.3">
      <c r="A722">
        <v>721</v>
      </c>
      <c r="B722" t="s">
        <v>7</v>
      </c>
      <c r="C722" t="s">
        <v>8</v>
      </c>
      <c r="D722" s="1">
        <v>46183</v>
      </c>
      <c r="E722" t="s">
        <v>18</v>
      </c>
      <c r="F722">
        <v>0</v>
      </c>
      <c r="G722">
        <v>17</v>
      </c>
      <c r="H722" t="s">
        <v>32</v>
      </c>
      <c r="I722" t="s">
        <v>50</v>
      </c>
      <c r="J722">
        <v>1.2</v>
      </c>
      <c r="K722" t="s">
        <v>12</v>
      </c>
      <c r="L722">
        <v>0</v>
      </c>
      <c r="M722">
        <v>3.16</v>
      </c>
      <c r="N722">
        <v>19</v>
      </c>
      <c r="O722" t="s">
        <v>22</v>
      </c>
      <c r="P722">
        <v>8</v>
      </c>
      <c r="Q722">
        <v>6.11</v>
      </c>
      <c r="R722">
        <v>54.5</v>
      </c>
      <c r="S722">
        <v>101.71</v>
      </c>
      <c r="T722">
        <v>14.8</v>
      </c>
      <c r="U722">
        <v>1</v>
      </c>
      <c r="V722">
        <v>0</v>
      </c>
      <c r="W722">
        <v>116.51</v>
      </c>
      <c r="X722">
        <v>41.4</v>
      </c>
      <c r="Y722">
        <v>103.07</v>
      </c>
      <c r="Z722">
        <v>15.21</v>
      </c>
      <c r="AA722">
        <v>11.22</v>
      </c>
      <c r="AB722">
        <v>90.08</v>
      </c>
      <c r="AC722">
        <v>99.170642201834866</v>
      </c>
      <c r="AD722">
        <v>14.7430441898527</v>
      </c>
      <c r="AE722">
        <v>66.02</v>
      </c>
      <c r="AF722">
        <v>14.42</v>
      </c>
      <c r="AG722">
        <v>0</v>
      </c>
      <c r="AH722">
        <v>-0.53</v>
      </c>
      <c r="AI722">
        <v>18.47</v>
      </c>
      <c r="AJ722">
        <v>116.28</v>
      </c>
      <c r="AK722">
        <v>72.12</v>
      </c>
      <c r="AL722" t="s">
        <v>14</v>
      </c>
      <c r="AM722" t="s">
        <v>15</v>
      </c>
      <c r="AN722" t="str">
        <f t="shared" si="44"/>
        <v>Evening</v>
      </c>
      <c r="AO722" t="str">
        <f t="shared" si="45"/>
        <v>Peak</v>
      </c>
      <c r="AP722" t="str">
        <f t="shared" si="46"/>
        <v>Low</v>
      </c>
      <c r="AQ722" t="str">
        <f t="shared" si="47"/>
        <v>Low</v>
      </c>
    </row>
    <row r="723" spans="1:43" x14ac:dyDescent="0.3">
      <c r="A723">
        <v>722</v>
      </c>
      <c r="B723" t="s">
        <v>23</v>
      </c>
      <c r="C723" t="s">
        <v>17</v>
      </c>
      <c r="D723" s="1">
        <v>46280</v>
      </c>
      <c r="E723" t="s">
        <v>44</v>
      </c>
      <c r="F723">
        <v>0</v>
      </c>
      <c r="G723">
        <v>14</v>
      </c>
      <c r="H723" t="s">
        <v>19</v>
      </c>
      <c r="I723" t="s">
        <v>39</v>
      </c>
      <c r="J723">
        <v>1.05</v>
      </c>
      <c r="K723" t="s">
        <v>12</v>
      </c>
      <c r="L723">
        <v>0</v>
      </c>
      <c r="M723">
        <v>3.18</v>
      </c>
      <c r="N723">
        <v>22</v>
      </c>
      <c r="O723" t="s">
        <v>22</v>
      </c>
      <c r="P723">
        <v>3</v>
      </c>
      <c r="Q723">
        <v>5.94</v>
      </c>
      <c r="R723">
        <v>49.6</v>
      </c>
      <c r="S723">
        <v>110.49</v>
      </c>
      <c r="T723">
        <v>30.8</v>
      </c>
      <c r="U723">
        <v>1.1200000000000001</v>
      </c>
      <c r="V723">
        <v>13.26</v>
      </c>
      <c r="W723">
        <v>154.55000000000001</v>
      </c>
      <c r="X723">
        <v>41.4</v>
      </c>
      <c r="Y723">
        <v>104.83</v>
      </c>
      <c r="Z723">
        <v>15.05</v>
      </c>
      <c r="AA723">
        <v>9.3800000000000008</v>
      </c>
      <c r="AB723">
        <v>130.12</v>
      </c>
      <c r="AC723">
        <v>157.40322580645162</v>
      </c>
      <c r="AD723">
        <v>21.905723905723907</v>
      </c>
      <c r="AE723">
        <v>75.13</v>
      </c>
      <c r="AF723">
        <v>18.27</v>
      </c>
      <c r="AG723">
        <v>0</v>
      </c>
      <c r="AH723">
        <v>-10.57</v>
      </c>
      <c r="AI723">
        <v>11.43</v>
      </c>
      <c r="AJ723">
        <v>151.86000000000001</v>
      </c>
      <c r="AK723">
        <v>72.400000000000006</v>
      </c>
      <c r="AL723" t="s">
        <v>14</v>
      </c>
      <c r="AM723" t="s">
        <v>15</v>
      </c>
      <c r="AN723" t="str">
        <f t="shared" si="44"/>
        <v>Afternoon</v>
      </c>
      <c r="AO723" t="str">
        <f t="shared" si="45"/>
        <v>Off-Peak</v>
      </c>
      <c r="AP723" t="str">
        <f t="shared" si="46"/>
        <v>Medium</v>
      </c>
      <c r="AQ723" t="str">
        <f t="shared" si="47"/>
        <v>Low</v>
      </c>
    </row>
    <row r="724" spans="1:43" x14ac:dyDescent="0.3">
      <c r="A724">
        <v>723</v>
      </c>
      <c r="B724" t="s">
        <v>16</v>
      </c>
      <c r="C724" t="s">
        <v>17</v>
      </c>
      <c r="D724" s="1">
        <v>46144</v>
      </c>
      <c r="E724" t="s">
        <v>31</v>
      </c>
      <c r="F724">
        <v>1</v>
      </c>
      <c r="G724">
        <v>14</v>
      </c>
      <c r="H724" t="s">
        <v>19</v>
      </c>
      <c r="I724" t="s">
        <v>11</v>
      </c>
      <c r="J724">
        <v>1.18</v>
      </c>
      <c r="K724" t="s">
        <v>12</v>
      </c>
      <c r="L724">
        <v>0</v>
      </c>
      <c r="M724">
        <v>2.94</v>
      </c>
      <c r="N724">
        <v>50</v>
      </c>
      <c r="O724" t="s">
        <v>35</v>
      </c>
      <c r="P724">
        <v>6</v>
      </c>
      <c r="Q724">
        <v>1.85</v>
      </c>
      <c r="R724">
        <v>33.299999999999997</v>
      </c>
      <c r="S724">
        <v>84.66</v>
      </c>
      <c r="T724">
        <v>76.67</v>
      </c>
      <c r="U724">
        <v>1.07</v>
      </c>
      <c r="V724">
        <v>5.93</v>
      </c>
      <c r="W724">
        <v>167.26</v>
      </c>
      <c r="X724">
        <v>41.9</v>
      </c>
      <c r="Y724">
        <v>102.19</v>
      </c>
      <c r="Z724">
        <v>4.5</v>
      </c>
      <c r="AA724">
        <v>7.41</v>
      </c>
      <c r="AB724">
        <v>155.35</v>
      </c>
      <c r="AC724">
        <v>279.90990990990991</v>
      </c>
      <c r="AD724">
        <v>83.972972972972968</v>
      </c>
      <c r="AE724">
        <v>68.83</v>
      </c>
      <c r="AF724">
        <v>14.92</v>
      </c>
      <c r="AG724">
        <v>1</v>
      </c>
      <c r="AH724">
        <v>11.84</v>
      </c>
      <c r="AI724">
        <v>61.84</v>
      </c>
      <c r="AJ724">
        <v>298.85000000000002</v>
      </c>
      <c r="AK724">
        <v>78.13</v>
      </c>
      <c r="AL724" t="s">
        <v>14</v>
      </c>
      <c r="AM724" t="s">
        <v>15</v>
      </c>
      <c r="AN724" t="str">
        <f t="shared" si="44"/>
        <v>Afternoon</v>
      </c>
      <c r="AO724" t="str">
        <f t="shared" si="45"/>
        <v>Off-Peak</v>
      </c>
      <c r="AP724" t="str">
        <f t="shared" si="46"/>
        <v>High</v>
      </c>
      <c r="AQ724" t="str">
        <f t="shared" si="47"/>
        <v>Medium</v>
      </c>
    </row>
    <row r="725" spans="1:43" x14ac:dyDescent="0.3">
      <c r="A725">
        <v>724</v>
      </c>
      <c r="B725" t="s">
        <v>7</v>
      </c>
      <c r="C725" t="s">
        <v>8</v>
      </c>
      <c r="D725" s="1">
        <v>46181</v>
      </c>
      <c r="E725" t="s">
        <v>38</v>
      </c>
      <c r="F725">
        <v>0</v>
      </c>
      <c r="G725">
        <v>11</v>
      </c>
      <c r="H725" t="s">
        <v>10</v>
      </c>
      <c r="I725" t="s">
        <v>20</v>
      </c>
      <c r="J725">
        <v>1.25</v>
      </c>
      <c r="K725" t="s">
        <v>12</v>
      </c>
      <c r="L725">
        <v>0</v>
      </c>
      <c r="M725">
        <v>3.51</v>
      </c>
      <c r="N725">
        <v>33</v>
      </c>
      <c r="O725" t="s">
        <v>22</v>
      </c>
      <c r="P725">
        <v>18</v>
      </c>
      <c r="Q725">
        <v>2.13</v>
      </c>
      <c r="R725">
        <v>28.3</v>
      </c>
      <c r="S725">
        <v>62.13</v>
      </c>
      <c r="T725">
        <v>25.83</v>
      </c>
      <c r="U725">
        <v>1</v>
      </c>
      <c r="V725">
        <v>0</v>
      </c>
      <c r="W725">
        <v>87.96</v>
      </c>
      <c r="X725">
        <v>39.200000000000003</v>
      </c>
      <c r="Y725">
        <v>104.78</v>
      </c>
      <c r="Z725">
        <v>5.69</v>
      </c>
      <c r="AA725">
        <v>6.03</v>
      </c>
      <c r="AB725">
        <v>76.239999999999995</v>
      </c>
      <c r="AC725">
        <v>161.63957597173143</v>
      </c>
      <c r="AD725">
        <v>35.793427230046944</v>
      </c>
      <c r="AE725">
        <v>81.040000000000006</v>
      </c>
      <c r="AF725">
        <v>15.71</v>
      </c>
      <c r="AG725">
        <v>0</v>
      </c>
      <c r="AH725">
        <v>6.59</v>
      </c>
      <c r="AI725">
        <v>39.590000000000003</v>
      </c>
      <c r="AJ725">
        <v>156.66</v>
      </c>
      <c r="AK725">
        <v>66.63</v>
      </c>
      <c r="AL725" t="s">
        <v>14</v>
      </c>
      <c r="AM725" t="s">
        <v>15</v>
      </c>
      <c r="AN725" t="str">
        <f t="shared" si="44"/>
        <v>Afternoon</v>
      </c>
      <c r="AO725" t="str">
        <f t="shared" si="45"/>
        <v>Off-Peak</v>
      </c>
      <c r="AP725" t="str">
        <f t="shared" si="46"/>
        <v>Medium</v>
      </c>
      <c r="AQ725" t="str">
        <f t="shared" si="47"/>
        <v>Low</v>
      </c>
    </row>
    <row r="726" spans="1:43" x14ac:dyDescent="0.3">
      <c r="A726">
        <v>725</v>
      </c>
      <c r="B726" t="s">
        <v>16</v>
      </c>
      <c r="C726" t="s">
        <v>17</v>
      </c>
      <c r="D726" s="1">
        <v>46136</v>
      </c>
      <c r="E726" t="s">
        <v>9</v>
      </c>
      <c r="F726">
        <v>0</v>
      </c>
      <c r="G726">
        <v>22</v>
      </c>
      <c r="H726" t="s">
        <v>19</v>
      </c>
      <c r="I726" t="s">
        <v>50</v>
      </c>
      <c r="J726">
        <v>1.2</v>
      </c>
      <c r="K726" t="s">
        <v>12</v>
      </c>
      <c r="L726">
        <v>0</v>
      </c>
      <c r="M726">
        <v>3.02</v>
      </c>
      <c r="N726">
        <v>26</v>
      </c>
      <c r="O726" t="s">
        <v>22</v>
      </c>
      <c r="P726">
        <v>5</v>
      </c>
      <c r="Q726">
        <v>1</v>
      </c>
      <c r="R726">
        <v>29.2</v>
      </c>
      <c r="S726">
        <v>81.05</v>
      </c>
      <c r="T726">
        <v>49.58</v>
      </c>
      <c r="U726">
        <v>1.01</v>
      </c>
      <c r="V726">
        <v>0.81</v>
      </c>
      <c r="W726">
        <v>131.44</v>
      </c>
      <c r="X726">
        <v>37.4</v>
      </c>
      <c r="Y726">
        <v>102.29</v>
      </c>
      <c r="Z726">
        <v>2.73</v>
      </c>
      <c r="AA726">
        <v>6.62</v>
      </c>
      <c r="AB726">
        <v>122.09</v>
      </c>
      <c r="AC726">
        <v>250.86986301369865</v>
      </c>
      <c r="AD726">
        <v>122.09</v>
      </c>
      <c r="AE726">
        <v>78.819999999999993</v>
      </c>
      <c r="AF726">
        <v>17.02</v>
      </c>
      <c r="AG726">
        <v>0</v>
      </c>
      <c r="AH726">
        <v>-3.47</v>
      </c>
      <c r="AI726">
        <v>22.53</v>
      </c>
      <c r="AJ726">
        <v>257.14999999999998</v>
      </c>
      <c r="AK726">
        <v>65.25</v>
      </c>
      <c r="AL726" t="s">
        <v>23</v>
      </c>
      <c r="AM726" t="s">
        <v>24</v>
      </c>
      <c r="AN726" t="str">
        <f t="shared" si="44"/>
        <v>Night</v>
      </c>
      <c r="AO726" t="str">
        <f t="shared" si="45"/>
        <v>Off-Peak</v>
      </c>
      <c r="AP726" t="str">
        <f t="shared" si="46"/>
        <v>High</v>
      </c>
      <c r="AQ726" t="str">
        <f t="shared" si="47"/>
        <v>Low</v>
      </c>
    </row>
    <row r="727" spans="1:43" x14ac:dyDescent="0.3">
      <c r="A727">
        <v>726</v>
      </c>
      <c r="B727" t="s">
        <v>7</v>
      </c>
      <c r="C727" t="s">
        <v>8</v>
      </c>
      <c r="D727" s="1">
        <v>46252</v>
      </c>
      <c r="E727" t="s">
        <v>44</v>
      </c>
      <c r="F727">
        <v>0</v>
      </c>
      <c r="G727">
        <v>13</v>
      </c>
      <c r="H727" t="s">
        <v>10</v>
      </c>
      <c r="I727" t="s">
        <v>46</v>
      </c>
      <c r="J727">
        <v>1.1499999999999999</v>
      </c>
      <c r="K727" t="s">
        <v>12</v>
      </c>
      <c r="L727">
        <v>0</v>
      </c>
      <c r="M727">
        <v>3.42</v>
      </c>
      <c r="N727">
        <v>54</v>
      </c>
      <c r="O727" t="s">
        <v>35</v>
      </c>
      <c r="P727">
        <v>18</v>
      </c>
      <c r="Q727">
        <v>3.18</v>
      </c>
      <c r="R727">
        <v>40.5</v>
      </c>
      <c r="S727">
        <v>73.16</v>
      </c>
      <c r="T727">
        <v>69.459999999999994</v>
      </c>
      <c r="U727">
        <v>1</v>
      </c>
      <c r="V727">
        <v>0</v>
      </c>
      <c r="W727">
        <v>142.62</v>
      </c>
      <c r="X727">
        <v>43.7</v>
      </c>
      <c r="Y727">
        <v>106.22</v>
      </c>
      <c r="Z727">
        <v>7.74</v>
      </c>
      <c r="AA727">
        <v>5.42</v>
      </c>
      <c r="AB727">
        <v>129.46</v>
      </c>
      <c r="AC727">
        <v>191.7925925925926</v>
      </c>
      <c r="AD727">
        <v>40.710691823899374</v>
      </c>
      <c r="AE727">
        <v>70.2</v>
      </c>
      <c r="AF727">
        <v>16.559999999999999</v>
      </c>
      <c r="AG727">
        <v>1</v>
      </c>
      <c r="AH727">
        <v>3.56</v>
      </c>
      <c r="AI727">
        <v>57.56</v>
      </c>
      <c r="AJ727">
        <v>197.25</v>
      </c>
      <c r="AK727">
        <v>75.98</v>
      </c>
      <c r="AL727" t="s">
        <v>14</v>
      </c>
      <c r="AM727" t="s">
        <v>15</v>
      </c>
      <c r="AN727" t="str">
        <f t="shared" si="44"/>
        <v>Afternoon</v>
      </c>
      <c r="AO727" t="str">
        <f t="shared" si="45"/>
        <v>Off-Peak</v>
      </c>
      <c r="AP727" t="str">
        <f t="shared" si="46"/>
        <v>Medium</v>
      </c>
      <c r="AQ727" t="str">
        <f t="shared" si="47"/>
        <v>Medium</v>
      </c>
    </row>
    <row r="728" spans="1:43" x14ac:dyDescent="0.3">
      <c r="A728">
        <v>727</v>
      </c>
      <c r="B728" t="s">
        <v>16</v>
      </c>
      <c r="C728" t="s">
        <v>17</v>
      </c>
      <c r="D728" s="1">
        <v>46237</v>
      </c>
      <c r="E728" t="s">
        <v>38</v>
      </c>
      <c r="F728">
        <v>0</v>
      </c>
      <c r="G728">
        <v>20</v>
      </c>
      <c r="H728" t="s">
        <v>40</v>
      </c>
      <c r="I728" t="s">
        <v>50</v>
      </c>
      <c r="J728">
        <v>1.2</v>
      </c>
      <c r="K728" t="s">
        <v>12</v>
      </c>
      <c r="L728">
        <v>0</v>
      </c>
      <c r="M728">
        <v>3.26</v>
      </c>
      <c r="N728">
        <v>80</v>
      </c>
      <c r="O728" t="s">
        <v>13</v>
      </c>
      <c r="P728">
        <v>15</v>
      </c>
      <c r="Q728">
        <v>2</v>
      </c>
      <c r="R728">
        <v>37.6</v>
      </c>
      <c r="S728">
        <v>92.73</v>
      </c>
      <c r="T728">
        <v>84.67</v>
      </c>
      <c r="U728">
        <v>1.35</v>
      </c>
      <c r="V728">
        <v>32.46</v>
      </c>
      <c r="W728">
        <v>209.86</v>
      </c>
      <c r="X728">
        <v>48.4</v>
      </c>
      <c r="Y728">
        <v>107.6</v>
      </c>
      <c r="Z728">
        <v>4.4400000000000004</v>
      </c>
      <c r="AA728">
        <v>11.46</v>
      </c>
      <c r="AB728">
        <v>193.96</v>
      </c>
      <c r="AC728">
        <v>309.51063829787233</v>
      </c>
      <c r="AD728">
        <v>96.98</v>
      </c>
      <c r="AE728">
        <v>80.11</v>
      </c>
      <c r="AF728">
        <v>11.58</v>
      </c>
      <c r="AG728">
        <v>1</v>
      </c>
      <c r="AH728">
        <v>-0.31</v>
      </c>
      <c r="AI728">
        <v>79.69</v>
      </c>
      <c r="AJ728">
        <v>291.54000000000002</v>
      </c>
      <c r="AK728">
        <v>80.849999999999994</v>
      </c>
      <c r="AL728" t="s">
        <v>23</v>
      </c>
      <c r="AM728" t="s">
        <v>24</v>
      </c>
      <c r="AN728" t="str">
        <f t="shared" si="44"/>
        <v>Night</v>
      </c>
      <c r="AO728" t="str">
        <f t="shared" si="45"/>
        <v>Peak</v>
      </c>
      <c r="AP728" t="str">
        <f t="shared" si="46"/>
        <v>High</v>
      </c>
      <c r="AQ728" t="str">
        <f t="shared" si="47"/>
        <v>High</v>
      </c>
    </row>
    <row r="729" spans="1:43" x14ac:dyDescent="0.3">
      <c r="A729">
        <v>728</v>
      </c>
      <c r="B729" t="s">
        <v>7</v>
      </c>
      <c r="C729" t="s">
        <v>8</v>
      </c>
      <c r="D729" s="1">
        <v>46257</v>
      </c>
      <c r="E729" t="s">
        <v>26</v>
      </c>
      <c r="F729">
        <v>1</v>
      </c>
      <c r="G729">
        <v>13</v>
      </c>
      <c r="H729" t="s">
        <v>10</v>
      </c>
      <c r="I729" t="s">
        <v>46</v>
      </c>
      <c r="J729">
        <v>1.1499999999999999</v>
      </c>
      <c r="K729" t="s">
        <v>12</v>
      </c>
      <c r="L729">
        <v>0</v>
      </c>
      <c r="M729">
        <v>3.5</v>
      </c>
      <c r="N729">
        <v>90</v>
      </c>
      <c r="O729" t="s">
        <v>13</v>
      </c>
      <c r="P729">
        <v>48</v>
      </c>
      <c r="Q729">
        <v>2.75</v>
      </c>
      <c r="R729">
        <v>26</v>
      </c>
      <c r="S729">
        <v>73.56</v>
      </c>
      <c r="T729">
        <v>97.07</v>
      </c>
      <c r="U729">
        <v>1</v>
      </c>
      <c r="V729">
        <v>0</v>
      </c>
      <c r="W729">
        <v>170.63</v>
      </c>
      <c r="X729">
        <v>46</v>
      </c>
      <c r="Y729">
        <v>109.69</v>
      </c>
      <c r="Z729">
        <v>6.56</v>
      </c>
      <c r="AA729">
        <v>4.53</v>
      </c>
      <c r="AB729">
        <v>159.54</v>
      </c>
      <c r="AC729">
        <v>368.16923076923075</v>
      </c>
      <c r="AD729">
        <v>58.014545454545448</v>
      </c>
      <c r="AE729">
        <v>73.040000000000006</v>
      </c>
      <c r="AF729">
        <v>16.87</v>
      </c>
      <c r="AG729">
        <v>1</v>
      </c>
      <c r="AH729">
        <v>20.16</v>
      </c>
      <c r="AI729">
        <v>110.16</v>
      </c>
      <c r="AJ729">
        <v>400</v>
      </c>
      <c r="AK729">
        <v>68.63</v>
      </c>
      <c r="AL729" t="s">
        <v>14</v>
      </c>
      <c r="AM729" t="s">
        <v>15</v>
      </c>
      <c r="AN729" t="str">
        <f t="shared" si="44"/>
        <v>Afternoon</v>
      </c>
      <c r="AO729" t="str">
        <f t="shared" si="45"/>
        <v>Off-Peak</v>
      </c>
      <c r="AP729" t="str">
        <f t="shared" si="46"/>
        <v>High</v>
      </c>
      <c r="AQ729" t="str">
        <f t="shared" si="47"/>
        <v>High</v>
      </c>
    </row>
    <row r="730" spans="1:43" x14ac:dyDescent="0.3">
      <c r="A730">
        <v>729</v>
      </c>
      <c r="B730" t="s">
        <v>29</v>
      </c>
      <c r="C730" t="s">
        <v>30</v>
      </c>
      <c r="D730" s="1">
        <v>46153</v>
      </c>
      <c r="E730" t="s">
        <v>38</v>
      </c>
      <c r="F730">
        <v>0</v>
      </c>
      <c r="G730">
        <v>7</v>
      </c>
      <c r="H730" t="s">
        <v>47</v>
      </c>
      <c r="I730" t="s">
        <v>46</v>
      </c>
      <c r="J730">
        <v>1.1499999999999999</v>
      </c>
      <c r="K730" t="s">
        <v>21</v>
      </c>
      <c r="L730">
        <v>0</v>
      </c>
      <c r="M730">
        <v>3.18</v>
      </c>
      <c r="N730">
        <v>39</v>
      </c>
      <c r="O730" t="s">
        <v>35</v>
      </c>
      <c r="P730">
        <v>10</v>
      </c>
      <c r="Q730">
        <v>3.43</v>
      </c>
      <c r="R730">
        <v>31.6</v>
      </c>
      <c r="S730">
        <v>78.569999999999993</v>
      </c>
      <c r="T730">
        <v>37.869999999999997</v>
      </c>
      <c r="U730">
        <v>1</v>
      </c>
      <c r="V730">
        <v>0</v>
      </c>
      <c r="W730">
        <v>116.44</v>
      </c>
      <c r="X730">
        <v>36.4</v>
      </c>
      <c r="Y730">
        <v>108.43</v>
      </c>
      <c r="Z730">
        <v>10.210000000000001</v>
      </c>
      <c r="AA730">
        <v>6.09</v>
      </c>
      <c r="AB730">
        <v>100.14</v>
      </c>
      <c r="AC730">
        <v>190.13924050632909</v>
      </c>
      <c r="AD730">
        <v>29.195335276967928</v>
      </c>
      <c r="AE730">
        <v>62.29</v>
      </c>
      <c r="AF730">
        <v>14.58</v>
      </c>
      <c r="AG730">
        <v>0</v>
      </c>
      <c r="AH730">
        <v>-3.62</v>
      </c>
      <c r="AI730">
        <v>35.380000000000003</v>
      </c>
      <c r="AJ730">
        <v>175.86</v>
      </c>
      <c r="AK730">
        <v>72.34</v>
      </c>
      <c r="AL730" t="s">
        <v>23</v>
      </c>
      <c r="AM730" t="s">
        <v>24</v>
      </c>
      <c r="AN730" t="str">
        <f t="shared" si="44"/>
        <v>Morning</v>
      </c>
      <c r="AO730" t="str">
        <f t="shared" si="45"/>
        <v>Peak</v>
      </c>
      <c r="AP730" t="str">
        <f t="shared" si="46"/>
        <v>Medium</v>
      </c>
      <c r="AQ730" t="str">
        <f t="shared" si="47"/>
        <v>Medium</v>
      </c>
    </row>
    <row r="731" spans="1:43" x14ac:dyDescent="0.3">
      <c r="A731">
        <v>730</v>
      </c>
      <c r="B731" t="s">
        <v>25</v>
      </c>
      <c r="C731" t="s">
        <v>17</v>
      </c>
      <c r="D731" s="1">
        <v>46227</v>
      </c>
      <c r="E731" t="s">
        <v>9</v>
      </c>
      <c r="F731">
        <v>0</v>
      </c>
      <c r="G731">
        <v>21</v>
      </c>
      <c r="H731" t="s">
        <v>19</v>
      </c>
      <c r="I731" t="s">
        <v>28</v>
      </c>
      <c r="J731">
        <v>1.03</v>
      </c>
      <c r="K731" t="s">
        <v>34</v>
      </c>
      <c r="L731">
        <v>1</v>
      </c>
      <c r="M731">
        <v>4.58</v>
      </c>
      <c r="N731">
        <v>77</v>
      </c>
      <c r="O731" t="s">
        <v>13</v>
      </c>
      <c r="P731">
        <v>19</v>
      </c>
      <c r="Q731">
        <v>4.51</v>
      </c>
      <c r="R731">
        <v>50.7</v>
      </c>
      <c r="S731">
        <v>120.14</v>
      </c>
      <c r="T731">
        <v>66.75</v>
      </c>
      <c r="U731">
        <v>1.43</v>
      </c>
      <c r="V731">
        <v>51.66</v>
      </c>
      <c r="W731">
        <v>238.55</v>
      </c>
      <c r="X731">
        <v>41</v>
      </c>
      <c r="Y731">
        <v>100.86</v>
      </c>
      <c r="Z731">
        <v>11.1</v>
      </c>
      <c r="AA731">
        <v>9.7799999999999994</v>
      </c>
      <c r="AB731">
        <v>217.67</v>
      </c>
      <c r="AC731">
        <v>257.59763313609466</v>
      </c>
      <c r="AD731">
        <v>48.263858093126387</v>
      </c>
      <c r="AE731">
        <v>73.38</v>
      </c>
      <c r="AF731">
        <v>19.57</v>
      </c>
      <c r="AG731">
        <v>1</v>
      </c>
      <c r="AH731">
        <v>12.53</v>
      </c>
      <c r="AI731">
        <v>89.53</v>
      </c>
      <c r="AJ731">
        <v>271.69</v>
      </c>
      <c r="AK731">
        <v>76.930000000000007</v>
      </c>
      <c r="AL731" t="s">
        <v>23</v>
      </c>
      <c r="AM731" t="s">
        <v>24</v>
      </c>
      <c r="AN731" t="str">
        <f t="shared" si="44"/>
        <v>Night</v>
      </c>
      <c r="AO731" t="str">
        <f t="shared" si="45"/>
        <v>Off-Peak</v>
      </c>
      <c r="AP731" t="str">
        <f t="shared" si="46"/>
        <v>High</v>
      </c>
      <c r="AQ731" t="str">
        <f t="shared" si="47"/>
        <v>High</v>
      </c>
    </row>
    <row r="732" spans="1:43" x14ac:dyDescent="0.3">
      <c r="A732">
        <v>731</v>
      </c>
      <c r="B732" t="s">
        <v>16</v>
      </c>
      <c r="C732" t="s">
        <v>17</v>
      </c>
      <c r="D732" s="1">
        <v>46115</v>
      </c>
      <c r="E732" t="s">
        <v>9</v>
      </c>
      <c r="F732">
        <v>0</v>
      </c>
      <c r="G732">
        <v>9</v>
      </c>
      <c r="H732" t="s">
        <v>27</v>
      </c>
      <c r="I732" t="s">
        <v>45</v>
      </c>
      <c r="J732">
        <v>1</v>
      </c>
      <c r="K732" t="s">
        <v>12</v>
      </c>
      <c r="L732">
        <v>0</v>
      </c>
      <c r="M732">
        <v>4.2699999999999996</v>
      </c>
      <c r="N732">
        <v>48</v>
      </c>
      <c r="O732" t="s">
        <v>35</v>
      </c>
      <c r="P732">
        <v>12</v>
      </c>
      <c r="Q732">
        <v>3.63</v>
      </c>
      <c r="R732">
        <v>28.2</v>
      </c>
      <c r="S732">
        <v>107.46</v>
      </c>
      <c r="T732">
        <v>56.05</v>
      </c>
      <c r="U732">
        <v>1.32</v>
      </c>
      <c r="V732">
        <v>34.39</v>
      </c>
      <c r="W732">
        <v>197.9</v>
      </c>
      <c r="X732">
        <v>35.1</v>
      </c>
      <c r="Y732">
        <v>102.12</v>
      </c>
      <c r="Z732">
        <v>10.56</v>
      </c>
      <c r="AA732">
        <v>5.64</v>
      </c>
      <c r="AB732">
        <v>181.7</v>
      </c>
      <c r="AC732">
        <v>386.59574468085106</v>
      </c>
      <c r="AD732">
        <v>50.055096418732781</v>
      </c>
      <c r="AE732">
        <v>75.44</v>
      </c>
      <c r="AF732">
        <v>14.06</v>
      </c>
      <c r="AG732">
        <v>1</v>
      </c>
      <c r="AH732">
        <v>-7.58</v>
      </c>
      <c r="AI732">
        <v>40.42</v>
      </c>
      <c r="AJ732">
        <v>379.41</v>
      </c>
      <c r="AK732">
        <v>67.25</v>
      </c>
      <c r="AL732" t="s">
        <v>23</v>
      </c>
      <c r="AM732" t="s">
        <v>24</v>
      </c>
      <c r="AN732" t="str">
        <f t="shared" si="44"/>
        <v>Morning</v>
      </c>
      <c r="AO732" t="str">
        <f t="shared" si="45"/>
        <v>Peak</v>
      </c>
      <c r="AP732" t="str">
        <f t="shared" si="46"/>
        <v>High</v>
      </c>
      <c r="AQ732" t="str">
        <f t="shared" si="47"/>
        <v>Medium</v>
      </c>
    </row>
    <row r="733" spans="1:43" x14ac:dyDescent="0.3">
      <c r="A733">
        <v>732</v>
      </c>
      <c r="B733" t="s">
        <v>48</v>
      </c>
      <c r="C733" t="s">
        <v>30</v>
      </c>
      <c r="D733" s="1">
        <v>46141</v>
      </c>
      <c r="E733" t="s">
        <v>18</v>
      </c>
      <c r="F733">
        <v>0</v>
      </c>
      <c r="G733">
        <v>11</v>
      </c>
      <c r="H733" t="s">
        <v>43</v>
      </c>
      <c r="I733" t="s">
        <v>20</v>
      </c>
      <c r="J733">
        <v>1.25</v>
      </c>
      <c r="K733" t="s">
        <v>34</v>
      </c>
      <c r="L733">
        <v>1</v>
      </c>
      <c r="M733">
        <v>3.9</v>
      </c>
      <c r="N733">
        <v>45</v>
      </c>
      <c r="O733" t="s">
        <v>35</v>
      </c>
      <c r="P733">
        <v>11</v>
      </c>
      <c r="Q733">
        <v>3.58</v>
      </c>
      <c r="R733">
        <v>42.2</v>
      </c>
      <c r="S733">
        <v>86.94</v>
      </c>
      <c r="T733">
        <v>42.87</v>
      </c>
      <c r="U733">
        <v>1</v>
      </c>
      <c r="V733">
        <v>0</v>
      </c>
      <c r="W733">
        <v>129.81</v>
      </c>
      <c r="X733">
        <v>39.6</v>
      </c>
      <c r="Y733">
        <v>105.32</v>
      </c>
      <c r="Z733">
        <v>9.51</v>
      </c>
      <c r="AA733">
        <v>10.87</v>
      </c>
      <c r="AB733">
        <v>109.43</v>
      </c>
      <c r="AC733">
        <v>155.58767772511848</v>
      </c>
      <c r="AD733">
        <v>30.567039106145252</v>
      </c>
      <c r="AE733">
        <v>79.77</v>
      </c>
      <c r="AF733">
        <v>16.91</v>
      </c>
      <c r="AG733">
        <v>0</v>
      </c>
      <c r="AH733">
        <v>15.21</v>
      </c>
      <c r="AI733">
        <v>60.21</v>
      </c>
      <c r="AJ733">
        <v>140.65</v>
      </c>
      <c r="AK733">
        <v>64.69</v>
      </c>
      <c r="AL733" t="s">
        <v>23</v>
      </c>
      <c r="AM733" t="s">
        <v>24</v>
      </c>
      <c r="AN733" t="str">
        <f t="shared" si="44"/>
        <v>Afternoon</v>
      </c>
      <c r="AO733" t="str">
        <f t="shared" si="45"/>
        <v>Off-Peak</v>
      </c>
      <c r="AP733" t="str">
        <f t="shared" si="46"/>
        <v>Medium</v>
      </c>
      <c r="AQ733" t="str">
        <f t="shared" si="47"/>
        <v>Medium</v>
      </c>
    </row>
    <row r="734" spans="1:43" x14ac:dyDescent="0.3">
      <c r="A734">
        <v>733</v>
      </c>
      <c r="B734" t="s">
        <v>23</v>
      </c>
      <c r="C734" t="s">
        <v>17</v>
      </c>
      <c r="D734" s="1">
        <v>46219</v>
      </c>
      <c r="E734" t="s">
        <v>41</v>
      </c>
      <c r="F734">
        <v>0</v>
      </c>
      <c r="G734">
        <v>20</v>
      </c>
      <c r="H734" t="s">
        <v>40</v>
      </c>
      <c r="I734" t="s">
        <v>11</v>
      </c>
      <c r="J734">
        <v>1.18</v>
      </c>
      <c r="K734" t="s">
        <v>12</v>
      </c>
      <c r="L734">
        <v>0</v>
      </c>
      <c r="M734">
        <v>3.6</v>
      </c>
      <c r="N734">
        <v>87</v>
      </c>
      <c r="O734" t="s">
        <v>13</v>
      </c>
      <c r="P734">
        <v>19</v>
      </c>
      <c r="Q734">
        <v>5.1100000000000003</v>
      </c>
      <c r="R734">
        <v>50.7</v>
      </c>
      <c r="S734">
        <v>98.21</v>
      </c>
      <c r="T734">
        <v>84.56</v>
      </c>
      <c r="U734">
        <v>1.32</v>
      </c>
      <c r="V734">
        <v>31.43</v>
      </c>
      <c r="W734">
        <v>214.2</v>
      </c>
      <c r="X734">
        <v>45</v>
      </c>
      <c r="Y734">
        <v>102.58</v>
      </c>
      <c r="Z734">
        <v>11.65</v>
      </c>
      <c r="AA734">
        <v>4.43</v>
      </c>
      <c r="AB734">
        <v>198.12</v>
      </c>
      <c r="AC734">
        <v>234.46153846153845</v>
      </c>
      <c r="AD734">
        <v>38.771037181996086</v>
      </c>
      <c r="AE734">
        <v>80.16</v>
      </c>
      <c r="AF734">
        <v>13.98</v>
      </c>
      <c r="AG734">
        <v>1</v>
      </c>
      <c r="AH734">
        <v>18.559999999999999</v>
      </c>
      <c r="AI734">
        <v>105.56</v>
      </c>
      <c r="AJ734">
        <v>239.37</v>
      </c>
      <c r="AK734">
        <v>71.05</v>
      </c>
      <c r="AL734" t="s">
        <v>23</v>
      </c>
      <c r="AM734" t="s">
        <v>24</v>
      </c>
      <c r="AN734" t="str">
        <f t="shared" si="44"/>
        <v>Night</v>
      </c>
      <c r="AO734" t="str">
        <f t="shared" si="45"/>
        <v>Peak</v>
      </c>
      <c r="AP734" t="str">
        <f t="shared" si="46"/>
        <v>Medium</v>
      </c>
      <c r="AQ734" t="str">
        <f t="shared" si="47"/>
        <v>High</v>
      </c>
    </row>
    <row r="735" spans="1:43" x14ac:dyDescent="0.3">
      <c r="A735">
        <v>734</v>
      </c>
      <c r="B735" t="s">
        <v>16</v>
      </c>
      <c r="C735" t="s">
        <v>17</v>
      </c>
      <c r="D735" s="1">
        <v>46043</v>
      </c>
      <c r="E735" t="s">
        <v>18</v>
      </c>
      <c r="F735">
        <v>0</v>
      </c>
      <c r="G735">
        <v>21</v>
      </c>
      <c r="H735" t="s">
        <v>19</v>
      </c>
      <c r="I735" t="s">
        <v>28</v>
      </c>
      <c r="J735">
        <v>1.03</v>
      </c>
      <c r="K735" t="s">
        <v>12</v>
      </c>
      <c r="L735">
        <v>0</v>
      </c>
      <c r="M735">
        <v>5</v>
      </c>
      <c r="N735">
        <v>70</v>
      </c>
      <c r="O735" t="s">
        <v>35</v>
      </c>
      <c r="P735">
        <v>15</v>
      </c>
      <c r="Q735">
        <v>3.93</v>
      </c>
      <c r="R735">
        <v>42.8</v>
      </c>
      <c r="S735">
        <v>98.35</v>
      </c>
      <c r="T735">
        <v>87.48</v>
      </c>
      <c r="U735">
        <v>1.36</v>
      </c>
      <c r="V735">
        <v>35.409999999999997</v>
      </c>
      <c r="W735">
        <v>221.24</v>
      </c>
      <c r="X735">
        <v>39.4</v>
      </c>
      <c r="Y735">
        <v>100.14</v>
      </c>
      <c r="Z735">
        <v>10</v>
      </c>
      <c r="AA735">
        <v>2.31</v>
      </c>
      <c r="AB735">
        <v>208.93</v>
      </c>
      <c r="AC735">
        <v>292.89252336448601</v>
      </c>
      <c r="AD735">
        <v>53.162849872773535</v>
      </c>
      <c r="AE735">
        <v>84.86</v>
      </c>
      <c r="AF735">
        <v>13.1</v>
      </c>
      <c r="AG735">
        <v>1</v>
      </c>
      <c r="AH735">
        <v>19.27</v>
      </c>
      <c r="AI735">
        <v>89.27</v>
      </c>
      <c r="AJ735">
        <v>291.98</v>
      </c>
      <c r="AK735">
        <v>69.94</v>
      </c>
      <c r="AL735" t="s">
        <v>14</v>
      </c>
      <c r="AM735" t="s">
        <v>15</v>
      </c>
      <c r="AN735" t="str">
        <f t="shared" si="44"/>
        <v>Night</v>
      </c>
      <c r="AO735" t="str">
        <f t="shared" si="45"/>
        <v>Off-Peak</v>
      </c>
      <c r="AP735" t="str">
        <f t="shared" si="46"/>
        <v>High</v>
      </c>
      <c r="AQ735" t="str">
        <f t="shared" si="47"/>
        <v>Medium</v>
      </c>
    </row>
    <row r="736" spans="1:43" x14ac:dyDescent="0.3">
      <c r="A736">
        <v>735</v>
      </c>
      <c r="B736" t="s">
        <v>14</v>
      </c>
      <c r="C736" t="s">
        <v>8</v>
      </c>
      <c r="D736" s="1">
        <v>46206</v>
      </c>
      <c r="E736" t="s">
        <v>9</v>
      </c>
      <c r="F736">
        <v>0</v>
      </c>
      <c r="G736">
        <v>21</v>
      </c>
      <c r="H736" t="s">
        <v>51</v>
      </c>
      <c r="I736" t="s">
        <v>46</v>
      </c>
      <c r="J736">
        <v>1.1499999999999999</v>
      </c>
      <c r="K736" t="s">
        <v>21</v>
      </c>
      <c r="L736">
        <v>0</v>
      </c>
      <c r="M736">
        <v>3.89</v>
      </c>
      <c r="N736">
        <v>68</v>
      </c>
      <c r="O736" t="s">
        <v>35</v>
      </c>
      <c r="P736">
        <v>33</v>
      </c>
      <c r="Q736">
        <v>7.19</v>
      </c>
      <c r="R736">
        <v>53.7</v>
      </c>
      <c r="S736">
        <v>117.21</v>
      </c>
      <c r="T736">
        <v>76.010000000000005</v>
      </c>
      <c r="U736">
        <v>1</v>
      </c>
      <c r="V736">
        <v>0</v>
      </c>
      <c r="W736">
        <v>193.22</v>
      </c>
      <c r="X736">
        <v>47.6</v>
      </c>
      <c r="Y736">
        <v>107.55</v>
      </c>
      <c r="Z736">
        <v>16.239999999999998</v>
      </c>
      <c r="AA736">
        <v>8.2899999999999991</v>
      </c>
      <c r="AB736">
        <v>168.69</v>
      </c>
      <c r="AC736">
        <v>188.48044692737429</v>
      </c>
      <c r="AD736">
        <v>23.46175243393602</v>
      </c>
      <c r="AE736">
        <v>69.59</v>
      </c>
      <c r="AF736">
        <v>16.77</v>
      </c>
      <c r="AG736">
        <v>1</v>
      </c>
      <c r="AH736">
        <v>25.07</v>
      </c>
      <c r="AI736">
        <v>93.07</v>
      </c>
      <c r="AJ736">
        <v>178.78</v>
      </c>
      <c r="AK736">
        <v>70.95</v>
      </c>
      <c r="AL736" t="s">
        <v>14</v>
      </c>
      <c r="AM736" t="s">
        <v>15</v>
      </c>
      <c r="AN736" t="str">
        <f t="shared" si="44"/>
        <v>Night</v>
      </c>
      <c r="AO736" t="str">
        <f t="shared" si="45"/>
        <v>Off-Peak</v>
      </c>
      <c r="AP736" t="str">
        <f t="shared" si="46"/>
        <v>Medium</v>
      </c>
      <c r="AQ736" t="str">
        <f t="shared" si="47"/>
        <v>Medium</v>
      </c>
    </row>
    <row r="737" spans="1:43" x14ac:dyDescent="0.3">
      <c r="A737">
        <v>736</v>
      </c>
      <c r="B737" t="s">
        <v>25</v>
      </c>
      <c r="C737" t="s">
        <v>17</v>
      </c>
      <c r="D737" s="1">
        <v>46027</v>
      </c>
      <c r="E737" t="s">
        <v>38</v>
      </c>
      <c r="F737">
        <v>0</v>
      </c>
      <c r="G737">
        <v>13</v>
      </c>
      <c r="H737" t="s">
        <v>19</v>
      </c>
      <c r="I737" t="s">
        <v>46</v>
      </c>
      <c r="J737">
        <v>1.1499999999999999</v>
      </c>
      <c r="K737" t="s">
        <v>21</v>
      </c>
      <c r="L737">
        <v>0</v>
      </c>
      <c r="M737">
        <v>2.65</v>
      </c>
      <c r="N737">
        <v>15</v>
      </c>
      <c r="O737" t="s">
        <v>22</v>
      </c>
      <c r="P737">
        <v>3</v>
      </c>
      <c r="Q737">
        <v>3.94</v>
      </c>
      <c r="R737">
        <v>31</v>
      </c>
      <c r="S737">
        <v>99.54</v>
      </c>
      <c r="T737">
        <v>12.14</v>
      </c>
      <c r="U737">
        <v>1.07</v>
      </c>
      <c r="V737">
        <v>6.97</v>
      </c>
      <c r="W737">
        <v>118.65</v>
      </c>
      <c r="X737">
        <v>42.2</v>
      </c>
      <c r="Y737">
        <v>103.58</v>
      </c>
      <c r="Z737">
        <v>9.68</v>
      </c>
      <c r="AA737">
        <v>7.08</v>
      </c>
      <c r="AB737">
        <v>101.89</v>
      </c>
      <c r="AC737">
        <v>197.20645161290321</v>
      </c>
      <c r="AD737">
        <v>25.86040609137056</v>
      </c>
      <c r="AE737">
        <v>70.19</v>
      </c>
      <c r="AF737">
        <v>11.61</v>
      </c>
      <c r="AG737">
        <v>0</v>
      </c>
      <c r="AH737">
        <v>7.39</v>
      </c>
      <c r="AI737">
        <v>22.39</v>
      </c>
      <c r="AJ737">
        <v>196.89</v>
      </c>
      <c r="AK737">
        <v>65.989999999999995</v>
      </c>
      <c r="AL737" t="s">
        <v>14</v>
      </c>
      <c r="AM737" t="s">
        <v>15</v>
      </c>
      <c r="AN737" t="str">
        <f t="shared" si="44"/>
        <v>Afternoon</v>
      </c>
      <c r="AO737" t="str">
        <f t="shared" si="45"/>
        <v>Off-Peak</v>
      </c>
      <c r="AP737" t="str">
        <f t="shared" si="46"/>
        <v>Medium</v>
      </c>
      <c r="AQ737" t="str">
        <f t="shared" si="47"/>
        <v>Low</v>
      </c>
    </row>
    <row r="738" spans="1:43" x14ac:dyDescent="0.3">
      <c r="A738">
        <v>737</v>
      </c>
      <c r="B738" t="s">
        <v>16</v>
      </c>
      <c r="C738" t="s">
        <v>17</v>
      </c>
      <c r="D738" s="1">
        <v>46172</v>
      </c>
      <c r="E738" t="s">
        <v>31</v>
      </c>
      <c r="F738">
        <v>1</v>
      </c>
      <c r="G738">
        <v>19</v>
      </c>
      <c r="H738" t="s">
        <v>40</v>
      </c>
      <c r="I738" t="s">
        <v>50</v>
      </c>
      <c r="J738">
        <v>1.2</v>
      </c>
      <c r="K738" t="s">
        <v>21</v>
      </c>
      <c r="L738">
        <v>0</v>
      </c>
      <c r="M738">
        <v>4.49</v>
      </c>
      <c r="N738">
        <v>112</v>
      </c>
      <c r="O738" t="s">
        <v>13</v>
      </c>
      <c r="P738">
        <v>14</v>
      </c>
      <c r="Q738">
        <v>10.39</v>
      </c>
      <c r="R738">
        <v>70.099999999999994</v>
      </c>
      <c r="S738">
        <v>182.5</v>
      </c>
      <c r="T738">
        <v>100</v>
      </c>
      <c r="U738">
        <v>1.34</v>
      </c>
      <c r="V738">
        <v>62.05</v>
      </c>
      <c r="W738">
        <v>344.55</v>
      </c>
      <c r="X738">
        <v>45</v>
      </c>
      <c r="Y738">
        <v>100.66</v>
      </c>
      <c r="Z738">
        <v>23.23</v>
      </c>
      <c r="AA738">
        <v>11.33</v>
      </c>
      <c r="AB738">
        <v>309.99</v>
      </c>
      <c r="AC738">
        <v>265.3266761768902</v>
      </c>
      <c r="AD738">
        <v>29.835418671799808</v>
      </c>
      <c r="AE738">
        <v>94.11</v>
      </c>
      <c r="AF738">
        <v>14.23</v>
      </c>
      <c r="AG738">
        <v>1</v>
      </c>
      <c r="AH738">
        <v>21.57</v>
      </c>
      <c r="AI738">
        <v>133.57</v>
      </c>
      <c r="AJ738">
        <v>251.08</v>
      </c>
      <c r="AK738">
        <v>76.39</v>
      </c>
      <c r="AL738" t="s">
        <v>23</v>
      </c>
      <c r="AM738" t="s">
        <v>24</v>
      </c>
      <c r="AN738" t="str">
        <f t="shared" si="44"/>
        <v>Night</v>
      </c>
      <c r="AO738" t="str">
        <f t="shared" si="45"/>
        <v>Peak</v>
      </c>
      <c r="AP738" t="str">
        <f t="shared" si="46"/>
        <v>High</v>
      </c>
      <c r="AQ738" t="str">
        <f t="shared" si="47"/>
        <v>High</v>
      </c>
    </row>
    <row r="739" spans="1:43" x14ac:dyDescent="0.3">
      <c r="A739">
        <v>738</v>
      </c>
      <c r="B739" t="s">
        <v>48</v>
      </c>
      <c r="C739" t="s">
        <v>30</v>
      </c>
      <c r="D739" s="1">
        <v>46146</v>
      </c>
      <c r="E739" t="s">
        <v>38</v>
      </c>
      <c r="F739">
        <v>0</v>
      </c>
      <c r="G739">
        <v>12</v>
      </c>
      <c r="H739" t="s">
        <v>43</v>
      </c>
      <c r="I739" t="s">
        <v>39</v>
      </c>
      <c r="J739">
        <v>1.05</v>
      </c>
      <c r="K739" t="s">
        <v>12</v>
      </c>
      <c r="L739">
        <v>0</v>
      </c>
      <c r="M739">
        <v>1.53</v>
      </c>
      <c r="N739">
        <v>11</v>
      </c>
      <c r="O739" t="s">
        <v>22</v>
      </c>
      <c r="P739">
        <v>2</v>
      </c>
      <c r="Q739">
        <v>1.78</v>
      </c>
      <c r="R739">
        <v>19.7</v>
      </c>
      <c r="S739">
        <v>74.22</v>
      </c>
      <c r="T739">
        <v>18.45</v>
      </c>
      <c r="U739">
        <v>1</v>
      </c>
      <c r="V739">
        <v>0</v>
      </c>
      <c r="W739">
        <v>92.67</v>
      </c>
      <c r="X739">
        <v>48.3</v>
      </c>
      <c r="Y739">
        <v>105.09</v>
      </c>
      <c r="Z739">
        <v>3.89</v>
      </c>
      <c r="AA739">
        <v>6.23</v>
      </c>
      <c r="AB739">
        <v>82.55</v>
      </c>
      <c r="AC739">
        <v>251.42131979695432</v>
      </c>
      <c r="AD739">
        <v>46.376404494382022</v>
      </c>
      <c r="AE739">
        <v>57.43</v>
      </c>
      <c r="AF739">
        <v>16.12</v>
      </c>
      <c r="AG739">
        <v>0</v>
      </c>
      <c r="AH739">
        <v>27.36</v>
      </c>
      <c r="AI739">
        <v>38.36</v>
      </c>
      <c r="AJ739">
        <v>253.4</v>
      </c>
      <c r="AK739">
        <v>67.69</v>
      </c>
      <c r="AL739" t="s">
        <v>14</v>
      </c>
      <c r="AM739" t="s">
        <v>15</v>
      </c>
      <c r="AN739" t="str">
        <f t="shared" si="44"/>
        <v>Afternoon</v>
      </c>
      <c r="AO739" t="str">
        <f t="shared" si="45"/>
        <v>Off-Peak</v>
      </c>
      <c r="AP739" t="str">
        <f t="shared" si="46"/>
        <v>High</v>
      </c>
      <c r="AQ739" t="str">
        <f t="shared" si="47"/>
        <v>Low</v>
      </c>
    </row>
    <row r="740" spans="1:43" x14ac:dyDescent="0.3">
      <c r="A740">
        <v>739</v>
      </c>
      <c r="B740" t="s">
        <v>16</v>
      </c>
      <c r="C740" t="s">
        <v>17</v>
      </c>
      <c r="D740" s="1">
        <v>46143</v>
      </c>
      <c r="E740" t="s">
        <v>9</v>
      </c>
      <c r="F740">
        <v>0</v>
      </c>
      <c r="G740">
        <v>18</v>
      </c>
      <c r="H740" t="s">
        <v>40</v>
      </c>
      <c r="I740" t="s">
        <v>28</v>
      </c>
      <c r="J740">
        <v>1.03</v>
      </c>
      <c r="K740" t="s">
        <v>21</v>
      </c>
      <c r="L740">
        <v>0</v>
      </c>
      <c r="M740">
        <v>3.47</v>
      </c>
      <c r="N740">
        <v>59</v>
      </c>
      <c r="O740" t="s">
        <v>35</v>
      </c>
      <c r="P740">
        <v>12</v>
      </c>
      <c r="Q740">
        <v>3.14</v>
      </c>
      <c r="R740">
        <v>32.6</v>
      </c>
      <c r="S740">
        <v>91.48</v>
      </c>
      <c r="T740">
        <v>70.83</v>
      </c>
      <c r="U740">
        <v>1.19</v>
      </c>
      <c r="V740">
        <v>17.38</v>
      </c>
      <c r="W740">
        <v>179.69</v>
      </c>
      <c r="X740">
        <v>45.2</v>
      </c>
      <c r="Y740">
        <v>109.77</v>
      </c>
      <c r="Z740">
        <v>7.62</v>
      </c>
      <c r="AA740">
        <v>3.36</v>
      </c>
      <c r="AB740">
        <v>168.71</v>
      </c>
      <c r="AC740">
        <v>310.50920245398777</v>
      </c>
      <c r="AD740">
        <v>53.729299363057322</v>
      </c>
      <c r="AE740">
        <v>73.099999999999994</v>
      </c>
      <c r="AF740">
        <v>14.08</v>
      </c>
      <c r="AG740">
        <v>1</v>
      </c>
      <c r="AH740">
        <v>-13.83</v>
      </c>
      <c r="AI740">
        <v>45.17</v>
      </c>
      <c r="AJ740">
        <v>316.67</v>
      </c>
      <c r="AK740">
        <v>67.489999999999995</v>
      </c>
      <c r="AL740" t="s">
        <v>23</v>
      </c>
      <c r="AM740" t="s">
        <v>24</v>
      </c>
      <c r="AN740" t="str">
        <f t="shared" si="44"/>
        <v>Night</v>
      </c>
      <c r="AO740" t="str">
        <f t="shared" si="45"/>
        <v>Peak</v>
      </c>
      <c r="AP740" t="str">
        <f t="shared" si="46"/>
        <v>High</v>
      </c>
      <c r="AQ740" t="str">
        <f t="shared" si="47"/>
        <v>Medium</v>
      </c>
    </row>
    <row r="741" spans="1:43" x14ac:dyDescent="0.3">
      <c r="A741">
        <v>740</v>
      </c>
      <c r="B741" t="s">
        <v>23</v>
      </c>
      <c r="C741" t="s">
        <v>17</v>
      </c>
      <c r="D741" s="1">
        <v>46150</v>
      </c>
      <c r="E741" t="s">
        <v>9</v>
      </c>
      <c r="F741">
        <v>0</v>
      </c>
      <c r="G741">
        <v>15</v>
      </c>
      <c r="H741" t="s">
        <v>19</v>
      </c>
      <c r="I741" t="s">
        <v>42</v>
      </c>
      <c r="J741">
        <v>1.08</v>
      </c>
      <c r="K741" t="s">
        <v>12</v>
      </c>
      <c r="L741">
        <v>0</v>
      </c>
      <c r="M741">
        <v>3.78</v>
      </c>
      <c r="N741">
        <v>31</v>
      </c>
      <c r="O741" t="s">
        <v>22</v>
      </c>
      <c r="P741">
        <v>7</v>
      </c>
      <c r="Q741">
        <v>2.42</v>
      </c>
      <c r="R741">
        <v>30.3</v>
      </c>
      <c r="S741">
        <v>70.650000000000006</v>
      </c>
      <c r="T741">
        <v>25.89</v>
      </c>
      <c r="U741">
        <v>1.03</v>
      </c>
      <c r="V741">
        <v>2.12</v>
      </c>
      <c r="W741">
        <v>98.66</v>
      </c>
      <c r="X741">
        <v>48.5</v>
      </c>
      <c r="Y741">
        <v>106.79</v>
      </c>
      <c r="Z741">
        <v>5.33</v>
      </c>
      <c r="AA741">
        <v>5.3</v>
      </c>
      <c r="AB741">
        <v>88.03</v>
      </c>
      <c r="AC741">
        <v>174.31683168316832</v>
      </c>
      <c r="AD741">
        <v>36.376033057851238</v>
      </c>
      <c r="AE741">
        <v>65.91</v>
      </c>
      <c r="AF741">
        <v>14.78</v>
      </c>
      <c r="AG741">
        <v>0</v>
      </c>
      <c r="AH741">
        <v>-6.05</v>
      </c>
      <c r="AI741">
        <v>24.95</v>
      </c>
      <c r="AJ741">
        <v>136.87</v>
      </c>
      <c r="AK741">
        <v>67.62</v>
      </c>
      <c r="AL741" t="s">
        <v>23</v>
      </c>
      <c r="AM741" t="s">
        <v>24</v>
      </c>
      <c r="AN741" t="str">
        <f t="shared" si="44"/>
        <v>Evening</v>
      </c>
      <c r="AO741" t="str">
        <f t="shared" si="45"/>
        <v>Off-Peak</v>
      </c>
      <c r="AP741" t="str">
        <f t="shared" si="46"/>
        <v>Medium</v>
      </c>
      <c r="AQ741" t="str">
        <f t="shared" si="47"/>
        <v>Low</v>
      </c>
    </row>
    <row r="742" spans="1:43" x14ac:dyDescent="0.3">
      <c r="A742">
        <v>741</v>
      </c>
      <c r="B742" t="s">
        <v>16</v>
      </c>
      <c r="C742" t="s">
        <v>17</v>
      </c>
      <c r="D742" s="1">
        <v>46149</v>
      </c>
      <c r="E742" t="s">
        <v>41</v>
      </c>
      <c r="F742">
        <v>0</v>
      </c>
      <c r="G742">
        <v>7</v>
      </c>
      <c r="H742" t="s">
        <v>27</v>
      </c>
      <c r="I742" t="s">
        <v>46</v>
      </c>
      <c r="J742">
        <v>1.1499999999999999</v>
      </c>
      <c r="K742" t="s">
        <v>12</v>
      </c>
      <c r="L742">
        <v>0</v>
      </c>
      <c r="M742">
        <v>2.71</v>
      </c>
      <c r="N742">
        <v>48</v>
      </c>
      <c r="O742" t="s">
        <v>35</v>
      </c>
      <c r="P742">
        <v>11</v>
      </c>
      <c r="Q742">
        <v>4.63</v>
      </c>
      <c r="R742">
        <v>38.299999999999997</v>
      </c>
      <c r="S742">
        <v>109</v>
      </c>
      <c r="T742">
        <v>61.46</v>
      </c>
      <c r="U742">
        <v>1.28</v>
      </c>
      <c r="V742">
        <v>30.52</v>
      </c>
      <c r="W742">
        <v>200.98</v>
      </c>
      <c r="X742">
        <v>47.1</v>
      </c>
      <c r="Y742">
        <v>101.59</v>
      </c>
      <c r="Z742">
        <v>9.99</v>
      </c>
      <c r="AA742">
        <v>5.93</v>
      </c>
      <c r="AB742">
        <v>185.06</v>
      </c>
      <c r="AC742">
        <v>289.91122715404703</v>
      </c>
      <c r="AD742">
        <v>39.969762419006479</v>
      </c>
      <c r="AE742">
        <v>74.28</v>
      </c>
      <c r="AF742">
        <v>15.99</v>
      </c>
      <c r="AG742">
        <v>1</v>
      </c>
      <c r="AH742">
        <v>-19.440000000000001</v>
      </c>
      <c r="AI742">
        <v>28.56</v>
      </c>
      <c r="AJ742">
        <v>289.75</v>
      </c>
      <c r="AK742">
        <v>70.14</v>
      </c>
      <c r="AL742" t="s">
        <v>23</v>
      </c>
      <c r="AM742" t="s">
        <v>24</v>
      </c>
      <c r="AN742" t="str">
        <f t="shared" si="44"/>
        <v>Morning</v>
      </c>
      <c r="AO742" t="str">
        <f t="shared" si="45"/>
        <v>Peak</v>
      </c>
      <c r="AP742" t="str">
        <f t="shared" si="46"/>
        <v>High</v>
      </c>
      <c r="AQ742" t="str">
        <f t="shared" si="47"/>
        <v>Medium</v>
      </c>
    </row>
    <row r="743" spans="1:43" x14ac:dyDescent="0.3">
      <c r="A743">
        <v>742</v>
      </c>
      <c r="B743" t="s">
        <v>16</v>
      </c>
      <c r="C743" t="s">
        <v>17</v>
      </c>
      <c r="D743" s="1">
        <v>46128</v>
      </c>
      <c r="E743" t="s">
        <v>41</v>
      </c>
      <c r="F743">
        <v>0</v>
      </c>
      <c r="G743">
        <v>13</v>
      </c>
      <c r="H743" t="s">
        <v>19</v>
      </c>
      <c r="I743" t="s">
        <v>42</v>
      </c>
      <c r="J743">
        <v>1.08</v>
      </c>
      <c r="K743" t="s">
        <v>12</v>
      </c>
      <c r="L743">
        <v>0</v>
      </c>
      <c r="M743">
        <v>3.89</v>
      </c>
      <c r="N743">
        <v>39</v>
      </c>
      <c r="O743" t="s">
        <v>35</v>
      </c>
      <c r="P743">
        <v>8</v>
      </c>
      <c r="Q743">
        <v>1.78</v>
      </c>
      <c r="R743">
        <v>30.2</v>
      </c>
      <c r="S743">
        <v>96.17</v>
      </c>
      <c r="T743">
        <v>39.590000000000003</v>
      </c>
      <c r="U743">
        <v>1.0900000000000001</v>
      </c>
      <c r="V743">
        <v>8.66</v>
      </c>
      <c r="W743">
        <v>144.41999999999999</v>
      </c>
      <c r="X743">
        <v>43.5</v>
      </c>
      <c r="Y743">
        <v>105.14</v>
      </c>
      <c r="Z743">
        <v>4.3099999999999996</v>
      </c>
      <c r="AA743">
        <v>7.83</v>
      </c>
      <c r="AB743">
        <v>132.28</v>
      </c>
      <c r="AC743">
        <v>262.80794701986758</v>
      </c>
      <c r="AD743">
        <v>74.31460674157303</v>
      </c>
      <c r="AE743">
        <v>71.64</v>
      </c>
      <c r="AF743">
        <v>15.98</v>
      </c>
      <c r="AG743">
        <v>0</v>
      </c>
      <c r="AH743">
        <v>18.920000000000002</v>
      </c>
      <c r="AI743">
        <v>57.92</v>
      </c>
      <c r="AJ743">
        <v>269.94</v>
      </c>
      <c r="AK743">
        <v>70.23</v>
      </c>
      <c r="AL743" t="s">
        <v>14</v>
      </c>
      <c r="AM743" t="s">
        <v>15</v>
      </c>
      <c r="AN743" t="str">
        <f t="shared" si="44"/>
        <v>Afternoon</v>
      </c>
      <c r="AO743" t="str">
        <f t="shared" si="45"/>
        <v>Off-Peak</v>
      </c>
      <c r="AP743" t="str">
        <f t="shared" si="46"/>
        <v>High</v>
      </c>
      <c r="AQ743" t="str">
        <f t="shared" si="47"/>
        <v>Medium</v>
      </c>
    </row>
    <row r="744" spans="1:43" x14ac:dyDescent="0.3">
      <c r="A744">
        <v>743</v>
      </c>
      <c r="B744" t="s">
        <v>25</v>
      </c>
      <c r="C744" t="s">
        <v>17</v>
      </c>
      <c r="D744" s="1">
        <v>46139</v>
      </c>
      <c r="E744" t="s">
        <v>38</v>
      </c>
      <c r="F744">
        <v>0</v>
      </c>
      <c r="G744">
        <v>14</v>
      </c>
      <c r="H744" t="s">
        <v>19</v>
      </c>
      <c r="I744" t="s">
        <v>11</v>
      </c>
      <c r="J744">
        <v>1.18</v>
      </c>
      <c r="K744" t="s">
        <v>34</v>
      </c>
      <c r="L744">
        <v>1</v>
      </c>
      <c r="M744">
        <v>4.71</v>
      </c>
      <c r="N744">
        <v>51</v>
      </c>
      <c r="O744" t="s">
        <v>35</v>
      </c>
      <c r="P744">
        <v>7</v>
      </c>
      <c r="Q744">
        <v>1.1599999999999999</v>
      </c>
      <c r="R744">
        <v>41.4</v>
      </c>
      <c r="S744">
        <v>71.73</v>
      </c>
      <c r="T744">
        <v>39.51</v>
      </c>
      <c r="U744">
        <v>1.1599999999999999</v>
      </c>
      <c r="V744">
        <v>11.48</v>
      </c>
      <c r="W744">
        <v>122.72</v>
      </c>
      <c r="X744">
        <v>39.5</v>
      </c>
      <c r="Y744">
        <v>109.02</v>
      </c>
      <c r="Z744">
        <v>3.21</v>
      </c>
      <c r="AA744">
        <v>4.75</v>
      </c>
      <c r="AB744">
        <v>114.76</v>
      </c>
      <c r="AC744">
        <v>166.31884057971016</v>
      </c>
      <c r="AD744">
        <v>98.931034482758633</v>
      </c>
      <c r="AE744">
        <v>80.900000000000006</v>
      </c>
      <c r="AF744">
        <v>16.47</v>
      </c>
      <c r="AG744">
        <v>0</v>
      </c>
      <c r="AH744">
        <v>-19.63</v>
      </c>
      <c r="AI744">
        <v>31.37</v>
      </c>
      <c r="AJ744">
        <v>155.24</v>
      </c>
      <c r="AK744">
        <v>69.459999999999994</v>
      </c>
      <c r="AL744" t="s">
        <v>14</v>
      </c>
      <c r="AM744" t="s">
        <v>15</v>
      </c>
      <c r="AN744" t="str">
        <f t="shared" si="44"/>
        <v>Afternoon</v>
      </c>
      <c r="AO744" t="str">
        <f t="shared" si="45"/>
        <v>Off-Peak</v>
      </c>
      <c r="AP744" t="str">
        <f t="shared" si="46"/>
        <v>Medium</v>
      </c>
      <c r="AQ744" t="str">
        <f t="shared" si="47"/>
        <v>Medium</v>
      </c>
    </row>
    <row r="745" spans="1:43" x14ac:dyDescent="0.3">
      <c r="A745">
        <v>744</v>
      </c>
      <c r="B745" t="s">
        <v>14</v>
      </c>
      <c r="C745" t="s">
        <v>8</v>
      </c>
      <c r="D745" s="1">
        <v>46169</v>
      </c>
      <c r="E745" t="s">
        <v>18</v>
      </c>
      <c r="F745">
        <v>0</v>
      </c>
      <c r="G745">
        <v>11</v>
      </c>
      <c r="H745" t="s">
        <v>10</v>
      </c>
      <c r="I745" t="s">
        <v>45</v>
      </c>
      <c r="J745">
        <v>1</v>
      </c>
      <c r="K745" t="s">
        <v>12</v>
      </c>
      <c r="L745">
        <v>0</v>
      </c>
      <c r="M745">
        <v>2.7</v>
      </c>
      <c r="N745">
        <v>33</v>
      </c>
      <c r="O745" t="s">
        <v>22</v>
      </c>
      <c r="P745">
        <v>8</v>
      </c>
      <c r="Q745">
        <v>2.08</v>
      </c>
      <c r="R745">
        <v>26.2</v>
      </c>
      <c r="S745">
        <v>61.05</v>
      </c>
      <c r="T745">
        <v>31.81</v>
      </c>
      <c r="U745">
        <v>1</v>
      </c>
      <c r="V745">
        <v>0</v>
      </c>
      <c r="W745">
        <v>92.86</v>
      </c>
      <c r="X745">
        <v>39.5</v>
      </c>
      <c r="Y745">
        <v>100.54</v>
      </c>
      <c r="Z745">
        <v>5.29</v>
      </c>
      <c r="AA745">
        <v>7.5</v>
      </c>
      <c r="AB745">
        <v>80.069999999999993</v>
      </c>
      <c r="AC745">
        <v>183.36641221374046</v>
      </c>
      <c r="AD745">
        <v>38.495192307692307</v>
      </c>
      <c r="AE745">
        <v>76.680000000000007</v>
      </c>
      <c r="AF745">
        <v>17.45</v>
      </c>
      <c r="AG745">
        <v>0</v>
      </c>
      <c r="AH745">
        <v>-23.7</v>
      </c>
      <c r="AI745">
        <v>9.3000000000000007</v>
      </c>
      <c r="AJ745">
        <v>191.13</v>
      </c>
      <c r="AK745">
        <v>70.709999999999994</v>
      </c>
      <c r="AL745" t="s">
        <v>14</v>
      </c>
      <c r="AM745" t="s">
        <v>15</v>
      </c>
      <c r="AN745" t="str">
        <f t="shared" si="44"/>
        <v>Afternoon</v>
      </c>
      <c r="AO745" t="str">
        <f t="shared" si="45"/>
        <v>Off-Peak</v>
      </c>
      <c r="AP745" t="str">
        <f t="shared" si="46"/>
        <v>Medium</v>
      </c>
      <c r="AQ745" t="str">
        <f t="shared" si="47"/>
        <v>Low</v>
      </c>
    </row>
    <row r="746" spans="1:43" x14ac:dyDescent="0.3">
      <c r="A746">
        <v>745</v>
      </c>
      <c r="B746" t="s">
        <v>16</v>
      </c>
      <c r="C746" t="s">
        <v>17</v>
      </c>
      <c r="D746" s="1">
        <v>46219</v>
      </c>
      <c r="E746" t="s">
        <v>41</v>
      </c>
      <c r="F746">
        <v>0</v>
      </c>
      <c r="G746">
        <v>12</v>
      </c>
      <c r="H746" t="s">
        <v>19</v>
      </c>
      <c r="I746" t="s">
        <v>50</v>
      </c>
      <c r="J746">
        <v>1.2</v>
      </c>
      <c r="K746" t="s">
        <v>21</v>
      </c>
      <c r="L746">
        <v>0</v>
      </c>
      <c r="M746">
        <v>3.23</v>
      </c>
      <c r="N746">
        <v>33</v>
      </c>
      <c r="O746" t="s">
        <v>22</v>
      </c>
      <c r="P746">
        <v>8</v>
      </c>
      <c r="Q746">
        <v>1.24</v>
      </c>
      <c r="R746">
        <v>28.2</v>
      </c>
      <c r="S746">
        <v>68.64</v>
      </c>
      <c r="T746">
        <v>40.49</v>
      </c>
      <c r="U746">
        <v>1.1100000000000001</v>
      </c>
      <c r="V746">
        <v>7.55</v>
      </c>
      <c r="W746">
        <v>116.68</v>
      </c>
      <c r="X746">
        <v>48.1</v>
      </c>
      <c r="Y746">
        <v>106.38</v>
      </c>
      <c r="Z746">
        <v>2.74</v>
      </c>
      <c r="AA746">
        <v>11.08</v>
      </c>
      <c r="AB746">
        <v>102.86</v>
      </c>
      <c r="AC746">
        <v>218.85106382978725</v>
      </c>
      <c r="AD746">
        <v>82.951612903225808</v>
      </c>
      <c r="AE746">
        <v>64.2</v>
      </c>
      <c r="AF746">
        <v>13.36</v>
      </c>
      <c r="AG746">
        <v>0</v>
      </c>
      <c r="AH746">
        <v>-13.46</v>
      </c>
      <c r="AI746">
        <v>19.54</v>
      </c>
      <c r="AJ746">
        <v>225.12</v>
      </c>
      <c r="AK746">
        <v>68.84</v>
      </c>
      <c r="AL746" t="s">
        <v>14</v>
      </c>
      <c r="AM746" t="s">
        <v>15</v>
      </c>
      <c r="AN746" t="str">
        <f t="shared" si="44"/>
        <v>Afternoon</v>
      </c>
      <c r="AO746" t="str">
        <f t="shared" si="45"/>
        <v>Off-Peak</v>
      </c>
      <c r="AP746" t="str">
        <f t="shared" si="46"/>
        <v>Medium</v>
      </c>
      <c r="AQ746" t="str">
        <f t="shared" si="47"/>
        <v>Low</v>
      </c>
    </row>
    <row r="747" spans="1:43" x14ac:dyDescent="0.3">
      <c r="A747">
        <v>746</v>
      </c>
      <c r="B747" t="s">
        <v>48</v>
      </c>
      <c r="C747" t="s">
        <v>30</v>
      </c>
      <c r="D747" s="1">
        <v>46165</v>
      </c>
      <c r="E747" t="s">
        <v>31</v>
      </c>
      <c r="F747">
        <v>1</v>
      </c>
      <c r="G747">
        <v>15</v>
      </c>
      <c r="H747" t="s">
        <v>43</v>
      </c>
      <c r="I747" t="s">
        <v>46</v>
      </c>
      <c r="J747">
        <v>1.1499999999999999</v>
      </c>
      <c r="K747" t="s">
        <v>21</v>
      </c>
      <c r="L747">
        <v>0</v>
      </c>
      <c r="M747">
        <v>3.9</v>
      </c>
      <c r="N747">
        <v>43</v>
      </c>
      <c r="O747" t="s">
        <v>35</v>
      </c>
      <c r="P747">
        <v>12</v>
      </c>
      <c r="Q747">
        <v>3.47</v>
      </c>
      <c r="R747">
        <v>36.299999999999997</v>
      </c>
      <c r="S747">
        <v>91.23</v>
      </c>
      <c r="T747">
        <v>57.42</v>
      </c>
      <c r="U747">
        <v>1</v>
      </c>
      <c r="V747">
        <v>0</v>
      </c>
      <c r="W747">
        <v>148.65</v>
      </c>
      <c r="X747">
        <v>35.799999999999997</v>
      </c>
      <c r="Y747">
        <v>107.21</v>
      </c>
      <c r="Z747">
        <v>10.38</v>
      </c>
      <c r="AA747">
        <v>6.24</v>
      </c>
      <c r="AB747">
        <v>132.03</v>
      </c>
      <c r="AC747">
        <v>218.2314049586777</v>
      </c>
      <c r="AD747">
        <v>38.048991354466857</v>
      </c>
      <c r="AE747">
        <v>70.73</v>
      </c>
      <c r="AF747">
        <v>15.42</v>
      </c>
      <c r="AG747">
        <v>1</v>
      </c>
      <c r="AH747">
        <v>-23.07</v>
      </c>
      <c r="AI747">
        <v>19.93</v>
      </c>
      <c r="AJ747">
        <v>202.99</v>
      </c>
      <c r="AK747">
        <v>60</v>
      </c>
      <c r="AL747" t="s">
        <v>14</v>
      </c>
      <c r="AM747" t="s">
        <v>15</v>
      </c>
      <c r="AN747" t="str">
        <f t="shared" si="44"/>
        <v>Evening</v>
      </c>
      <c r="AO747" t="str">
        <f t="shared" si="45"/>
        <v>Off-Peak</v>
      </c>
      <c r="AP747" t="str">
        <f t="shared" si="46"/>
        <v>Medium</v>
      </c>
      <c r="AQ747" t="str">
        <f t="shared" si="47"/>
        <v>Medium</v>
      </c>
    </row>
    <row r="748" spans="1:43" x14ac:dyDescent="0.3">
      <c r="A748">
        <v>747</v>
      </c>
      <c r="B748" t="s">
        <v>29</v>
      </c>
      <c r="C748" t="s">
        <v>30</v>
      </c>
      <c r="D748" s="1">
        <v>46188</v>
      </c>
      <c r="E748" t="s">
        <v>38</v>
      </c>
      <c r="F748">
        <v>0</v>
      </c>
      <c r="G748">
        <v>7</v>
      </c>
      <c r="H748" t="s">
        <v>47</v>
      </c>
      <c r="I748" t="s">
        <v>46</v>
      </c>
      <c r="J748">
        <v>1.1499999999999999</v>
      </c>
      <c r="K748" t="s">
        <v>21</v>
      </c>
      <c r="L748">
        <v>0</v>
      </c>
      <c r="M748">
        <v>2.63</v>
      </c>
      <c r="N748">
        <v>13</v>
      </c>
      <c r="O748" t="s">
        <v>22</v>
      </c>
      <c r="P748">
        <v>4</v>
      </c>
      <c r="Q748">
        <v>4.5</v>
      </c>
      <c r="R748">
        <v>35.799999999999997</v>
      </c>
      <c r="S748">
        <v>86.32</v>
      </c>
      <c r="T748">
        <v>14.4</v>
      </c>
      <c r="U748">
        <v>1</v>
      </c>
      <c r="V748">
        <v>0</v>
      </c>
      <c r="W748">
        <v>100.72</v>
      </c>
      <c r="X748">
        <v>49.1</v>
      </c>
      <c r="Y748">
        <v>107.04</v>
      </c>
      <c r="Z748">
        <v>9.81</v>
      </c>
      <c r="AA748">
        <v>8.52</v>
      </c>
      <c r="AB748">
        <v>82.39</v>
      </c>
      <c r="AC748">
        <v>138.08379888268158</v>
      </c>
      <c r="AD748">
        <v>18.308888888888887</v>
      </c>
      <c r="AE748">
        <v>73.040000000000006</v>
      </c>
      <c r="AF748">
        <v>17.22</v>
      </c>
      <c r="AG748">
        <v>0</v>
      </c>
      <c r="AH748">
        <v>7.08</v>
      </c>
      <c r="AI748">
        <v>20.079999999999998</v>
      </c>
      <c r="AJ748">
        <v>137.83000000000001</v>
      </c>
      <c r="AK748">
        <v>67.510000000000005</v>
      </c>
      <c r="AL748" t="s">
        <v>23</v>
      </c>
      <c r="AM748" t="s">
        <v>24</v>
      </c>
      <c r="AN748" t="str">
        <f t="shared" si="44"/>
        <v>Morning</v>
      </c>
      <c r="AO748" t="str">
        <f t="shared" si="45"/>
        <v>Peak</v>
      </c>
      <c r="AP748" t="str">
        <f t="shared" si="46"/>
        <v>Low</v>
      </c>
      <c r="AQ748" t="str">
        <f t="shared" si="47"/>
        <v>Low</v>
      </c>
    </row>
    <row r="749" spans="1:43" x14ac:dyDescent="0.3">
      <c r="A749">
        <v>748</v>
      </c>
      <c r="B749" t="s">
        <v>48</v>
      </c>
      <c r="C749" t="s">
        <v>30</v>
      </c>
      <c r="D749" s="1">
        <v>46238</v>
      </c>
      <c r="E749" t="s">
        <v>44</v>
      </c>
      <c r="F749">
        <v>0</v>
      </c>
      <c r="G749">
        <v>9</v>
      </c>
      <c r="H749" t="s">
        <v>47</v>
      </c>
      <c r="I749" t="s">
        <v>28</v>
      </c>
      <c r="J749">
        <v>1.03</v>
      </c>
      <c r="K749" t="s">
        <v>21</v>
      </c>
      <c r="L749">
        <v>0</v>
      </c>
      <c r="M749">
        <v>3.69</v>
      </c>
      <c r="N749">
        <v>21</v>
      </c>
      <c r="O749" t="s">
        <v>22</v>
      </c>
      <c r="P749">
        <v>4</v>
      </c>
      <c r="Q749">
        <v>1.01</v>
      </c>
      <c r="R749">
        <v>18.8</v>
      </c>
      <c r="S749">
        <v>58.67</v>
      </c>
      <c r="T749">
        <v>30.67</v>
      </c>
      <c r="U749">
        <v>1</v>
      </c>
      <c r="V749">
        <v>0</v>
      </c>
      <c r="W749">
        <v>89.34</v>
      </c>
      <c r="X749">
        <v>39.9</v>
      </c>
      <c r="Y749">
        <v>101.5</v>
      </c>
      <c r="Z749">
        <v>2.56</v>
      </c>
      <c r="AA749">
        <v>4.29</v>
      </c>
      <c r="AB749">
        <v>82.49</v>
      </c>
      <c r="AC749">
        <v>263.2659574468085</v>
      </c>
      <c r="AD749">
        <v>81.67326732673267</v>
      </c>
      <c r="AE749">
        <v>79.599999999999994</v>
      </c>
      <c r="AF749">
        <v>14.34</v>
      </c>
      <c r="AG749">
        <v>0</v>
      </c>
      <c r="AH749">
        <v>-13.27</v>
      </c>
      <c r="AI749">
        <v>7.73</v>
      </c>
      <c r="AJ749">
        <v>275.89</v>
      </c>
      <c r="AK749">
        <v>63.56</v>
      </c>
      <c r="AL749" t="s">
        <v>23</v>
      </c>
      <c r="AM749" t="s">
        <v>24</v>
      </c>
      <c r="AN749" t="str">
        <f t="shared" si="44"/>
        <v>Morning</v>
      </c>
      <c r="AO749" t="str">
        <f t="shared" si="45"/>
        <v>Peak</v>
      </c>
      <c r="AP749" t="str">
        <f t="shared" si="46"/>
        <v>High</v>
      </c>
      <c r="AQ749" t="str">
        <f t="shared" si="47"/>
        <v>Low</v>
      </c>
    </row>
    <row r="750" spans="1:43" x14ac:dyDescent="0.3">
      <c r="A750">
        <v>749</v>
      </c>
      <c r="B750" t="s">
        <v>48</v>
      </c>
      <c r="C750" t="s">
        <v>30</v>
      </c>
      <c r="D750" s="1">
        <v>46278</v>
      </c>
      <c r="E750" t="s">
        <v>26</v>
      </c>
      <c r="F750">
        <v>1</v>
      </c>
      <c r="G750">
        <v>19</v>
      </c>
      <c r="H750" t="s">
        <v>32</v>
      </c>
      <c r="I750" t="s">
        <v>45</v>
      </c>
      <c r="J750">
        <v>1</v>
      </c>
      <c r="K750" t="s">
        <v>34</v>
      </c>
      <c r="L750">
        <v>1</v>
      </c>
      <c r="M750">
        <v>4.0599999999999996</v>
      </c>
      <c r="N750">
        <v>93</v>
      </c>
      <c r="O750" t="s">
        <v>13</v>
      </c>
      <c r="P750">
        <v>23</v>
      </c>
      <c r="Q750">
        <v>3</v>
      </c>
      <c r="R750">
        <v>29.9</v>
      </c>
      <c r="S750">
        <v>88.87</v>
      </c>
      <c r="T750">
        <v>98.9</v>
      </c>
      <c r="U750">
        <v>1</v>
      </c>
      <c r="V750">
        <v>0</v>
      </c>
      <c r="W750">
        <v>187.77</v>
      </c>
      <c r="X750">
        <v>46.1</v>
      </c>
      <c r="Y750">
        <v>109.07</v>
      </c>
      <c r="Z750">
        <v>7.09</v>
      </c>
      <c r="AA750">
        <v>10.01</v>
      </c>
      <c r="AB750">
        <v>170.67</v>
      </c>
      <c r="AC750">
        <v>342.48160535117057</v>
      </c>
      <c r="AD750">
        <v>56.889999999999993</v>
      </c>
      <c r="AE750">
        <v>98.9</v>
      </c>
      <c r="AF750">
        <v>18.39</v>
      </c>
      <c r="AG750">
        <v>1</v>
      </c>
      <c r="AH750">
        <v>-22.35</v>
      </c>
      <c r="AI750">
        <v>70.650000000000006</v>
      </c>
      <c r="AJ750">
        <v>342.53</v>
      </c>
      <c r="AK750">
        <v>78.55</v>
      </c>
      <c r="AL750" t="s">
        <v>23</v>
      </c>
      <c r="AM750" t="s">
        <v>24</v>
      </c>
      <c r="AN750" t="str">
        <f t="shared" si="44"/>
        <v>Night</v>
      </c>
      <c r="AO750" t="str">
        <f t="shared" si="45"/>
        <v>Peak</v>
      </c>
      <c r="AP750" t="str">
        <f t="shared" si="46"/>
        <v>High</v>
      </c>
      <c r="AQ750" t="str">
        <f t="shared" si="47"/>
        <v>High</v>
      </c>
    </row>
    <row r="751" spans="1:43" x14ac:dyDescent="0.3">
      <c r="A751">
        <v>750</v>
      </c>
      <c r="B751" t="s">
        <v>14</v>
      </c>
      <c r="C751" t="s">
        <v>8</v>
      </c>
      <c r="D751" s="1">
        <v>46051</v>
      </c>
      <c r="E751" t="s">
        <v>41</v>
      </c>
      <c r="F751">
        <v>0</v>
      </c>
      <c r="G751">
        <v>12</v>
      </c>
      <c r="H751" t="s">
        <v>10</v>
      </c>
      <c r="I751" t="s">
        <v>50</v>
      </c>
      <c r="J751">
        <v>1.2</v>
      </c>
      <c r="K751" t="s">
        <v>12</v>
      </c>
      <c r="L751">
        <v>0</v>
      </c>
      <c r="M751">
        <v>3.72</v>
      </c>
      <c r="N751">
        <v>77</v>
      </c>
      <c r="O751" t="s">
        <v>13</v>
      </c>
      <c r="P751">
        <v>40</v>
      </c>
      <c r="Q751">
        <v>7.83</v>
      </c>
      <c r="R751">
        <v>52.1</v>
      </c>
      <c r="S751">
        <v>116.68</v>
      </c>
      <c r="T751">
        <v>76.81</v>
      </c>
      <c r="U751">
        <v>1</v>
      </c>
      <c r="V751">
        <v>0</v>
      </c>
      <c r="W751">
        <v>193.49</v>
      </c>
      <c r="X751">
        <v>40</v>
      </c>
      <c r="Y751">
        <v>103.22</v>
      </c>
      <c r="Z751">
        <v>20.23</v>
      </c>
      <c r="AA751">
        <v>4.7</v>
      </c>
      <c r="AB751">
        <v>168.56</v>
      </c>
      <c r="AC751">
        <v>194.11900191938579</v>
      </c>
      <c r="AD751">
        <v>21.527458492975736</v>
      </c>
      <c r="AE751">
        <v>83.78</v>
      </c>
      <c r="AF751">
        <v>14.45</v>
      </c>
      <c r="AG751">
        <v>1</v>
      </c>
      <c r="AH751">
        <v>2.37</v>
      </c>
      <c r="AI751">
        <v>79.37</v>
      </c>
      <c r="AJ751">
        <v>199.16</v>
      </c>
      <c r="AK751">
        <v>82.46</v>
      </c>
      <c r="AL751" t="s">
        <v>14</v>
      </c>
      <c r="AM751" t="s">
        <v>15</v>
      </c>
      <c r="AN751" t="str">
        <f t="shared" si="44"/>
        <v>Afternoon</v>
      </c>
      <c r="AO751" t="str">
        <f t="shared" si="45"/>
        <v>Off-Peak</v>
      </c>
      <c r="AP751" t="str">
        <f t="shared" si="46"/>
        <v>Medium</v>
      </c>
      <c r="AQ751" t="str">
        <f t="shared" si="47"/>
        <v>High</v>
      </c>
    </row>
    <row r="752" spans="1:43" x14ac:dyDescent="0.3">
      <c r="A752">
        <v>751</v>
      </c>
      <c r="B752" t="s">
        <v>23</v>
      </c>
      <c r="C752" t="s">
        <v>17</v>
      </c>
      <c r="D752" s="1">
        <v>46206</v>
      </c>
      <c r="E752" t="s">
        <v>9</v>
      </c>
      <c r="F752">
        <v>0</v>
      </c>
      <c r="G752">
        <v>16</v>
      </c>
      <c r="H752" t="s">
        <v>19</v>
      </c>
      <c r="I752" t="s">
        <v>28</v>
      </c>
      <c r="J752">
        <v>1.03</v>
      </c>
      <c r="K752" t="s">
        <v>12</v>
      </c>
      <c r="L752">
        <v>0</v>
      </c>
      <c r="M752">
        <v>2.36</v>
      </c>
      <c r="N752">
        <v>32</v>
      </c>
      <c r="O752" t="s">
        <v>22</v>
      </c>
      <c r="P752">
        <v>5</v>
      </c>
      <c r="Q752">
        <v>9.33</v>
      </c>
      <c r="R752">
        <v>60.3</v>
      </c>
      <c r="S752">
        <v>154.16999999999999</v>
      </c>
      <c r="T752">
        <v>31.29</v>
      </c>
      <c r="U752">
        <v>1.06</v>
      </c>
      <c r="V752">
        <v>9.25</v>
      </c>
      <c r="W752">
        <v>194.71</v>
      </c>
      <c r="X752">
        <v>49.3</v>
      </c>
      <c r="Y752">
        <v>100.52</v>
      </c>
      <c r="Z752">
        <v>19.02</v>
      </c>
      <c r="AA752">
        <v>7.8</v>
      </c>
      <c r="AB752">
        <v>167.89</v>
      </c>
      <c r="AC752">
        <v>167.05472636815921</v>
      </c>
      <c r="AD752">
        <v>17.994640943193996</v>
      </c>
      <c r="AE752">
        <v>66.459999999999994</v>
      </c>
      <c r="AF752">
        <v>16.170000000000002</v>
      </c>
      <c r="AG752">
        <v>0</v>
      </c>
      <c r="AH752">
        <v>3.26</v>
      </c>
      <c r="AI752">
        <v>35.26</v>
      </c>
      <c r="AJ752">
        <v>184.21</v>
      </c>
      <c r="AK752">
        <v>65.14</v>
      </c>
      <c r="AL752" t="s">
        <v>23</v>
      </c>
      <c r="AM752" t="s">
        <v>24</v>
      </c>
      <c r="AN752" t="str">
        <f t="shared" si="44"/>
        <v>Evening</v>
      </c>
      <c r="AO752" t="str">
        <f t="shared" si="45"/>
        <v>Off-Peak</v>
      </c>
      <c r="AP752" t="str">
        <f t="shared" si="46"/>
        <v>Medium</v>
      </c>
      <c r="AQ752" t="str">
        <f t="shared" si="47"/>
        <v>Low</v>
      </c>
    </row>
    <row r="753" spans="1:43" x14ac:dyDescent="0.3">
      <c r="A753">
        <v>752</v>
      </c>
      <c r="B753" t="s">
        <v>14</v>
      </c>
      <c r="C753" t="s">
        <v>8</v>
      </c>
      <c r="D753" s="1">
        <v>46081</v>
      </c>
      <c r="E753" t="s">
        <v>31</v>
      </c>
      <c r="F753">
        <v>1</v>
      </c>
      <c r="G753">
        <v>16</v>
      </c>
      <c r="H753" t="s">
        <v>32</v>
      </c>
      <c r="I753" t="s">
        <v>37</v>
      </c>
      <c r="J753">
        <v>1.02</v>
      </c>
      <c r="K753" t="s">
        <v>12</v>
      </c>
      <c r="L753">
        <v>0</v>
      </c>
      <c r="M753">
        <v>3.27</v>
      </c>
      <c r="N753">
        <v>60</v>
      </c>
      <c r="O753" t="s">
        <v>35</v>
      </c>
      <c r="P753">
        <v>16</v>
      </c>
      <c r="Q753">
        <v>6.53</v>
      </c>
      <c r="R753">
        <v>55.9</v>
      </c>
      <c r="S753">
        <v>93.67</v>
      </c>
      <c r="T753">
        <v>81.98</v>
      </c>
      <c r="U753">
        <v>1</v>
      </c>
      <c r="V753">
        <v>0</v>
      </c>
      <c r="W753">
        <v>175.65</v>
      </c>
      <c r="X753">
        <v>35.5</v>
      </c>
      <c r="Y753">
        <v>100.83</v>
      </c>
      <c r="Z753">
        <v>18.52</v>
      </c>
      <c r="AA753">
        <v>5</v>
      </c>
      <c r="AB753">
        <v>152.13</v>
      </c>
      <c r="AC753">
        <v>163.28801431127013</v>
      </c>
      <c r="AD753">
        <v>23.297090352220518</v>
      </c>
      <c r="AE753">
        <v>76.05</v>
      </c>
      <c r="AF753">
        <v>16.559999999999999</v>
      </c>
      <c r="AG753">
        <v>1</v>
      </c>
      <c r="AH753">
        <v>-25.05</v>
      </c>
      <c r="AI753">
        <v>34.950000000000003</v>
      </c>
      <c r="AJ753">
        <v>150.54</v>
      </c>
      <c r="AK753">
        <v>72.38</v>
      </c>
      <c r="AL753" t="s">
        <v>14</v>
      </c>
      <c r="AM753" t="s">
        <v>15</v>
      </c>
      <c r="AN753" t="str">
        <f t="shared" si="44"/>
        <v>Evening</v>
      </c>
      <c r="AO753" t="str">
        <f t="shared" si="45"/>
        <v>Off-Peak</v>
      </c>
      <c r="AP753" t="str">
        <f t="shared" si="46"/>
        <v>Medium</v>
      </c>
      <c r="AQ753" t="str">
        <f t="shared" si="47"/>
        <v>Medium</v>
      </c>
    </row>
    <row r="754" spans="1:43" x14ac:dyDescent="0.3">
      <c r="A754">
        <v>753</v>
      </c>
      <c r="B754" t="s">
        <v>7</v>
      </c>
      <c r="C754" t="s">
        <v>8</v>
      </c>
      <c r="D754" s="1">
        <v>46073</v>
      </c>
      <c r="E754" t="s">
        <v>9</v>
      </c>
      <c r="F754">
        <v>0</v>
      </c>
      <c r="G754">
        <v>15</v>
      </c>
      <c r="H754" t="s">
        <v>32</v>
      </c>
      <c r="I754" t="s">
        <v>45</v>
      </c>
      <c r="J754">
        <v>1</v>
      </c>
      <c r="K754" t="s">
        <v>12</v>
      </c>
      <c r="L754">
        <v>0</v>
      </c>
      <c r="M754">
        <v>3.93</v>
      </c>
      <c r="N754">
        <v>26</v>
      </c>
      <c r="O754" t="s">
        <v>22</v>
      </c>
      <c r="P754">
        <v>12</v>
      </c>
      <c r="Q754">
        <v>1</v>
      </c>
      <c r="R754">
        <v>19.3</v>
      </c>
      <c r="S754">
        <v>64.11</v>
      </c>
      <c r="T754">
        <v>30.03</v>
      </c>
      <c r="U754">
        <v>1</v>
      </c>
      <c r="V754">
        <v>0</v>
      </c>
      <c r="W754">
        <v>94.14</v>
      </c>
      <c r="X754">
        <v>40.299999999999997</v>
      </c>
      <c r="Y754">
        <v>104.58</v>
      </c>
      <c r="Z754">
        <v>2.59</v>
      </c>
      <c r="AA754">
        <v>2.67</v>
      </c>
      <c r="AB754">
        <v>88.88</v>
      </c>
      <c r="AC754">
        <v>276.31088082901556</v>
      </c>
      <c r="AD754">
        <v>88.88</v>
      </c>
      <c r="AE754">
        <v>75.53</v>
      </c>
      <c r="AF754">
        <v>16.670000000000002</v>
      </c>
      <c r="AG754">
        <v>0</v>
      </c>
      <c r="AH754">
        <v>-7.71</v>
      </c>
      <c r="AI754">
        <v>18.29</v>
      </c>
      <c r="AJ754">
        <v>283.60000000000002</v>
      </c>
      <c r="AK754">
        <v>72.569999999999993</v>
      </c>
      <c r="AL754" t="s">
        <v>14</v>
      </c>
      <c r="AM754" t="s">
        <v>15</v>
      </c>
      <c r="AN754" t="str">
        <f t="shared" si="44"/>
        <v>Evening</v>
      </c>
      <c r="AO754" t="str">
        <f t="shared" si="45"/>
        <v>Off-Peak</v>
      </c>
      <c r="AP754" t="str">
        <f t="shared" si="46"/>
        <v>High</v>
      </c>
      <c r="AQ754" t="str">
        <f t="shared" si="47"/>
        <v>Low</v>
      </c>
    </row>
    <row r="755" spans="1:43" x14ac:dyDescent="0.3">
      <c r="A755">
        <v>754</v>
      </c>
      <c r="B755" t="s">
        <v>23</v>
      </c>
      <c r="C755" t="s">
        <v>17</v>
      </c>
      <c r="D755" s="1">
        <v>46227</v>
      </c>
      <c r="E755" t="s">
        <v>9</v>
      </c>
      <c r="F755">
        <v>0</v>
      </c>
      <c r="G755">
        <v>13</v>
      </c>
      <c r="H755" t="s">
        <v>19</v>
      </c>
      <c r="I755" t="s">
        <v>20</v>
      </c>
      <c r="J755">
        <v>1.25</v>
      </c>
      <c r="K755" t="s">
        <v>12</v>
      </c>
      <c r="L755">
        <v>0</v>
      </c>
      <c r="M755">
        <v>2.85</v>
      </c>
      <c r="N755">
        <v>39</v>
      </c>
      <c r="O755" t="s">
        <v>35</v>
      </c>
      <c r="P755">
        <v>8</v>
      </c>
      <c r="Q755">
        <v>4.22</v>
      </c>
      <c r="R755">
        <v>35.700000000000003</v>
      </c>
      <c r="S755">
        <v>104.55</v>
      </c>
      <c r="T755">
        <v>37.35</v>
      </c>
      <c r="U755">
        <v>1</v>
      </c>
      <c r="V755">
        <v>0</v>
      </c>
      <c r="W755">
        <v>141.9</v>
      </c>
      <c r="X755">
        <v>48</v>
      </c>
      <c r="Y755">
        <v>100.4</v>
      </c>
      <c r="Z755">
        <v>8.83</v>
      </c>
      <c r="AA755">
        <v>5.2</v>
      </c>
      <c r="AB755">
        <v>127.87</v>
      </c>
      <c r="AC755">
        <v>214.90756302521007</v>
      </c>
      <c r="AD755">
        <v>30.300947867298582</v>
      </c>
      <c r="AE755">
        <v>70.959999999999994</v>
      </c>
      <c r="AF755">
        <v>13.96</v>
      </c>
      <c r="AG755">
        <v>0</v>
      </c>
      <c r="AH755">
        <v>1.88</v>
      </c>
      <c r="AI755">
        <v>40.880000000000003</v>
      </c>
      <c r="AJ755">
        <v>198.94</v>
      </c>
      <c r="AK755">
        <v>71.8</v>
      </c>
      <c r="AL755" t="s">
        <v>14</v>
      </c>
      <c r="AM755" t="s">
        <v>15</v>
      </c>
      <c r="AN755" t="str">
        <f t="shared" si="44"/>
        <v>Afternoon</v>
      </c>
      <c r="AO755" t="str">
        <f t="shared" si="45"/>
        <v>Off-Peak</v>
      </c>
      <c r="AP755" t="str">
        <f t="shared" si="46"/>
        <v>Medium</v>
      </c>
      <c r="AQ755" t="str">
        <f t="shared" si="47"/>
        <v>Medium</v>
      </c>
    </row>
    <row r="756" spans="1:43" x14ac:dyDescent="0.3">
      <c r="A756">
        <v>755</v>
      </c>
      <c r="B756" t="s">
        <v>29</v>
      </c>
      <c r="C756" t="s">
        <v>30</v>
      </c>
      <c r="D756" s="1">
        <v>46040</v>
      </c>
      <c r="E756" t="s">
        <v>26</v>
      </c>
      <c r="F756">
        <v>1</v>
      </c>
      <c r="G756">
        <v>14</v>
      </c>
      <c r="H756" t="s">
        <v>43</v>
      </c>
      <c r="I756" t="s">
        <v>28</v>
      </c>
      <c r="J756">
        <v>1.03</v>
      </c>
      <c r="K756" t="s">
        <v>12</v>
      </c>
      <c r="L756">
        <v>0</v>
      </c>
      <c r="M756">
        <v>1.98</v>
      </c>
      <c r="N756">
        <v>39</v>
      </c>
      <c r="O756" t="s">
        <v>35</v>
      </c>
      <c r="P756">
        <v>14</v>
      </c>
      <c r="Q756">
        <v>8.43</v>
      </c>
      <c r="R756">
        <v>47</v>
      </c>
      <c r="S756">
        <v>108.58</v>
      </c>
      <c r="T756">
        <v>63.54</v>
      </c>
      <c r="U756">
        <v>1</v>
      </c>
      <c r="V756">
        <v>0</v>
      </c>
      <c r="W756">
        <v>172.12</v>
      </c>
      <c r="X756">
        <v>39.1</v>
      </c>
      <c r="Y756">
        <v>107.8</v>
      </c>
      <c r="Z756">
        <v>23.23</v>
      </c>
      <c r="AA756">
        <v>4.12</v>
      </c>
      <c r="AB756">
        <v>144.77000000000001</v>
      </c>
      <c r="AC756">
        <v>184.81276595744683</v>
      </c>
      <c r="AD756">
        <v>17.173190984578888</v>
      </c>
      <c r="AE756">
        <v>78.88</v>
      </c>
      <c r="AF756">
        <v>13.52</v>
      </c>
      <c r="AG756">
        <v>1</v>
      </c>
      <c r="AH756">
        <v>-2.35</v>
      </c>
      <c r="AI756">
        <v>36.65</v>
      </c>
      <c r="AJ756">
        <v>182.32</v>
      </c>
      <c r="AK756">
        <v>72.599999999999994</v>
      </c>
      <c r="AL756" t="s">
        <v>14</v>
      </c>
      <c r="AM756" t="s">
        <v>15</v>
      </c>
      <c r="AN756" t="str">
        <f t="shared" si="44"/>
        <v>Afternoon</v>
      </c>
      <c r="AO756" t="str">
        <f t="shared" si="45"/>
        <v>Off-Peak</v>
      </c>
      <c r="AP756" t="str">
        <f t="shared" si="46"/>
        <v>Medium</v>
      </c>
      <c r="AQ756" t="str">
        <f t="shared" si="47"/>
        <v>Medium</v>
      </c>
    </row>
    <row r="757" spans="1:43" x14ac:dyDescent="0.3">
      <c r="A757">
        <v>756</v>
      </c>
      <c r="B757" t="s">
        <v>29</v>
      </c>
      <c r="C757" t="s">
        <v>30</v>
      </c>
      <c r="D757" s="1">
        <v>46241</v>
      </c>
      <c r="E757" t="s">
        <v>9</v>
      </c>
      <c r="F757">
        <v>0</v>
      </c>
      <c r="G757">
        <v>20</v>
      </c>
      <c r="H757" t="s">
        <v>32</v>
      </c>
      <c r="I757" t="s">
        <v>20</v>
      </c>
      <c r="J757">
        <v>1.25</v>
      </c>
      <c r="K757" t="s">
        <v>12</v>
      </c>
      <c r="L757">
        <v>0</v>
      </c>
      <c r="M757">
        <v>3.23</v>
      </c>
      <c r="N757">
        <v>67</v>
      </c>
      <c r="O757" t="s">
        <v>35</v>
      </c>
      <c r="P757">
        <v>23</v>
      </c>
      <c r="Q757">
        <v>2.77</v>
      </c>
      <c r="R757">
        <v>32.1</v>
      </c>
      <c r="S757">
        <v>61.71</v>
      </c>
      <c r="T757">
        <v>74.430000000000007</v>
      </c>
      <c r="U757">
        <v>1</v>
      </c>
      <c r="V757">
        <v>0</v>
      </c>
      <c r="W757">
        <v>136.13999999999999</v>
      </c>
      <c r="X757">
        <v>39.1</v>
      </c>
      <c r="Y757">
        <v>108.66</v>
      </c>
      <c r="Z757">
        <v>7.7</v>
      </c>
      <c r="AA757">
        <v>10.93</v>
      </c>
      <c r="AB757">
        <v>117.51</v>
      </c>
      <c r="AC757">
        <v>219.64485981308411</v>
      </c>
      <c r="AD757">
        <v>42.422382671480143</v>
      </c>
      <c r="AE757">
        <v>59.19</v>
      </c>
      <c r="AF757">
        <v>15.93</v>
      </c>
      <c r="AG757">
        <v>1</v>
      </c>
      <c r="AH757">
        <v>-1.94</v>
      </c>
      <c r="AI757">
        <v>65.06</v>
      </c>
      <c r="AJ757">
        <v>234.38</v>
      </c>
      <c r="AK757">
        <v>82.84</v>
      </c>
      <c r="AL757" t="s">
        <v>14</v>
      </c>
      <c r="AM757" t="s">
        <v>15</v>
      </c>
      <c r="AN757" t="str">
        <f t="shared" si="44"/>
        <v>Night</v>
      </c>
      <c r="AO757" t="str">
        <f t="shared" si="45"/>
        <v>Peak</v>
      </c>
      <c r="AP757" t="str">
        <f t="shared" si="46"/>
        <v>Medium</v>
      </c>
      <c r="AQ757" t="str">
        <f t="shared" si="47"/>
        <v>Medium</v>
      </c>
    </row>
    <row r="758" spans="1:43" x14ac:dyDescent="0.3">
      <c r="A758">
        <v>757</v>
      </c>
      <c r="B758" t="s">
        <v>16</v>
      </c>
      <c r="C758" t="s">
        <v>17</v>
      </c>
      <c r="D758" s="1">
        <v>46221</v>
      </c>
      <c r="E758" t="s">
        <v>31</v>
      </c>
      <c r="F758">
        <v>1</v>
      </c>
      <c r="G758">
        <v>22</v>
      </c>
      <c r="H758" t="s">
        <v>19</v>
      </c>
      <c r="I758" t="s">
        <v>39</v>
      </c>
      <c r="J758">
        <v>1.05</v>
      </c>
      <c r="K758" t="s">
        <v>12</v>
      </c>
      <c r="L758">
        <v>0</v>
      </c>
      <c r="M758">
        <v>3.32</v>
      </c>
      <c r="N758">
        <v>49</v>
      </c>
      <c r="O758" t="s">
        <v>35</v>
      </c>
      <c r="P758">
        <v>11</v>
      </c>
      <c r="Q758">
        <v>1.46</v>
      </c>
      <c r="R758">
        <v>33.200000000000003</v>
      </c>
      <c r="S758">
        <v>70.19</v>
      </c>
      <c r="T758">
        <v>79.45</v>
      </c>
      <c r="U758">
        <v>1.06</v>
      </c>
      <c r="V758">
        <v>4.21</v>
      </c>
      <c r="W758">
        <v>153.85</v>
      </c>
      <c r="X758">
        <v>48.5</v>
      </c>
      <c r="Y758">
        <v>100.13</v>
      </c>
      <c r="Z758">
        <v>3.01</v>
      </c>
      <c r="AA758">
        <v>4.66</v>
      </c>
      <c r="AB758">
        <v>146.18</v>
      </c>
      <c r="AC758">
        <v>264.18072289156629</v>
      </c>
      <c r="AD758">
        <v>100.12328767123289</v>
      </c>
      <c r="AE758">
        <v>80.349999999999994</v>
      </c>
      <c r="AF758">
        <v>13.29</v>
      </c>
      <c r="AG758">
        <v>1</v>
      </c>
      <c r="AH758">
        <v>20.69</v>
      </c>
      <c r="AI758">
        <v>69.69</v>
      </c>
      <c r="AJ758">
        <v>228.19</v>
      </c>
      <c r="AK758">
        <v>60</v>
      </c>
      <c r="AL758" t="s">
        <v>23</v>
      </c>
      <c r="AM758" t="s">
        <v>24</v>
      </c>
      <c r="AN758" t="str">
        <f t="shared" si="44"/>
        <v>Night</v>
      </c>
      <c r="AO758" t="str">
        <f t="shared" si="45"/>
        <v>Off-Peak</v>
      </c>
      <c r="AP758" t="str">
        <f t="shared" si="46"/>
        <v>High</v>
      </c>
      <c r="AQ758" t="str">
        <f t="shared" si="47"/>
        <v>Medium</v>
      </c>
    </row>
    <row r="759" spans="1:43" x14ac:dyDescent="0.3">
      <c r="A759">
        <v>758</v>
      </c>
      <c r="B759" t="s">
        <v>48</v>
      </c>
      <c r="C759" t="s">
        <v>30</v>
      </c>
      <c r="D759" s="1">
        <v>46279</v>
      </c>
      <c r="E759" t="s">
        <v>38</v>
      </c>
      <c r="F759">
        <v>0</v>
      </c>
      <c r="G759">
        <v>11</v>
      </c>
      <c r="H759" t="s">
        <v>43</v>
      </c>
      <c r="I759" t="s">
        <v>39</v>
      </c>
      <c r="J759">
        <v>1.05</v>
      </c>
      <c r="K759" t="s">
        <v>12</v>
      </c>
      <c r="L759">
        <v>0</v>
      </c>
      <c r="M759">
        <v>4.4800000000000004</v>
      </c>
      <c r="N759">
        <v>18</v>
      </c>
      <c r="O759" t="s">
        <v>22</v>
      </c>
      <c r="P759">
        <v>3</v>
      </c>
      <c r="Q759">
        <v>8.02</v>
      </c>
      <c r="R759">
        <v>59.8</v>
      </c>
      <c r="S759">
        <v>110.49</v>
      </c>
      <c r="T759">
        <v>16.09</v>
      </c>
      <c r="U759">
        <v>1</v>
      </c>
      <c r="V759">
        <v>0</v>
      </c>
      <c r="W759">
        <v>126.58</v>
      </c>
      <c r="X759">
        <v>47.5</v>
      </c>
      <c r="Y759">
        <v>108.1</v>
      </c>
      <c r="Z759">
        <v>18.27</v>
      </c>
      <c r="AA759">
        <v>11.74</v>
      </c>
      <c r="AB759">
        <v>96.57</v>
      </c>
      <c r="AC759">
        <v>96.89297658862877</v>
      </c>
      <c r="AD759">
        <v>12.041147132169575</v>
      </c>
      <c r="AE759">
        <v>69.63</v>
      </c>
      <c r="AF759">
        <v>15.68</v>
      </c>
      <c r="AG759">
        <v>0</v>
      </c>
      <c r="AH759">
        <v>35.200000000000003</v>
      </c>
      <c r="AI759">
        <v>53.2</v>
      </c>
      <c r="AJ759">
        <v>88.95</v>
      </c>
      <c r="AK759">
        <v>60</v>
      </c>
      <c r="AL759" t="s">
        <v>14</v>
      </c>
      <c r="AM759" t="s">
        <v>15</v>
      </c>
      <c r="AN759" t="str">
        <f t="shared" si="44"/>
        <v>Afternoon</v>
      </c>
      <c r="AO759" t="str">
        <f t="shared" si="45"/>
        <v>Off-Peak</v>
      </c>
      <c r="AP759" t="str">
        <f t="shared" si="46"/>
        <v>Low</v>
      </c>
      <c r="AQ759" t="str">
        <f t="shared" si="47"/>
        <v>Low</v>
      </c>
    </row>
    <row r="760" spans="1:43" x14ac:dyDescent="0.3">
      <c r="A760">
        <v>759</v>
      </c>
      <c r="B760" t="s">
        <v>7</v>
      </c>
      <c r="C760" t="s">
        <v>8</v>
      </c>
      <c r="D760" s="1">
        <v>46195</v>
      </c>
      <c r="E760" t="s">
        <v>38</v>
      </c>
      <c r="F760">
        <v>0</v>
      </c>
      <c r="G760">
        <v>17</v>
      </c>
      <c r="H760" t="s">
        <v>32</v>
      </c>
      <c r="I760" t="s">
        <v>37</v>
      </c>
      <c r="J760">
        <v>1.02</v>
      </c>
      <c r="K760" t="s">
        <v>34</v>
      </c>
      <c r="L760">
        <v>1</v>
      </c>
      <c r="M760">
        <v>3.81</v>
      </c>
      <c r="N760">
        <v>44</v>
      </c>
      <c r="O760" t="s">
        <v>35</v>
      </c>
      <c r="P760">
        <v>17</v>
      </c>
      <c r="Q760">
        <v>8.7899999999999991</v>
      </c>
      <c r="R760">
        <v>62.6</v>
      </c>
      <c r="S760">
        <v>104.03</v>
      </c>
      <c r="T760">
        <v>34.479999999999997</v>
      </c>
      <c r="U760">
        <v>1</v>
      </c>
      <c r="V760">
        <v>0</v>
      </c>
      <c r="W760">
        <v>138.51</v>
      </c>
      <c r="X760">
        <v>36.6</v>
      </c>
      <c r="Y760">
        <v>109.81</v>
      </c>
      <c r="Z760">
        <v>26.4</v>
      </c>
      <c r="AA760">
        <v>6.92</v>
      </c>
      <c r="AB760">
        <v>105.19</v>
      </c>
      <c r="AC760">
        <v>100.82108626198082</v>
      </c>
      <c r="AD760">
        <v>11.967007963594995</v>
      </c>
      <c r="AE760">
        <v>74.64</v>
      </c>
      <c r="AF760">
        <v>19.149999999999999</v>
      </c>
      <c r="AG760">
        <v>0</v>
      </c>
      <c r="AH760">
        <v>-1.7</v>
      </c>
      <c r="AI760">
        <v>42.3</v>
      </c>
      <c r="AJ760">
        <v>112.27</v>
      </c>
      <c r="AK760">
        <v>78.290000000000006</v>
      </c>
      <c r="AL760" t="s">
        <v>23</v>
      </c>
      <c r="AM760" t="s">
        <v>24</v>
      </c>
      <c r="AN760" t="str">
        <f t="shared" si="44"/>
        <v>Evening</v>
      </c>
      <c r="AO760" t="str">
        <f t="shared" si="45"/>
        <v>Peak</v>
      </c>
      <c r="AP760" t="str">
        <f t="shared" si="46"/>
        <v>Low</v>
      </c>
      <c r="AQ760" t="str">
        <f t="shared" si="47"/>
        <v>Medium</v>
      </c>
    </row>
    <row r="761" spans="1:43" x14ac:dyDescent="0.3">
      <c r="A761">
        <v>760</v>
      </c>
      <c r="B761" t="s">
        <v>16</v>
      </c>
      <c r="C761" t="s">
        <v>17</v>
      </c>
      <c r="D761" s="1">
        <v>46248</v>
      </c>
      <c r="E761" t="s">
        <v>9</v>
      </c>
      <c r="F761">
        <v>0</v>
      </c>
      <c r="G761">
        <v>22</v>
      </c>
      <c r="H761" t="s">
        <v>19</v>
      </c>
      <c r="I761" t="s">
        <v>46</v>
      </c>
      <c r="J761">
        <v>1.1499999999999999</v>
      </c>
      <c r="K761" t="s">
        <v>12</v>
      </c>
      <c r="L761">
        <v>0</v>
      </c>
      <c r="M761">
        <v>2.69</v>
      </c>
      <c r="N761">
        <v>13</v>
      </c>
      <c r="O761" t="s">
        <v>22</v>
      </c>
      <c r="P761">
        <v>3</v>
      </c>
      <c r="Q761">
        <v>3.91</v>
      </c>
      <c r="R761">
        <v>43.6</v>
      </c>
      <c r="S761">
        <v>97.31</v>
      </c>
      <c r="T761">
        <v>15.04</v>
      </c>
      <c r="U761">
        <v>1</v>
      </c>
      <c r="V761">
        <v>0</v>
      </c>
      <c r="W761">
        <v>112.35</v>
      </c>
      <c r="X761">
        <v>43.7</v>
      </c>
      <c r="Y761">
        <v>100.3</v>
      </c>
      <c r="Z761">
        <v>8.9700000000000006</v>
      </c>
      <c r="AA761">
        <v>4.21</v>
      </c>
      <c r="AB761">
        <v>99.17</v>
      </c>
      <c r="AC761">
        <v>136.47247706422019</v>
      </c>
      <c r="AD761">
        <v>25.363171355498721</v>
      </c>
      <c r="AE761">
        <v>84.77</v>
      </c>
      <c r="AF761">
        <v>14.11</v>
      </c>
      <c r="AG761">
        <v>0</v>
      </c>
      <c r="AH761">
        <v>-16.829999999999998</v>
      </c>
      <c r="AI761">
        <v>5</v>
      </c>
      <c r="AJ761">
        <v>139.77000000000001</v>
      </c>
      <c r="AK761">
        <v>62.86</v>
      </c>
      <c r="AL761" t="s">
        <v>23</v>
      </c>
      <c r="AM761" t="s">
        <v>24</v>
      </c>
      <c r="AN761" t="str">
        <f t="shared" si="44"/>
        <v>Night</v>
      </c>
      <c r="AO761" t="str">
        <f t="shared" si="45"/>
        <v>Off-Peak</v>
      </c>
      <c r="AP761" t="str">
        <f t="shared" si="46"/>
        <v>Low</v>
      </c>
      <c r="AQ761" t="str">
        <f t="shared" si="47"/>
        <v>Low</v>
      </c>
    </row>
    <row r="762" spans="1:43" x14ac:dyDescent="0.3">
      <c r="A762">
        <v>761</v>
      </c>
      <c r="B762" t="s">
        <v>14</v>
      </c>
      <c r="C762" t="s">
        <v>8</v>
      </c>
      <c r="D762" s="1">
        <v>46053</v>
      </c>
      <c r="E762" t="s">
        <v>31</v>
      </c>
      <c r="F762">
        <v>1</v>
      </c>
      <c r="G762">
        <v>7</v>
      </c>
      <c r="H762" t="s">
        <v>49</v>
      </c>
      <c r="I762" t="s">
        <v>11</v>
      </c>
      <c r="J762">
        <v>1.18</v>
      </c>
      <c r="K762" t="s">
        <v>34</v>
      </c>
      <c r="L762">
        <v>1</v>
      </c>
      <c r="M762">
        <v>4.1100000000000003</v>
      </c>
      <c r="N762">
        <v>53</v>
      </c>
      <c r="O762" t="s">
        <v>35</v>
      </c>
      <c r="P762">
        <v>20</v>
      </c>
      <c r="Q762">
        <v>1.47</v>
      </c>
      <c r="R762">
        <v>33.299999999999997</v>
      </c>
      <c r="S762">
        <v>55.3</v>
      </c>
      <c r="T762">
        <v>58.21</v>
      </c>
      <c r="U762">
        <v>1</v>
      </c>
      <c r="V762">
        <v>0</v>
      </c>
      <c r="W762">
        <v>113.51</v>
      </c>
      <c r="X762">
        <v>38.4</v>
      </c>
      <c r="Y762">
        <v>107.25</v>
      </c>
      <c r="Z762">
        <v>4.0999999999999996</v>
      </c>
      <c r="AA762">
        <v>5.91</v>
      </c>
      <c r="AB762">
        <v>103.5</v>
      </c>
      <c r="AC762">
        <v>186.48648648648651</v>
      </c>
      <c r="AD762">
        <v>70.408163265306129</v>
      </c>
      <c r="AE762">
        <v>66.150000000000006</v>
      </c>
      <c r="AF762">
        <v>17.02</v>
      </c>
      <c r="AG762">
        <v>1</v>
      </c>
      <c r="AH762">
        <v>-0.52</v>
      </c>
      <c r="AI762">
        <v>52.48</v>
      </c>
      <c r="AJ762">
        <v>183.41</v>
      </c>
      <c r="AK762">
        <v>78.33</v>
      </c>
      <c r="AL762" t="s">
        <v>23</v>
      </c>
      <c r="AM762" t="s">
        <v>24</v>
      </c>
      <c r="AN762" t="str">
        <f t="shared" si="44"/>
        <v>Morning</v>
      </c>
      <c r="AO762" t="str">
        <f t="shared" si="45"/>
        <v>Peak</v>
      </c>
      <c r="AP762" t="str">
        <f t="shared" si="46"/>
        <v>Medium</v>
      </c>
      <c r="AQ762" t="str">
        <f t="shared" si="47"/>
        <v>Medium</v>
      </c>
    </row>
    <row r="763" spans="1:43" x14ac:dyDescent="0.3">
      <c r="A763">
        <v>762</v>
      </c>
      <c r="B763" t="s">
        <v>29</v>
      </c>
      <c r="C763" t="s">
        <v>30</v>
      </c>
      <c r="D763" s="1">
        <v>46252</v>
      </c>
      <c r="E763" t="s">
        <v>44</v>
      </c>
      <c r="F763">
        <v>0</v>
      </c>
      <c r="G763">
        <v>19</v>
      </c>
      <c r="H763" t="s">
        <v>32</v>
      </c>
      <c r="I763" t="s">
        <v>28</v>
      </c>
      <c r="J763">
        <v>1.03</v>
      </c>
      <c r="K763" t="s">
        <v>34</v>
      </c>
      <c r="L763">
        <v>1</v>
      </c>
      <c r="M763">
        <v>4.41</v>
      </c>
      <c r="N763">
        <v>93</v>
      </c>
      <c r="O763" t="s">
        <v>13</v>
      </c>
      <c r="P763">
        <v>33</v>
      </c>
      <c r="Q763">
        <v>1</v>
      </c>
      <c r="R763">
        <v>26.3</v>
      </c>
      <c r="S763">
        <v>56.76</v>
      </c>
      <c r="T763">
        <v>92.62</v>
      </c>
      <c r="U763">
        <v>1</v>
      </c>
      <c r="V763">
        <v>0</v>
      </c>
      <c r="W763">
        <v>149.38</v>
      </c>
      <c r="X763">
        <v>38.200000000000003</v>
      </c>
      <c r="Y763">
        <v>109.99</v>
      </c>
      <c r="Z763">
        <v>2.88</v>
      </c>
      <c r="AA763">
        <v>3.83</v>
      </c>
      <c r="AB763">
        <v>142.66999999999999</v>
      </c>
      <c r="AC763">
        <v>325.48288973384024</v>
      </c>
      <c r="AD763">
        <v>142.66999999999999</v>
      </c>
      <c r="AE763">
        <v>81.62</v>
      </c>
      <c r="AF763">
        <v>14.95</v>
      </c>
      <c r="AG763">
        <v>1</v>
      </c>
      <c r="AH763">
        <v>5.91</v>
      </c>
      <c r="AI763">
        <v>98.91</v>
      </c>
      <c r="AJ763">
        <v>321.5</v>
      </c>
      <c r="AK763">
        <v>80</v>
      </c>
      <c r="AL763" t="s">
        <v>23</v>
      </c>
      <c r="AM763" t="s">
        <v>24</v>
      </c>
      <c r="AN763" t="str">
        <f t="shared" si="44"/>
        <v>Night</v>
      </c>
      <c r="AO763" t="str">
        <f t="shared" si="45"/>
        <v>Peak</v>
      </c>
      <c r="AP763" t="str">
        <f t="shared" si="46"/>
        <v>High</v>
      </c>
      <c r="AQ763" t="str">
        <f t="shared" si="47"/>
        <v>High</v>
      </c>
    </row>
    <row r="764" spans="1:43" x14ac:dyDescent="0.3">
      <c r="A764">
        <v>763</v>
      </c>
      <c r="B764" t="s">
        <v>23</v>
      </c>
      <c r="C764" t="s">
        <v>17</v>
      </c>
      <c r="D764" s="1">
        <v>46064</v>
      </c>
      <c r="E764" t="s">
        <v>18</v>
      </c>
      <c r="F764">
        <v>0</v>
      </c>
      <c r="G764">
        <v>14</v>
      </c>
      <c r="H764" t="s">
        <v>19</v>
      </c>
      <c r="I764" t="s">
        <v>46</v>
      </c>
      <c r="J764">
        <v>1.1499999999999999</v>
      </c>
      <c r="K764" t="s">
        <v>12</v>
      </c>
      <c r="L764">
        <v>0</v>
      </c>
      <c r="M764">
        <v>2.7</v>
      </c>
      <c r="N764">
        <v>36</v>
      </c>
      <c r="O764" t="s">
        <v>35</v>
      </c>
      <c r="P764">
        <v>8</v>
      </c>
      <c r="Q764">
        <v>4.96</v>
      </c>
      <c r="R764">
        <v>41.9</v>
      </c>
      <c r="S764">
        <v>124.44</v>
      </c>
      <c r="T764">
        <v>63.42</v>
      </c>
      <c r="U764">
        <v>1.0900000000000001</v>
      </c>
      <c r="V764">
        <v>11.2</v>
      </c>
      <c r="W764">
        <v>199.06</v>
      </c>
      <c r="X764">
        <v>44.2</v>
      </c>
      <c r="Y764">
        <v>107.97</v>
      </c>
      <c r="Z764">
        <v>12.11</v>
      </c>
      <c r="AA764">
        <v>10.34</v>
      </c>
      <c r="AB764">
        <v>176.61</v>
      </c>
      <c r="AC764">
        <v>252.90214797136039</v>
      </c>
      <c r="AD764">
        <v>35.60685483870968</v>
      </c>
      <c r="AE764">
        <v>81.23</v>
      </c>
      <c r="AF764">
        <v>14.47</v>
      </c>
      <c r="AG764">
        <v>0</v>
      </c>
      <c r="AH764">
        <v>2.2000000000000002</v>
      </c>
      <c r="AI764">
        <v>38.200000000000003</v>
      </c>
      <c r="AJ764">
        <v>262.23</v>
      </c>
      <c r="AK764">
        <v>69.38</v>
      </c>
      <c r="AL764" t="s">
        <v>14</v>
      </c>
      <c r="AM764" t="s">
        <v>15</v>
      </c>
      <c r="AN764" t="str">
        <f t="shared" si="44"/>
        <v>Afternoon</v>
      </c>
      <c r="AO764" t="str">
        <f t="shared" si="45"/>
        <v>Off-Peak</v>
      </c>
      <c r="AP764" t="str">
        <f t="shared" si="46"/>
        <v>High</v>
      </c>
      <c r="AQ764" t="str">
        <f t="shared" si="47"/>
        <v>Medium</v>
      </c>
    </row>
    <row r="765" spans="1:43" x14ac:dyDescent="0.3">
      <c r="A765">
        <v>764</v>
      </c>
      <c r="B765" t="s">
        <v>23</v>
      </c>
      <c r="C765" t="s">
        <v>17</v>
      </c>
      <c r="D765" s="1">
        <v>46104</v>
      </c>
      <c r="E765" t="s">
        <v>38</v>
      </c>
      <c r="F765">
        <v>0</v>
      </c>
      <c r="G765">
        <v>22</v>
      </c>
      <c r="H765" t="s">
        <v>19</v>
      </c>
      <c r="I765" t="s">
        <v>11</v>
      </c>
      <c r="J765">
        <v>1.18</v>
      </c>
      <c r="K765" t="s">
        <v>21</v>
      </c>
      <c r="L765">
        <v>0</v>
      </c>
      <c r="M765">
        <v>2.23</v>
      </c>
      <c r="N765">
        <v>14</v>
      </c>
      <c r="O765" t="s">
        <v>22</v>
      </c>
      <c r="P765">
        <v>2</v>
      </c>
      <c r="Q765">
        <v>2.44</v>
      </c>
      <c r="R765">
        <v>23.8</v>
      </c>
      <c r="S765">
        <v>82.93</v>
      </c>
      <c r="T765">
        <v>20.79</v>
      </c>
      <c r="U765">
        <v>1.1100000000000001</v>
      </c>
      <c r="V765">
        <v>9.1199999999999992</v>
      </c>
      <c r="W765">
        <v>112.84</v>
      </c>
      <c r="X765">
        <v>36.9</v>
      </c>
      <c r="Y765">
        <v>105.05</v>
      </c>
      <c r="Z765">
        <v>6.94</v>
      </c>
      <c r="AA765">
        <v>3.2</v>
      </c>
      <c r="AB765">
        <v>102.7</v>
      </c>
      <c r="AC765">
        <v>258.9075630252101</v>
      </c>
      <c r="AD765">
        <v>42.090163934426229</v>
      </c>
      <c r="AE765">
        <v>74.48</v>
      </c>
      <c r="AF765">
        <v>17.72</v>
      </c>
      <c r="AG765">
        <v>0</v>
      </c>
      <c r="AH765">
        <v>12.16</v>
      </c>
      <c r="AI765">
        <v>26.16</v>
      </c>
      <c r="AJ765">
        <v>254.53</v>
      </c>
      <c r="AK765">
        <v>62</v>
      </c>
      <c r="AL765" t="s">
        <v>23</v>
      </c>
      <c r="AM765" t="s">
        <v>24</v>
      </c>
      <c r="AN765" t="str">
        <f t="shared" si="44"/>
        <v>Night</v>
      </c>
      <c r="AO765" t="str">
        <f t="shared" si="45"/>
        <v>Off-Peak</v>
      </c>
      <c r="AP765" t="str">
        <f t="shared" si="46"/>
        <v>High</v>
      </c>
      <c r="AQ765" t="str">
        <f t="shared" si="47"/>
        <v>Low</v>
      </c>
    </row>
    <row r="766" spans="1:43" x14ac:dyDescent="0.3">
      <c r="A766">
        <v>765</v>
      </c>
      <c r="B766" t="s">
        <v>48</v>
      </c>
      <c r="C766" t="s">
        <v>30</v>
      </c>
      <c r="D766" s="1">
        <v>46056</v>
      </c>
      <c r="E766" t="s">
        <v>44</v>
      </c>
      <c r="F766">
        <v>0</v>
      </c>
      <c r="G766">
        <v>16</v>
      </c>
      <c r="H766" t="s">
        <v>32</v>
      </c>
      <c r="I766" t="s">
        <v>11</v>
      </c>
      <c r="J766">
        <v>1.18</v>
      </c>
      <c r="K766" t="s">
        <v>12</v>
      </c>
      <c r="L766">
        <v>0</v>
      </c>
      <c r="M766">
        <v>4.13</v>
      </c>
      <c r="N766">
        <v>34</v>
      </c>
      <c r="O766" t="s">
        <v>22</v>
      </c>
      <c r="P766">
        <v>9</v>
      </c>
      <c r="Q766">
        <v>3.74</v>
      </c>
      <c r="R766">
        <v>43.4</v>
      </c>
      <c r="S766">
        <v>83.71</v>
      </c>
      <c r="T766">
        <v>40.24</v>
      </c>
      <c r="U766">
        <v>1</v>
      </c>
      <c r="V766">
        <v>0</v>
      </c>
      <c r="W766">
        <v>123.95</v>
      </c>
      <c r="X766">
        <v>42</v>
      </c>
      <c r="Y766">
        <v>108.85</v>
      </c>
      <c r="Z766">
        <v>9.67</v>
      </c>
      <c r="AA766">
        <v>10.74</v>
      </c>
      <c r="AB766">
        <v>103.54</v>
      </c>
      <c r="AC766">
        <v>143.14285714285717</v>
      </c>
      <c r="AD766">
        <v>27.684491978609625</v>
      </c>
      <c r="AE766">
        <v>61.81</v>
      </c>
      <c r="AF766">
        <v>16.829999999999998</v>
      </c>
      <c r="AG766">
        <v>0</v>
      </c>
      <c r="AH766">
        <v>36.18</v>
      </c>
      <c r="AI766">
        <v>70.180000000000007</v>
      </c>
      <c r="AJ766">
        <v>151.26</v>
      </c>
      <c r="AK766">
        <v>61.48</v>
      </c>
      <c r="AL766" t="s">
        <v>14</v>
      </c>
      <c r="AM766" t="s">
        <v>15</v>
      </c>
      <c r="AN766" t="str">
        <f t="shared" si="44"/>
        <v>Evening</v>
      </c>
      <c r="AO766" t="str">
        <f t="shared" si="45"/>
        <v>Off-Peak</v>
      </c>
      <c r="AP766" t="str">
        <f t="shared" si="46"/>
        <v>Low</v>
      </c>
      <c r="AQ766" t="str">
        <f t="shared" si="47"/>
        <v>Low</v>
      </c>
    </row>
    <row r="767" spans="1:43" x14ac:dyDescent="0.3">
      <c r="A767">
        <v>766</v>
      </c>
      <c r="B767" t="s">
        <v>16</v>
      </c>
      <c r="C767" t="s">
        <v>17</v>
      </c>
      <c r="D767" s="1">
        <v>46126</v>
      </c>
      <c r="E767" t="s">
        <v>44</v>
      </c>
      <c r="F767">
        <v>0</v>
      </c>
      <c r="G767">
        <v>20</v>
      </c>
      <c r="H767" t="s">
        <v>40</v>
      </c>
      <c r="I767" t="s">
        <v>33</v>
      </c>
      <c r="J767">
        <v>1</v>
      </c>
      <c r="K767" t="s">
        <v>21</v>
      </c>
      <c r="L767">
        <v>0</v>
      </c>
      <c r="M767">
        <v>2.0699999999999998</v>
      </c>
      <c r="N767">
        <v>61</v>
      </c>
      <c r="O767" t="s">
        <v>35</v>
      </c>
      <c r="P767">
        <v>13</v>
      </c>
      <c r="Q767">
        <v>3.45</v>
      </c>
      <c r="R767">
        <v>34.4</v>
      </c>
      <c r="S767">
        <v>103.55</v>
      </c>
      <c r="T767">
        <v>67.28</v>
      </c>
      <c r="U767">
        <v>1.33</v>
      </c>
      <c r="V767">
        <v>34.17</v>
      </c>
      <c r="W767">
        <v>205</v>
      </c>
      <c r="X767">
        <v>38.799999999999997</v>
      </c>
      <c r="Y767">
        <v>107.08</v>
      </c>
      <c r="Z767">
        <v>9.52</v>
      </c>
      <c r="AA767">
        <v>2.46</v>
      </c>
      <c r="AB767">
        <v>193.02</v>
      </c>
      <c r="AC767">
        <v>336.66279069767444</v>
      </c>
      <c r="AD767">
        <v>55.947826086956525</v>
      </c>
      <c r="AE767">
        <v>87.68</v>
      </c>
      <c r="AF767">
        <v>12.25</v>
      </c>
      <c r="AG767">
        <v>1</v>
      </c>
      <c r="AH767">
        <v>-22.7</v>
      </c>
      <c r="AI767">
        <v>38.299999999999997</v>
      </c>
      <c r="AJ767">
        <v>350.47</v>
      </c>
      <c r="AK767">
        <v>65.53</v>
      </c>
      <c r="AL767" t="s">
        <v>23</v>
      </c>
      <c r="AM767" t="s">
        <v>24</v>
      </c>
      <c r="AN767" t="str">
        <f t="shared" si="44"/>
        <v>Night</v>
      </c>
      <c r="AO767" t="str">
        <f t="shared" si="45"/>
        <v>Peak</v>
      </c>
      <c r="AP767" t="str">
        <f t="shared" si="46"/>
        <v>High</v>
      </c>
      <c r="AQ767" t="str">
        <f t="shared" si="47"/>
        <v>Medium</v>
      </c>
    </row>
    <row r="768" spans="1:43" x14ac:dyDescent="0.3">
      <c r="A768">
        <v>767</v>
      </c>
      <c r="B768" t="s">
        <v>25</v>
      </c>
      <c r="C768" t="s">
        <v>17</v>
      </c>
      <c r="D768" s="1">
        <v>46216</v>
      </c>
      <c r="E768" t="s">
        <v>38</v>
      </c>
      <c r="F768">
        <v>0</v>
      </c>
      <c r="G768">
        <v>9</v>
      </c>
      <c r="H768" t="s">
        <v>27</v>
      </c>
      <c r="I768" t="s">
        <v>50</v>
      </c>
      <c r="J768">
        <v>1.2</v>
      </c>
      <c r="K768" t="s">
        <v>12</v>
      </c>
      <c r="L768">
        <v>0</v>
      </c>
      <c r="M768">
        <v>4.74</v>
      </c>
      <c r="N768">
        <v>72</v>
      </c>
      <c r="O768" t="s">
        <v>13</v>
      </c>
      <c r="P768">
        <v>9</v>
      </c>
      <c r="Q768">
        <v>1.99</v>
      </c>
      <c r="R768">
        <v>29.1</v>
      </c>
      <c r="S768">
        <v>85.19</v>
      </c>
      <c r="T768">
        <v>76.02</v>
      </c>
      <c r="U768">
        <v>1.31</v>
      </c>
      <c r="V768">
        <v>26.41</v>
      </c>
      <c r="W768">
        <v>187.62</v>
      </c>
      <c r="X768">
        <v>47.8</v>
      </c>
      <c r="Y768">
        <v>102.92</v>
      </c>
      <c r="Z768">
        <v>4.28</v>
      </c>
      <c r="AA768">
        <v>5</v>
      </c>
      <c r="AB768">
        <v>178.34</v>
      </c>
      <c r="AC768">
        <v>367.71134020618553</v>
      </c>
      <c r="AD768">
        <v>89.618090452261313</v>
      </c>
      <c r="AE768">
        <v>76.069999999999993</v>
      </c>
      <c r="AF768">
        <v>16.05</v>
      </c>
      <c r="AG768">
        <v>1</v>
      </c>
      <c r="AH768">
        <v>-4.6100000000000003</v>
      </c>
      <c r="AI768">
        <v>67.39</v>
      </c>
      <c r="AJ768">
        <v>369.53</v>
      </c>
      <c r="AK768">
        <v>70.86</v>
      </c>
      <c r="AL768" t="s">
        <v>23</v>
      </c>
      <c r="AM768" t="s">
        <v>24</v>
      </c>
      <c r="AN768" t="str">
        <f t="shared" si="44"/>
        <v>Morning</v>
      </c>
      <c r="AO768" t="str">
        <f t="shared" si="45"/>
        <v>Peak</v>
      </c>
      <c r="AP768" t="str">
        <f t="shared" si="46"/>
        <v>High</v>
      </c>
      <c r="AQ768" t="str">
        <f t="shared" si="47"/>
        <v>High</v>
      </c>
    </row>
    <row r="769" spans="1:43" x14ac:dyDescent="0.3">
      <c r="A769">
        <v>768</v>
      </c>
      <c r="B769" t="s">
        <v>29</v>
      </c>
      <c r="C769" t="s">
        <v>30</v>
      </c>
      <c r="D769" s="1">
        <v>46092</v>
      </c>
      <c r="E769" t="s">
        <v>18</v>
      </c>
      <c r="F769">
        <v>0</v>
      </c>
      <c r="G769">
        <v>9</v>
      </c>
      <c r="H769" t="s">
        <v>47</v>
      </c>
      <c r="I769" t="s">
        <v>20</v>
      </c>
      <c r="J769">
        <v>1.25</v>
      </c>
      <c r="K769" t="s">
        <v>12</v>
      </c>
      <c r="L769">
        <v>0</v>
      </c>
      <c r="M769">
        <v>2.63</v>
      </c>
      <c r="N769">
        <v>45</v>
      </c>
      <c r="O769" t="s">
        <v>35</v>
      </c>
      <c r="P769">
        <v>11</v>
      </c>
      <c r="Q769">
        <v>1</v>
      </c>
      <c r="R769">
        <v>23.9</v>
      </c>
      <c r="S769">
        <v>62.8</v>
      </c>
      <c r="T769">
        <v>55.76</v>
      </c>
      <c r="U769">
        <v>1</v>
      </c>
      <c r="V769">
        <v>0</v>
      </c>
      <c r="W769">
        <v>118.56</v>
      </c>
      <c r="X769">
        <v>43.3</v>
      </c>
      <c r="Y769">
        <v>102.24</v>
      </c>
      <c r="Z769">
        <v>2.36</v>
      </c>
      <c r="AA769">
        <v>3.4</v>
      </c>
      <c r="AB769">
        <v>112.8</v>
      </c>
      <c r="AC769">
        <v>283.17991631799163</v>
      </c>
      <c r="AD769">
        <v>112.8</v>
      </c>
      <c r="AE769">
        <v>71.38</v>
      </c>
      <c r="AF769">
        <v>13.36</v>
      </c>
      <c r="AG769">
        <v>0</v>
      </c>
      <c r="AH769">
        <v>26.12</v>
      </c>
      <c r="AI769">
        <v>71.12</v>
      </c>
      <c r="AJ769">
        <v>299.37</v>
      </c>
      <c r="AK769">
        <v>64.790000000000006</v>
      </c>
      <c r="AL769" t="s">
        <v>23</v>
      </c>
      <c r="AM769" t="s">
        <v>24</v>
      </c>
      <c r="AN769" t="str">
        <f t="shared" si="44"/>
        <v>Morning</v>
      </c>
      <c r="AO769" t="str">
        <f t="shared" si="45"/>
        <v>Peak</v>
      </c>
      <c r="AP769" t="str">
        <f t="shared" si="46"/>
        <v>High</v>
      </c>
      <c r="AQ769" t="str">
        <f t="shared" si="47"/>
        <v>Medium</v>
      </c>
    </row>
    <row r="770" spans="1:43" x14ac:dyDescent="0.3">
      <c r="A770">
        <v>769</v>
      </c>
      <c r="B770" t="s">
        <v>7</v>
      </c>
      <c r="C770" t="s">
        <v>8</v>
      </c>
      <c r="D770" s="1">
        <v>46235</v>
      </c>
      <c r="E770" t="s">
        <v>31</v>
      </c>
      <c r="F770">
        <v>1</v>
      </c>
      <c r="G770">
        <v>21</v>
      </c>
      <c r="H770" t="s">
        <v>51</v>
      </c>
      <c r="I770" t="s">
        <v>11</v>
      </c>
      <c r="J770">
        <v>1.18</v>
      </c>
      <c r="K770" t="s">
        <v>12</v>
      </c>
      <c r="L770">
        <v>0</v>
      </c>
      <c r="M770">
        <v>3.77</v>
      </c>
      <c r="N770">
        <v>101</v>
      </c>
      <c r="O770" t="s">
        <v>13</v>
      </c>
      <c r="P770">
        <v>47</v>
      </c>
      <c r="Q770">
        <v>2.83</v>
      </c>
      <c r="R770">
        <v>35.200000000000003</v>
      </c>
      <c r="S770">
        <v>72.599999999999994</v>
      </c>
      <c r="T770">
        <v>99.14</v>
      </c>
      <c r="U770">
        <v>1</v>
      </c>
      <c r="V770">
        <v>0</v>
      </c>
      <c r="W770">
        <v>171.74</v>
      </c>
      <c r="X770">
        <v>38.200000000000003</v>
      </c>
      <c r="Y770">
        <v>105.13</v>
      </c>
      <c r="Z770">
        <v>7.78</v>
      </c>
      <c r="AA770">
        <v>8.85</v>
      </c>
      <c r="AB770">
        <v>155.11000000000001</v>
      </c>
      <c r="AC770">
        <v>264.3920454545455</v>
      </c>
      <c r="AD770">
        <v>54.809187279151949</v>
      </c>
      <c r="AE770">
        <v>77.599999999999994</v>
      </c>
      <c r="AF770">
        <v>12.78</v>
      </c>
      <c r="AG770">
        <v>1</v>
      </c>
      <c r="AH770">
        <v>-4.83</v>
      </c>
      <c r="AI770">
        <v>96.17</v>
      </c>
      <c r="AJ770">
        <v>263.23</v>
      </c>
      <c r="AK770">
        <v>79.17</v>
      </c>
      <c r="AL770" t="s">
        <v>14</v>
      </c>
      <c r="AM770" t="s">
        <v>15</v>
      </c>
      <c r="AN770" t="str">
        <f t="shared" si="44"/>
        <v>Night</v>
      </c>
      <c r="AO770" t="str">
        <f t="shared" si="45"/>
        <v>Off-Peak</v>
      </c>
      <c r="AP770" t="str">
        <f t="shared" si="46"/>
        <v>High</v>
      </c>
      <c r="AQ770" t="str">
        <f t="shared" si="47"/>
        <v>High</v>
      </c>
    </row>
    <row r="771" spans="1:43" x14ac:dyDescent="0.3">
      <c r="A771">
        <v>770</v>
      </c>
      <c r="B771" t="s">
        <v>48</v>
      </c>
      <c r="C771" t="s">
        <v>30</v>
      </c>
      <c r="D771" s="1">
        <v>46179</v>
      </c>
      <c r="E771" t="s">
        <v>31</v>
      </c>
      <c r="F771">
        <v>1</v>
      </c>
      <c r="G771">
        <v>15</v>
      </c>
      <c r="H771" t="s">
        <v>43</v>
      </c>
      <c r="I771" t="s">
        <v>46</v>
      </c>
      <c r="J771">
        <v>1.1499999999999999</v>
      </c>
      <c r="K771" t="s">
        <v>12</v>
      </c>
      <c r="L771">
        <v>0</v>
      </c>
      <c r="M771">
        <v>4.3499999999999996</v>
      </c>
      <c r="N771">
        <v>55</v>
      </c>
      <c r="O771" t="s">
        <v>35</v>
      </c>
      <c r="P771">
        <v>11</v>
      </c>
      <c r="Q771">
        <v>4.34</v>
      </c>
      <c r="R771">
        <v>47.7</v>
      </c>
      <c r="S771">
        <v>90.57</v>
      </c>
      <c r="T771">
        <v>51.07</v>
      </c>
      <c r="U771">
        <v>1</v>
      </c>
      <c r="V771">
        <v>0</v>
      </c>
      <c r="W771">
        <v>141.63999999999999</v>
      </c>
      <c r="X771">
        <v>48.9</v>
      </c>
      <c r="Y771">
        <v>103.73</v>
      </c>
      <c r="Z771">
        <v>9.1999999999999993</v>
      </c>
      <c r="AA771">
        <v>7.12</v>
      </c>
      <c r="AB771">
        <v>125.32</v>
      </c>
      <c r="AC771">
        <v>157.63522012578613</v>
      </c>
      <c r="AD771">
        <v>28.875576036866359</v>
      </c>
      <c r="AE771">
        <v>73.34</v>
      </c>
      <c r="AF771">
        <v>15.61</v>
      </c>
      <c r="AG771">
        <v>1</v>
      </c>
      <c r="AH771">
        <v>14.84</v>
      </c>
      <c r="AI771">
        <v>69.84</v>
      </c>
      <c r="AJ771">
        <v>175.62</v>
      </c>
      <c r="AK771">
        <v>65.52</v>
      </c>
      <c r="AL771" t="s">
        <v>14</v>
      </c>
      <c r="AM771" t="s">
        <v>15</v>
      </c>
      <c r="AN771" t="str">
        <f t="shared" ref="AN771:AN834" si="48">IF(G771&lt;11,"Morning",IF(G771&lt;15,"Afternoon",IF(G771&lt;18,"Evening","Night")))</f>
        <v>Evening</v>
      </c>
      <c r="AO771" t="str">
        <f t="shared" ref="AO771:AO834" si="49">IF(OR(AND(G771&gt;=7,G771&lt;=10),AND(G771&gt;=17,G771&lt;=20)),"Peak","Off-Peak")</f>
        <v>Off-Peak</v>
      </c>
      <c r="AP771" t="str">
        <f t="shared" ref="AP771:AP834" si="50">IF(AC771&lt;150,"Low",IF(AC771&lt;=250,"Medium","High"))</f>
        <v>Medium</v>
      </c>
      <c r="AQ771" t="str">
        <f t="shared" ref="AQ771:AQ834" si="51">IF(N771&lt;=35,"Low",IF(N771&lt;=70,"Medium","High"))</f>
        <v>Medium</v>
      </c>
    </row>
    <row r="772" spans="1:43" x14ac:dyDescent="0.3">
      <c r="A772">
        <v>771</v>
      </c>
      <c r="B772" t="s">
        <v>25</v>
      </c>
      <c r="C772" t="s">
        <v>17</v>
      </c>
      <c r="D772" s="1">
        <v>46185</v>
      </c>
      <c r="E772" t="s">
        <v>9</v>
      </c>
      <c r="F772">
        <v>0</v>
      </c>
      <c r="G772">
        <v>15</v>
      </c>
      <c r="H772" t="s">
        <v>19</v>
      </c>
      <c r="I772" t="s">
        <v>11</v>
      </c>
      <c r="J772">
        <v>1.18</v>
      </c>
      <c r="K772" t="s">
        <v>34</v>
      </c>
      <c r="L772">
        <v>1</v>
      </c>
      <c r="M772">
        <v>2.93</v>
      </c>
      <c r="N772">
        <v>67</v>
      </c>
      <c r="O772" t="s">
        <v>35</v>
      </c>
      <c r="P772">
        <v>11</v>
      </c>
      <c r="Q772">
        <v>4.4800000000000004</v>
      </c>
      <c r="R772">
        <v>44</v>
      </c>
      <c r="S772">
        <v>133.66999999999999</v>
      </c>
      <c r="T772">
        <v>62.83</v>
      </c>
      <c r="U772">
        <v>1.0900000000000001</v>
      </c>
      <c r="V772">
        <v>12.03</v>
      </c>
      <c r="W772">
        <v>208.53</v>
      </c>
      <c r="X772">
        <v>47.3</v>
      </c>
      <c r="Y772">
        <v>103.29</v>
      </c>
      <c r="Z772">
        <v>9.7799999999999994</v>
      </c>
      <c r="AA772">
        <v>11.39</v>
      </c>
      <c r="AB772">
        <v>187.36</v>
      </c>
      <c r="AC772">
        <v>255.49090909090913</v>
      </c>
      <c r="AD772">
        <v>41.821428571428569</v>
      </c>
      <c r="AE772">
        <v>67.84</v>
      </c>
      <c r="AF772">
        <v>17.37</v>
      </c>
      <c r="AG772">
        <v>0</v>
      </c>
      <c r="AH772">
        <v>12.46</v>
      </c>
      <c r="AI772">
        <v>79.459999999999994</v>
      </c>
      <c r="AJ772">
        <v>280.07</v>
      </c>
      <c r="AK772">
        <v>73.349999999999994</v>
      </c>
      <c r="AL772" t="s">
        <v>23</v>
      </c>
      <c r="AM772" t="s">
        <v>24</v>
      </c>
      <c r="AN772" t="str">
        <f t="shared" si="48"/>
        <v>Evening</v>
      </c>
      <c r="AO772" t="str">
        <f t="shared" si="49"/>
        <v>Off-Peak</v>
      </c>
      <c r="AP772" t="str">
        <f t="shared" si="50"/>
        <v>High</v>
      </c>
      <c r="AQ772" t="str">
        <f t="shared" si="51"/>
        <v>Medium</v>
      </c>
    </row>
    <row r="773" spans="1:43" x14ac:dyDescent="0.3">
      <c r="A773">
        <v>772</v>
      </c>
      <c r="B773" t="s">
        <v>23</v>
      </c>
      <c r="C773" t="s">
        <v>17</v>
      </c>
      <c r="D773" s="1">
        <v>46265</v>
      </c>
      <c r="E773" t="s">
        <v>38</v>
      </c>
      <c r="F773">
        <v>0</v>
      </c>
      <c r="G773">
        <v>9</v>
      </c>
      <c r="H773" t="s">
        <v>27</v>
      </c>
      <c r="I773" t="s">
        <v>28</v>
      </c>
      <c r="J773">
        <v>1.03</v>
      </c>
      <c r="K773" t="s">
        <v>21</v>
      </c>
      <c r="L773">
        <v>0</v>
      </c>
      <c r="M773">
        <v>3.56</v>
      </c>
      <c r="N773">
        <v>59</v>
      </c>
      <c r="O773" t="s">
        <v>35</v>
      </c>
      <c r="P773">
        <v>13</v>
      </c>
      <c r="Q773">
        <v>2.3199999999999998</v>
      </c>
      <c r="R773">
        <v>35</v>
      </c>
      <c r="S773">
        <v>89.85</v>
      </c>
      <c r="T773">
        <v>83.61</v>
      </c>
      <c r="U773">
        <v>1.23</v>
      </c>
      <c r="V773">
        <v>20.67</v>
      </c>
      <c r="W773">
        <v>194.13</v>
      </c>
      <c r="X773">
        <v>39</v>
      </c>
      <c r="Y773">
        <v>101.78</v>
      </c>
      <c r="Z773">
        <v>6.05</v>
      </c>
      <c r="AA773">
        <v>5.66</v>
      </c>
      <c r="AB773">
        <v>182.42</v>
      </c>
      <c r="AC773">
        <v>312.71999999999997</v>
      </c>
      <c r="AD773">
        <v>78.629310344827587</v>
      </c>
      <c r="AE773">
        <v>78.040000000000006</v>
      </c>
      <c r="AF773">
        <v>16.690000000000001</v>
      </c>
      <c r="AG773">
        <v>1</v>
      </c>
      <c r="AH773">
        <v>21.55</v>
      </c>
      <c r="AI773">
        <v>80.55</v>
      </c>
      <c r="AJ773">
        <v>336.21</v>
      </c>
      <c r="AK773">
        <v>71.3</v>
      </c>
      <c r="AL773" t="s">
        <v>23</v>
      </c>
      <c r="AM773" t="s">
        <v>24</v>
      </c>
      <c r="AN773" t="str">
        <f t="shared" si="48"/>
        <v>Morning</v>
      </c>
      <c r="AO773" t="str">
        <f t="shared" si="49"/>
        <v>Peak</v>
      </c>
      <c r="AP773" t="str">
        <f t="shared" si="50"/>
        <v>High</v>
      </c>
      <c r="AQ773" t="str">
        <f t="shared" si="51"/>
        <v>Medium</v>
      </c>
    </row>
    <row r="774" spans="1:43" x14ac:dyDescent="0.3">
      <c r="A774">
        <v>773</v>
      </c>
      <c r="B774" t="s">
        <v>7</v>
      </c>
      <c r="C774" t="s">
        <v>8</v>
      </c>
      <c r="D774" s="1">
        <v>46134</v>
      </c>
      <c r="E774" t="s">
        <v>18</v>
      </c>
      <c r="F774">
        <v>0</v>
      </c>
      <c r="G774">
        <v>10</v>
      </c>
      <c r="H774" t="s">
        <v>49</v>
      </c>
      <c r="I774" t="s">
        <v>37</v>
      </c>
      <c r="J774">
        <v>1.02</v>
      </c>
      <c r="K774" t="s">
        <v>21</v>
      </c>
      <c r="L774">
        <v>0</v>
      </c>
      <c r="M774">
        <v>2.9</v>
      </c>
      <c r="N774">
        <v>11</v>
      </c>
      <c r="O774" t="s">
        <v>22</v>
      </c>
      <c r="P774">
        <v>5</v>
      </c>
      <c r="Q774">
        <v>8.68</v>
      </c>
      <c r="R774">
        <v>57.1</v>
      </c>
      <c r="S774">
        <v>109.86</v>
      </c>
      <c r="T774">
        <v>11.15</v>
      </c>
      <c r="U774">
        <v>1</v>
      </c>
      <c r="V774">
        <v>0</v>
      </c>
      <c r="W774">
        <v>121.01</v>
      </c>
      <c r="X774">
        <v>49.4</v>
      </c>
      <c r="Y774">
        <v>108.45</v>
      </c>
      <c r="Z774">
        <v>19.05</v>
      </c>
      <c r="AA774">
        <v>2.41</v>
      </c>
      <c r="AB774">
        <v>99.55</v>
      </c>
      <c r="AC774">
        <v>104.60595446584938</v>
      </c>
      <c r="AD774">
        <v>11.468894009216591</v>
      </c>
      <c r="AE774">
        <v>68.099999999999994</v>
      </c>
      <c r="AF774">
        <v>15.27</v>
      </c>
      <c r="AG774">
        <v>0</v>
      </c>
      <c r="AH774">
        <v>31.7</v>
      </c>
      <c r="AI774">
        <v>42.7</v>
      </c>
      <c r="AJ774">
        <v>101.86</v>
      </c>
      <c r="AK774">
        <v>60</v>
      </c>
      <c r="AL774" t="s">
        <v>14</v>
      </c>
      <c r="AM774" t="s">
        <v>15</v>
      </c>
      <c r="AN774" t="str">
        <f t="shared" si="48"/>
        <v>Morning</v>
      </c>
      <c r="AO774" t="str">
        <f t="shared" si="49"/>
        <v>Peak</v>
      </c>
      <c r="AP774" t="str">
        <f t="shared" si="50"/>
        <v>Low</v>
      </c>
      <c r="AQ774" t="str">
        <f t="shared" si="51"/>
        <v>Low</v>
      </c>
    </row>
    <row r="775" spans="1:43" x14ac:dyDescent="0.3">
      <c r="A775">
        <v>774</v>
      </c>
      <c r="B775" t="s">
        <v>16</v>
      </c>
      <c r="C775" t="s">
        <v>17</v>
      </c>
      <c r="D775" s="1">
        <v>46111</v>
      </c>
      <c r="E775" t="s">
        <v>38</v>
      </c>
      <c r="F775">
        <v>0</v>
      </c>
      <c r="G775">
        <v>20</v>
      </c>
      <c r="H775" t="s">
        <v>40</v>
      </c>
      <c r="I775" t="s">
        <v>50</v>
      </c>
      <c r="J775">
        <v>1.2</v>
      </c>
      <c r="K775" t="s">
        <v>34</v>
      </c>
      <c r="L775">
        <v>1</v>
      </c>
      <c r="M775">
        <v>4.93</v>
      </c>
      <c r="N775">
        <v>81</v>
      </c>
      <c r="O775" t="s">
        <v>13</v>
      </c>
      <c r="P775">
        <v>16</v>
      </c>
      <c r="Q775">
        <v>1.6</v>
      </c>
      <c r="R775">
        <v>39.6</v>
      </c>
      <c r="S775">
        <v>82.16</v>
      </c>
      <c r="T775">
        <v>94.06</v>
      </c>
      <c r="U775">
        <v>1.39</v>
      </c>
      <c r="V775">
        <v>32.04</v>
      </c>
      <c r="W775">
        <v>208.26</v>
      </c>
      <c r="X775">
        <v>39</v>
      </c>
      <c r="Y775">
        <v>107.05</v>
      </c>
      <c r="Z775">
        <v>4.38</v>
      </c>
      <c r="AA775">
        <v>9.6199999999999992</v>
      </c>
      <c r="AB775">
        <v>194.26</v>
      </c>
      <c r="AC775">
        <v>294.33333333333331</v>
      </c>
      <c r="AD775">
        <v>121.41249999999999</v>
      </c>
      <c r="AE775">
        <v>83.85</v>
      </c>
      <c r="AF775">
        <v>18.52</v>
      </c>
      <c r="AG775">
        <v>1</v>
      </c>
      <c r="AH775">
        <v>8</v>
      </c>
      <c r="AI775">
        <v>89</v>
      </c>
      <c r="AJ775">
        <v>345.71</v>
      </c>
      <c r="AK775">
        <v>72.69</v>
      </c>
      <c r="AL775" t="s">
        <v>23</v>
      </c>
      <c r="AM775" t="s">
        <v>24</v>
      </c>
      <c r="AN775" t="str">
        <f t="shared" si="48"/>
        <v>Night</v>
      </c>
      <c r="AO775" t="str">
        <f t="shared" si="49"/>
        <v>Peak</v>
      </c>
      <c r="AP775" t="str">
        <f t="shared" si="50"/>
        <v>High</v>
      </c>
      <c r="AQ775" t="str">
        <f t="shared" si="51"/>
        <v>High</v>
      </c>
    </row>
    <row r="776" spans="1:43" x14ac:dyDescent="0.3">
      <c r="A776">
        <v>775</v>
      </c>
      <c r="B776" t="s">
        <v>16</v>
      </c>
      <c r="C776" t="s">
        <v>17</v>
      </c>
      <c r="D776" s="1">
        <v>46279</v>
      </c>
      <c r="E776" t="s">
        <v>38</v>
      </c>
      <c r="F776">
        <v>0</v>
      </c>
      <c r="G776">
        <v>11</v>
      </c>
      <c r="H776" t="s">
        <v>19</v>
      </c>
      <c r="I776" t="s">
        <v>39</v>
      </c>
      <c r="J776">
        <v>1.05</v>
      </c>
      <c r="K776" t="s">
        <v>21</v>
      </c>
      <c r="L776">
        <v>0</v>
      </c>
      <c r="M776">
        <v>2.65</v>
      </c>
      <c r="N776">
        <v>20</v>
      </c>
      <c r="O776" t="s">
        <v>22</v>
      </c>
      <c r="P776">
        <v>5</v>
      </c>
      <c r="Q776">
        <v>7.43</v>
      </c>
      <c r="R776">
        <v>47.6</v>
      </c>
      <c r="S776">
        <v>138.16999999999999</v>
      </c>
      <c r="T776">
        <v>23.28</v>
      </c>
      <c r="U776">
        <v>1.06</v>
      </c>
      <c r="V776">
        <v>8.2899999999999991</v>
      </c>
      <c r="W776">
        <v>169.74</v>
      </c>
      <c r="X776">
        <v>39.4</v>
      </c>
      <c r="Y776">
        <v>103.31</v>
      </c>
      <c r="Z776">
        <v>19.48</v>
      </c>
      <c r="AA776">
        <v>7.8</v>
      </c>
      <c r="AB776">
        <v>142.46</v>
      </c>
      <c r="AC776">
        <v>179.57142857142858</v>
      </c>
      <c r="AD776">
        <v>19.173620457604308</v>
      </c>
      <c r="AE776">
        <v>77.739999999999995</v>
      </c>
      <c r="AF776">
        <v>12.1</v>
      </c>
      <c r="AG776">
        <v>0</v>
      </c>
      <c r="AH776">
        <v>-23.19</v>
      </c>
      <c r="AI776">
        <v>5</v>
      </c>
      <c r="AJ776">
        <v>181.67</v>
      </c>
      <c r="AK776">
        <v>63.65</v>
      </c>
      <c r="AL776" t="s">
        <v>23</v>
      </c>
      <c r="AM776" t="s">
        <v>24</v>
      </c>
      <c r="AN776" t="str">
        <f t="shared" si="48"/>
        <v>Afternoon</v>
      </c>
      <c r="AO776" t="str">
        <f t="shared" si="49"/>
        <v>Off-Peak</v>
      </c>
      <c r="AP776" t="str">
        <f t="shared" si="50"/>
        <v>Medium</v>
      </c>
      <c r="AQ776" t="str">
        <f t="shared" si="51"/>
        <v>Low</v>
      </c>
    </row>
    <row r="777" spans="1:43" x14ac:dyDescent="0.3">
      <c r="A777">
        <v>776</v>
      </c>
      <c r="B777" t="s">
        <v>23</v>
      </c>
      <c r="C777" t="s">
        <v>17</v>
      </c>
      <c r="D777" s="1">
        <v>46166</v>
      </c>
      <c r="E777" t="s">
        <v>26</v>
      </c>
      <c r="F777">
        <v>1</v>
      </c>
      <c r="G777">
        <v>16</v>
      </c>
      <c r="H777" t="s">
        <v>19</v>
      </c>
      <c r="I777" t="s">
        <v>45</v>
      </c>
      <c r="J777">
        <v>1</v>
      </c>
      <c r="K777" t="s">
        <v>12</v>
      </c>
      <c r="L777">
        <v>0</v>
      </c>
      <c r="M777">
        <v>1.74</v>
      </c>
      <c r="N777">
        <v>14</v>
      </c>
      <c r="O777" t="s">
        <v>22</v>
      </c>
      <c r="P777">
        <v>3</v>
      </c>
      <c r="Q777">
        <v>4.24</v>
      </c>
      <c r="R777">
        <v>27.4</v>
      </c>
      <c r="S777">
        <v>107.78</v>
      </c>
      <c r="T777">
        <v>38.56</v>
      </c>
      <c r="U777">
        <v>1.1200000000000001</v>
      </c>
      <c r="V777">
        <v>12.93</v>
      </c>
      <c r="W777">
        <v>159.27000000000001</v>
      </c>
      <c r="X777">
        <v>40.799999999999997</v>
      </c>
      <c r="Y777">
        <v>102.38</v>
      </c>
      <c r="Z777">
        <v>10.65</v>
      </c>
      <c r="AA777">
        <v>10.27</v>
      </c>
      <c r="AB777">
        <v>138.35</v>
      </c>
      <c r="AC777">
        <v>302.95620437956205</v>
      </c>
      <c r="AD777">
        <v>32.62971698113207</v>
      </c>
      <c r="AE777">
        <v>86.13</v>
      </c>
      <c r="AF777">
        <v>16.87</v>
      </c>
      <c r="AG777">
        <v>1</v>
      </c>
      <c r="AH777">
        <v>-7.51</v>
      </c>
      <c r="AI777">
        <v>6.49</v>
      </c>
      <c r="AJ777">
        <v>306.04000000000002</v>
      </c>
      <c r="AK777">
        <v>71.239999999999995</v>
      </c>
      <c r="AL777" t="s">
        <v>23</v>
      </c>
      <c r="AM777" t="s">
        <v>24</v>
      </c>
      <c r="AN777" t="str">
        <f t="shared" si="48"/>
        <v>Evening</v>
      </c>
      <c r="AO777" t="str">
        <f t="shared" si="49"/>
        <v>Off-Peak</v>
      </c>
      <c r="AP777" t="str">
        <f t="shared" si="50"/>
        <v>High</v>
      </c>
      <c r="AQ777" t="str">
        <f t="shared" si="51"/>
        <v>Low</v>
      </c>
    </row>
    <row r="778" spans="1:43" x14ac:dyDescent="0.3">
      <c r="A778">
        <v>777</v>
      </c>
      <c r="B778" t="s">
        <v>48</v>
      </c>
      <c r="C778" t="s">
        <v>30</v>
      </c>
      <c r="D778" s="1">
        <v>46181</v>
      </c>
      <c r="E778" t="s">
        <v>38</v>
      </c>
      <c r="F778">
        <v>0</v>
      </c>
      <c r="G778">
        <v>12</v>
      </c>
      <c r="H778" t="s">
        <v>43</v>
      </c>
      <c r="I778" t="s">
        <v>28</v>
      </c>
      <c r="J778">
        <v>1.03</v>
      </c>
      <c r="K778" t="s">
        <v>34</v>
      </c>
      <c r="L778">
        <v>1</v>
      </c>
      <c r="M778">
        <v>2.81</v>
      </c>
      <c r="N778">
        <v>38</v>
      </c>
      <c r="O778" t="s">
        <v>35</v>
      </c>
      <c r="P778">
        <v>10</v>
      </c>
      <c r="Q778">
        <v>2.85</v>
      </c>
      <c r="R778">
        <v>16.100000000000001</v>
      </c>
      <c r="S778">
        <v>68.16</v>
      </c>
      <c r="T778">
        <v>23.35</v>
      </c>
      <c r="U778">
        <v>1</v>
      </c>
      <c r="V778">
        <v>0</v>
      </c>
      <c r="W778">
        <v>91.51</v>
      </c>
      <c r="X778">
        <v>37.5</v>
      </c>
      <c r="Y778">
        <v>101.28</v>
      </c>
      <c r="Z778">
        <v>7.7</v>
      </c>
      <c r="AA778">
        <v>6.26</v>
      </c>
      <c r="AB778">
        <v>77.55</v>
      </c>
      <c r="AC778">
        <v>289.00621118012418</v>
      </c>
      <c r="AD778">
        <v>27.210526315789473</v>
      </c>
      <c r="AE778">
        <v>73.349999999999994</v>
      </c>
      <c r="AF778">
        <v>17.47</v>
      </c>
      <c r="AG778">
        <v>0</v>
      </c>
      <c r="AH778">
        <v>35.79</v>
      </c>
      <c r="AI778">
        <v>73.790000000000006</v>
      </c>
      <c r="AJ778">
        <v>294.16000000000003</v>
      </c>
      <c r="AK778">
        <v>68.239999999999995</v>
      </c>
      <c r="AL778" t="s">
        <v>14</v>
      </c>
      <c r="AM778" t="s">
        <v>15</v>
      </c>
      <c r="AN778" t="str">
        <f t="shared" si="48"/>
        <v>Afternoon</v>
      </c>
      <c r="AO778" t="str">
        <f t="shared" si="49"/>
        <v>Off-Peak</v>
      </c>
      <c r="AP778" t="str">
        <f t="shared" si="50"/>
        <v>High</v>
      </c>
      <c r="AQ778" t="str">
        <f t="shared" si="51"/>
        <v>Medium</v>
      </c>
    </row>
    <row r="779" spans="1:43" x14ac:dyDescent="0.3">
      <c r="A779">
        <v>778</v>
      </c>
      <c r="B779" t="s">
        <v>7</v>
      </c>
      <c r="C779" t="s">
        <v>8</v>
      </c>
      <c r="D779" s="1">
        <v>46099</v>
      </c>
      <c r="E779" t="s">
        <v>18</v>
      </c>
      <c r="F779">
        <v>0</v>
      </c>
      <c r="G779">
        <v>11</v>
      </c>
      <c r="H779" t="s">
        <v>10</v>
      </c>
      <c r="I779" t="s">
        <v>50</v>
      </c>
      <c r="J779">
        <v>1.2</v>
      </c>
      <c r="K779" t="s">
        <v>12</v>
      </c>
      <c r="L779">
        <v>0</v>
      </c>
      <c r="M779">
        <v>4.03</v>
      </c>
      <c r="N779">
        <v>20</v>
      </c>
      <c r="O779" t="s">
        <v>22</v>
      </c>
      <c r="P779">
        <v>6</v>
      </c>
      <c r="Q779">
        <v>5.41</v>
      </c>
      <c r="R779">
        <v>48.1</v>
      </c>
      <c r="S779">
        <v>83.54</v>
      </c>
      <c r="T779">
        <v>30.36</v>
      </c>
      <c r="U779">
        <v>1</v>
      </c>
      <c r="V779">
        <v>0</v>
      </c>
      <c r="W779">
        <v>113.9</v>
      </c>
      <c r="X779">
        <v>45.3</v>
      </c>
      <c r="Y779">
        <v>101.13</v>
      </c>
      <c r="Z779">
        <v>12.08</v>
      </c>
      <c r="AA779">
        <v>9.3800000000000008</v>
      </c>
      <c r="AB779">
        <v>92.44</v>
      </c>
      <c r="AC779">
        <v>115.30977130977131</v>
      </c>
      <c r="AD779">
        <v>17.086876155268023</v>
      </c>
      <c r="AE779">
        <v>67.17</v>
      </c>
      <c r="AF779">
        <v>20</v>
      </c>
      <c r="AG779">
        <v>0</v>
      </c>
      <c r="AH779">
        <v>-18.21</v>
      </c>
      <c r="AI779">
        <v>5</v>
      </c>
      <c r="AJ779">
        <v>98.35</v>
      </c>
      <c r="AK779">
        <v>69.48</v>
      </c>
      <c r="AL779" t="s">
        <v>14</v>
      </c>
      <c r="AM779" t="s">
        <v>15</v>
      </c>
      <c r="AN779" t="str">
        <f t="shared" si="48"/>
        <v>Afternoon</v>
      </c>
      <c r="AO779" t="str">
        <f t="shared" si="49"/>
        <v>Off-Peak</v>
      </c>
      <c r="AP779" t="str">
        <f t="shared" si="50"/>
        <v>Low</v>
      </c>
      <c r="AQ779" t="str">
        <f t="shared" si="51"/>
        <v>Low</v>
      </c>
    </row>
    <row r="780" spans="1:43" x14ac:dyDescent="0.3">
      <c r="A780">
        <v>779</v>
      </c>
      <c r="B780" t="s">
        <v>14</v>
      </c>
      <c r="C780" t="s">
        <v>8</v>
      </c>
      <c r="D780" s="1">
        <v>46078</v>
      </c>
      <c r="E780" t="s">
        <v>18</v>
      </c>
      <c r="F780">
        <v>0</v>
      </c>
      <c r="G780">
        <v>9</v>
      </c>
      <c r="H780" t="s">
        <v>49</v>
      </c>
      <c r="I780" t="s">
        <v>45</v>
      </c>
      <c r="J780">
        <v>1</v>
      </c>
      <c r="K780" t="s">
        <v>12</v>
      </c>
      <c r="L780">
        <v>0</v>
      </c>
      <c r="M780">
        <v>3.06</v>
      </c>
      <c r="N780">
        <v>31</v>
      </c>
      <c r="O780" t="s">
        <v>22</v>
      </c>
      <c r="P780">
        <v>15</v>
      </c>
      <c r="Q780">
        <v>3.3</v>
      </c>
      <c r="R780">
        <v>31</v>
      </c>
      <c r="S780">
        <v>78.84</v>
      </c>
      <c r="T780">
        <v>30.91</v>
      </c>
      <c r="U780">
        <v>1</v>
      </c>
      <c r="V780">
        <v>0</v>
      </c>
      <c r="W780">
        <v>109.75</v>
      </c>
      <c r="X780">
        <v>43.4</v>
      </c>
      <c r="Y780">
        <v>106.25</v>
      </c>
      <c r="Z780">
        <v>8.1</v>
      </c>
      <c r="AA780">
        <v>3.71</v>
      </c>
      <c r="AB780">
        <v>97.94</v>
      </c>
      <c r="AC780">
        <v>189.56129032258062</v>
      </c>
      <c r="AD780">
        <v>29.67878787878788</v>
      </c>
      <c r="AE780">
        <v>62.72</v>
      </c>
      <c r="AF780">
        <v>17.53</v>
      </c>
      <c r="AG780">
        <v>0</v>
      </c>
      <c r="AH780">
        <v>10.45</v>
      </c>
      <c r="AI780">
        <v>41.45</v>
      </c>
      <c r="AJ780">
        <v>209</v>
      </c>
      <c r="AK780">
        <v>64.45</v>
      </c>
      <c r="AL780" t="s">
        <v>14</v>
      </c>
      <c r="AM780" t="s">
        <v>15</v>
      </c>
      <c r="AN780" t="str">
        <f t="shared" si="48"/>
        <v>Morning</v>
      </c>
      <c r="AO780" t="str">
        <f t="shared" si="49"/>
        <v>Peak</v>
      </c>
      <c r="AP780" t="str">
        <f t="shared" si="50"/>
        <v>Medium</v>
      </c>
      <c r="AQ780" t="str">
        <f t="shared" si="51"/>
        <v>Low</v>
      </c>
    </row>
    <row r="781" spans="1:43" x14ac:dyDescent="0.3">
      <c r="A781">
        <v>780</v>
      </c>
      <c r="B781" t="s">
        <v>16</v>
      </c>
      <c r="C781" t="s">
        <v>17</v>
      </c>
      <c r="D781" s="1">
        <v>46066</v>
      </c>
      <c r="E781" t="s">
        <v>9</v>
      </c>
      <c r="F781">
        <v>0</v>
      </c>
      <c r="G781">
        <v>21</v>
      </c>
      <c r="H781" t="s">
        <v>19</v>
      </c>
      <c r="I781" t="s">
        <v>33</v>
      </c>
      <c r="J781">
        <v>1</v>
      </c>
      <c r="K781" t="s">
        <v>12</v>
      </c>
      <c r="L781">
        <v>0</v>
      </c>
      <c r="M781">
        <v>4.46</v>
      </c>
      <c r="N781">
        <v>71</v>
      </c>
      <c r="O781" t="s">
        <v>13</v>
      </c>
      <c r="P781">
        <v>11</v>
      </c>
      <c r="Q781">
        <v>1.1499999999999999</v>
      </c>
      <c r="R781">
        <v>33</v>
      </c>
      <c r="S781">
        <v>81.61</v>
      </c>
      <c r="T781">
        <v>90.15</v>
      </c>
      <c r="U781">
        <v>1.19</v>
      </c>
      <c r="V781">
        <v>15.51</v>
      </c>
      <c r="W781">
        <v>187.27</v>
      </c>
      <c r="X781">
        <v>48.4</v>
      </c>
      <c r="Y781">
        <v>101.09</v>
      </c>
      <c r="Z781">
        <v>2.4</v>
      </c>
      <c r="AA781">
        <v>12</v>
      </c>
      <c r="AB781">
        <v>172.87</v>
      </c>
      <c r="AC781">
        <v>314.30909090909091</v>
      </c>
      <c r="AD781">
        <v>150.32173913043479</v>
      </c>
      <c r="AE781">
        <v>95.23</v>
      </c>
      <c r="AF781">
        <v>17.079999999999998</v>
      </c>
      <c r="AG781">
        <v>1</v>
      </c>
      <c r="AH781">
        <v>-34.72</v>
      </c>
      <c r="AI781">
        <v>36.28</v>
      </c>
      <c r="AJ781">
        <v>313.75</v>
      </c>
      <c r="AK781">
        <v>68.19</v>
      </c>
      <c r="AL781" t="s">
        <v>14</v>
      </c>
      <c r="AM781" t="s">
        <v>15</v>
      </c>
      <c r="AN781" t="str">
        <f t="shared" si="48"/>
        <v>Night</v>
      </c>
      <c r="AO781" t="str">
        <f t="shared" si="49"/>
        <v>Off-Peak</v>
      </c>
      <c r="AP781" t="str">
        <f t="shared" si="50"/>
        <v>High</v>
      </c>
      <c r="AQ781" t="str">
        <f t="shared" si="51"/>
        <v>High</v>
      </c>
    </row>
    <row r="782" spans="1:43" x14ac:dyDescent="0.3">
      <c r="A782">
        <v>781</v>
      </c>
      <c r="B782" t="s">
        <v>23</v>
      </c>
      <c r="C782" t="s">
        <v>17</v>
      </c>
      <c r="D782" s="1">
        <v>46080</v>
      </c>
      <c r="E782" t="s">
        <v>9</v>
      </c>
      <c r="F782">
        <v>0</v>
      </c>
      <c r="G782">
        <v>22</v>
      </c>
      <c r="H782" t="s">
        <v>19</v>
      </c>
      <c r="I782" t="s">
        <v>37</v>
      </c>
      <c r="J782">
        <v>1.02</v>
      </c>
      <c r="K782" t="s">
        <v>34</v>
      </c>
      <c r="L782">
        <v>1</v>
      </c>
      <c r="M782">
        <v>3.29</v>
      </c>
      <c r="N782">
        <v>33</v>
      </c>
      <c r="O782" t="s">
        <v>22</v>
      </c>
      <c r="P782">
        <v>8</v>
      </c>
      <c r="Q782">
        <v>1.5</v>
      </c>
      <c r="R782">
        <v>18.100000000000001</v>
      </c>
      <c r="S782">
        <v>78</v>
      </c>
      <c r="T782">
        <v>26.51</v>
      </c>
      <c r="U782">
        <v>1.2</v>
      </c>
      <c r="V782">
        <v>15.6</v>
      </c>
      <c r="W782">
        <v>120.11</v>
      </c>
      <c r="X782">
        <v>38.6</v>
      </c>
      <c r="Y782">
        <v>109.6</v>
      </c>
      <c r="Z782">
        <v>4.25</v>
      </c>
      <c r="AA782">
        <v>3.74</v>
      </c>
      <c r="AB782">
        <v>112.12</v>
      </c>
      <c r="AC782">
        <v>371.66850828729281</v>
      </c>
      <c r="AD782">
        <v>74.74666666666667</v>
      </c>
      <c r="AE782">
        <v>79.94</v>
      </c>
      <c r="AF782">
        <v>18.36</v>
      </c>
      <c r="AG782">
        <v>0</v>
      </c>
      <c r="AH782">
        <v>-17.27</v>
      </c>
      <c r="AI782">
        <v>15.73</v>
      </c>
      <c r="AJ782">
        <v>391.46</v>
      </c>
      <c r="AK782">
        <v>67.069999999999993</v>
      </c>
      <c r="AL782" t="s">
        <v>23</v>
      </c>
      <c r="AM782" t="s">
        <v>24</v>
      </c>
      <c r="AN782" t="str">
        <f t="shared" si="48"/>
        <v>Night</v>
      </c>
      <c r="AO782" t="str">
        <f t="shared" si="49"/>
        <v>Off-Peak</v>
      </c>
      <c r="AP782" t="str">
        <f t="shared" si="50"/>
        <v>High</v>
      </c>
      <c r="AQ782" t="str">
        <f t="shared" si="51"/>
        <v>Low</v>
      </c>
    </row>
    <row r="783" spans="1:43" x14ac:dyDescent="0.3">
      <c r="A783">
        <v>782</v>
      </c>
      <c r="B783" t="s">
        <v>25</v>
      </c>
      <c r="C783" t="s">
        <v>17</v>
      </c>
      <c r="D783" s="1">
        <v>46073</v>
      </c>
      <c r="E783" t="s">
        <v>9</v>
      </c>
      <c r="F783">
        <v>0</v>
      </c>
      <c r="G783">
        <v>8</v>
      </c>
      <c r="H783" t="s">
        <v>27</v>
      </c>
      <c r="I783" t="s">
        <v>37</v>
      </c>
      <c r="J783">
        <v>1.02</v>
      </c>
      <c r="K783" t="s">
        <v>12</v>
      </c>
      <c r="L783">
        <v>0</v>
      </c>
      <c r="M783">
        <v>3.57</v>
      </c>
      <c r="N783">
        <v>75</v>
      </c>
      <c r="O783" t="s">
        <v>13</v>
      </c>
      <c r="P783">
        <v>15</v>
      </c>
      <c r="Q783">
        <v>3.15</v>
      </c>
      <c r="R783">
        <v>33.200000000000003</v>
      </c>
      <c r="S783">
        <v>105.61</v>
      </c>
      <c r="T783">
        <v>84.74</v>
      </c>
      <c r="U783">
        <v>1.36</v>
      </c>
      <c r="V783">
        <v>38.020000000000003</v>
      </c>
      <c r="W783">
        <v>228.37</v>
      </c>
      <c r="X783">
        <v>37.6</v>
      </c>
      <c r="Y783">
        <v>102.79</v>
      </c>
      <c r="Z783">
        <v>8.6199999999999992</v>
      </c>
      <c r="AA783">
        <v>10.3</v>
      </c>
      <c r="AB783">
        <v>209.45</v>
      </c>
      <c r="AC783">
        <v>378.52409638554212</v>
      </c>
      <c r="AD783">
        <v>66.492063492063494</v>
      </c>
      <c r="AE783">
        <v>72.459999999999994</v>
      </c>
      <c r="AF783">
        <v>13.48</v>
      </c>
      <c r="AG783">
        <v>1</v>
      </c>
      <c r="AH783">
        <v>16.3</v>
      </c>
      <c r="AI783">
        <v>91.3</v>
      </c>
      <c r="AJ783">
        <v>400</v>
      </c>
      <c r="AK783">
        <v>68.12</v>
      </c>
      <c r="AL783" t="s">
        <v>23</v>
      </c>
      <c r="AM783" t="s">
        <v>24</v>
      </c>
      <c r="AN783" t="str">
        <f t="shared" si="48"/>
        <v>Morning</v>
      </c>
      <c r="AO783" t="str">
        <f t="shared" si="49"/>
        <v>Peak</v>
      </c>
      <c r="AP783" t="str">
        <f t="shared" si="50"/>
        <v>High</v>
      </c>
      <c r="AQ783" t="str">
        <f t="shared" si="51"/>
        <v>High</v>
      </c>
    </row>
    <row r="784" spans="1:43" x14ac:dyDescent="0.3">
      <c r="A784">
        <v>783</v>
      </c>
      <c r="B784" t="s">
        <v>7</v>
      </c>
      <c r="C784" t="s">
        <v>8</v>
      </c>
      <c r="D784" s="1">
        <v>46215</v>
      </c>
      <c r="E784" t="s">
        <v>26</v>
      </c>
      <c r="F784">
        <v>1</v>
      </c>
      <c r="G784">
        <v>12</v>
      </c>
      <c r="H784" t="s">
        <v>10</v>
      </c>
      <c r="I784" t="s">
        <v>45</v>
      </c>
      <c r="J784">
        <v>1</v>
      </c>
      <c r="K784" t="s">
        <v>12</v>
      </c>
      <c r="L784">
        <v>0</v>
      </c>
      <c r="M784">
        <v>5</v>
      </c>
      <c r="N784">
        <v>96</v>
      </c>
      <c r="O784" t="s">
        <v>13</v>
      </c>
      <c r="P784">
        <v>35</v>
      </c>
      <c r="Q784">
        <v>2.57</v>
      </c>
      <c r="R784">
        <v>41.9</v>
      </c>
      <c r="S784">
        <v>71.180000000000007</v>
      </c>
      <c r="T784">
        <v>100</v>
      </c>
      <c r="U784">
        <v>1</v>
      </c>
      <c r="V784">
        <v>0</v>
      </c>
      <c r="W784">
        <v>171.18</v>
      </c>
      <c r="X784">
        <v>40.4</v>
      </c>
      <c r="Y784">
        <v>100.26</v>
      </c>
      <c r="Z784">
        <v>6.38</v>
      </c>
      <c r="AA784">
        <v>4.12</v>
      </c>
      <c r="AB784">
        <v>160.68</v>
      </c>
      <c r="AC784">
        <v>230.090692124105</v>
      </c>
      <c r="AD784">
        <v>62.521400778210122</v>
      </c>
      <c r="AE784">
        <v>93.23</v>
      </c>
      <c r="AF784">
        <v>15.35</v>
      </c>
      <c r="AG784">
        <v>1</v>
      </c>
      <c r="AH784">
        <v>3.54</v>
      </c>
      <c r="AI784">
        <v>99.54</v>
      </c>
      <c r="AJ784">
        <v>247.05</v>
      </c>
      <c r="AK784">
        <v>82.12</v>
      </c>
      <c r="AL784" t="s">
        <v>14</v>
      </c>
      <c r="AM784" t="s">
        <v>15</v>
      </c>
      <c r="AN784" t="str">
        <f t="shared" si="48"/>
        <v>Afternoon</v>
      </c>
      <c r="AO784" t="str">
        <f t="shared" si="49"/>
        <v>Off-Peak</v>
      </c>
      <c r="AP784" t="str">
        <f t="shared" si="50"/>
        <v>Medium</v>
      </c>
      <c r="AQ784" t="str">
        <f t="shared" si="51"/>
        <v>High</v>
      </c>
    </row>
    <row r="785" spans="1:43" x14ac:dyDescent="0.3">
      <c r="A785">
        <v>784</v>
      </c>
      <c r="B785" t="s">
        <v>7</v>
      </c>
      <c r="C785" t="s">
        <v>8</v>
      </c>
      <c r="D785" s="1">
        <v>46037</v>
      </c>
      <c r="E785" t="s">
        <v>41</v>
      </c>
      <c r="F785">
        <v>0</v>
      </c>
      <c r="G785">
        <v>16</v>
      </c>
      <c r="H785" t="s">
        <v>32</v>
      </c>
      <c r="I785" t="s">
        <v>33</v>
      </c>
      <c r="J785">
        <v>1</v>
      </c>
      <c r="K785" t="s">
        <v>12</v>
      </c>
      <c r="L785">
        <v>0</v>
      </c>
      <c r="M785">
        <v>2.85</v>
      </c>
      <c r="N785">
        <v>13</v>
      </c>
      <c r="O785" t="s">
        <v>22</v>
      </c>
      <c r="P785">
        <v>5</v>
      </c>
      <c r="Q785">
        <v>7.32</v>
      </c>
      <c r="R785">
        <v>47.2</v>
      </c>
      <c r="S785">
        <v>107.74</v>
      </c>
      <c r="T785">
        <v>6.68</v>
      </c>
      <c r="U785">
        <v>1</v>
      </c>
      <c r="V785">
        <v>0</v>
      </c>
      <c r="W785">
        <v>114.42</v>
      </c>
      <c r="X785">
        <v>37.200000000000003</v>
      </c>
      <c r="Y785">
        <v>108.55</v>
      </c>
      <c r="Z785">
        <v>21.36</v>
      </c>
      <c r="AA785">
        <v>9.83</v>
      </c>
      <c r="AB785">
        <v>83.23</v>
      </c>
      <c r="AC785">
        <v>105.80084745762711</v>
      </c>
      <c r="AD785">
        <v>11.370218579234972</v>
      </c>
      <c r="AE785">
        <v>83.89</v>
      </c>
      <c r="AF785">
        <v>15.69</v>
      </c>
      <c r="AG785">
        <v>0</v>
      </c>
      <c r="AH785">
        <v>-2.65</v>
      </c>
      <c r="AI785">
        <v>10.35</v>
      </c>
      <c r="AJ785">
        <v>95.48</v>
      </c>
      <c r="AK785">
        <v>76.56</v>
      </c>
      <c r="AL785" t="s">
        <v>14</v>
      </c>
      <c r="AM785" t="s">
        <v>15</v>
      </c>
      <c r="AN785" t="str">
        <f t="shared" si="48"/>
        <v>Evening</v>
      </c>
      <c r="AO785" t="str">
        <f t="shared" si="49"/>
        <v>Off-Peak</v>
      </c>
      <c r="AP785" t="str">
        <f t="shared" si="50"/>
        <v>Low</v>
      </c>
      <c r="AQ785" t="str">
        <f t="shared" si="51"/>
        <v>Low</v>
      </c>
    </row>
    <row r="786" spans="1:43" x14ac:dyDescent="0.3">
      <c r="A786">
        <v>785</v>
      </c>
      <c r="B786" t="s">
        <v>29</v>
      </c>
      <c r="C786" t="s">
        <v>30</v>
      </c>
      <c r="D786" s="1">
        <v>46185</v>
      </c>
      <c r="E786" t="s">
        <v>9</v>
      </c>
      <c r="F786">
        <v>0</v>
      </c>
      <c r="G786">
        <v>13</v>
      </c>
      <c r="H786" t="s">
        <v>43</v>
      </c>
      <c r="I786" t="s">
        <v>37</v>
      </c>
      <c r="J786">
        <v>1.02</v>
      </c>
      <c r="K786" t="s">
        <v>12</v>
      </c>
      <c r="L786">
        <v>0</v>
      </c>
      <c r="M786">
        <v>2.65</v>
      </c>
      <c r="N786">
        <v>17</v>
      </c>
      <c r="O786" t="s">
        <v>22</v>
      </c>
      <c r="P786">
        <v>5</v>
      </c>
      <c r="Q786">
        <v>2.48</v>
      </c>
      <c r="R786">
        <v>31.8</v>
      </c>
      <c r="S786">
        <v>68.31</v>
      </c>
      <c r="T786">
        <v>7.5</v>
      </c>
      <c r="U786">
        <v>1</v>
      </c>
      <c r="V786">
        <v>0</v>
      </c>
      <c r="W786">
        <v>75.81</v>
      </c>
      <c r="X786">
        <v>49.2</v>
      </c>
      <c r="Y786">
        <v>103.68</v>
      </c>
      <c r="Z786">
        <v>5.23</v>
      </c>
      <c r="AA786">
        <v>10.61</v>
      </c>
      <c r="AB786">
        <v>59.97</v>
      </c>
      <c r="AC786">
        <v>113.15094339622641</v>
      </c>
      <c r="AD786">
        <v>24.181451612903224</v>
      </c>
      <c r="AE786">
        <v>62.55</v>
      </c>
      <c r="AF786">
        <v>18.11</v>
      </c>
      <c r="AG786">
        <v>0</v>
      </c>
      <c r="AH786">
        <v>-9.2200000000000006</v>
      </c>
      <c r="AI786">
        <v>7.78</v>
      </c>
      <c r="AJ786">
        <v>108.08</v>
      </c>
      <c r="AK786">
        <v>71.650000000000006</v>
      </c>
      <c r="AL786" t="s">
        <v>14</v>
      </c>
      <c r="AM786" t="s">
        <v>15</v>
      </c>
      <c r="AN786" t="str">
        <f t="shared" si="48"/>
        <v>Afternoon</v>
      </c>
      <c r="AO786" t="str">
        <f t="shared" si="49"/>
        <v>Off-Peak</v>
      </c>
      <c r="AP786" t="str">
        <f t="shared" si="50"/>
        <v>Low</v>
      </c>
      <c r="AQ786" t="str">
        <f t="shared" si="51"/>
        <v>Low</v>
      </c>
    </row>
    <row r="787" spans="1:43" x14ac:dyDescent="0.3">
      <c r="A787">
        <v>786</v>
      </c>
      <c r="B787" t="s">
        <v>25</v>
      </c>
      <c r="C787" t="s">
        <v>17</v>
      </c>
      <c r="D787" s="1">
        <v>46267</v>
      </c>
      <c r="E787" t="s">
        <v>18</v>
      </c>
      <c r="F787">
        <v>0</v>
      </c>
      <c r="G787">
        <v>18</v>
      </c>
      <c r="H787" t="s">
        <v>40</v>
      </c>
      <c r="I787" t="s">
        <v>33</v>
      </c>
      <c r="J787">
        <v>1</v>
      </c>
      <c r="K787" t="s">
        <v>12</v>
      </c>
      <c r="L787">
        <v>0</v>
      </c>
      <c r="M787">
        <v>4.9800000000000004</v>
      </c>
      <c r="N787">
        <v>40</v>
      </c>
      <c r="O787" t="s">
        <v>35</v>
      </c>
      <c r="P787">
        <v>10</v>
      </c>
      <c r="Q787">
        <v>2.36</v>
      </c>
      <c r="R787">
        <v>35.799999999999997</v>
      </c>
      <c r="S787">
        <v>96.67</v>
      </c>
      <c r="T787">
        <v>47.2</v>
      </c>
      <c r="U787">
        <v>1.27</v>
      </c>
      <c r="V787">
        <v>26.1</v>
      </c>
      <c r="W787">
        <v>169.97</v>
      </c>
      <c r="X787">
        <v>45.8</v>
      </c>
      <c r="Y787">
        <v>103.43</v>
      </c>
      <c r="Z787">
        <v>5.34</v>
      </c>
      <c r="AA787">
        <v>10.77</v>
      </c>
      <c r="AB787">
        <v>153.86000000000001</v>
      </c>
      <c r="AC787">
        <v>257.86592178770957</v>
      </c>
      <c r="AD787">
        <v>65.194915254237301</v>
      </c>
      <c r="AE787">
        <v>69.17</v>
      </c>
      <c r="AF787">
        <v>16.350000000000001</v>
      </c>
      <c r="AG787">
        <v>1</v>
      </c>
      <c r="AH787">
        <v>-26.95</v>
      </c>
      <c r="AI787">
        <v>13.05</v>
      </c>
      <c r="AJ787">
        <v>226.05</v>
      </c>
      <c r="AK787">
        <v>60</v>
      </c>
      <c r="AL787" t="s">
        <v>23</v>
      </c>
      <c r="AM787" t="s">
        <v>24</v>
      </c>
      <c r="AN787" t="str">
        <f t="shared" si="48"/>
        <v>Night</v>
      </c>
      <c r="AO787" t="str">
        <f t="shared" si="49"/>
        <v>Peak</v>
      </c>
      <c r="AP787" t="str">
        <f t="shared" si="50"/>
        <v>High</v>
      </c>
      <c r="AQ787" t="str">
        <f t="shared" si="51"/>
        <v>Medium</v>
      </c>
    </row>
    <row r="788" spans="1:43" x14ac:dyDescent="0.3">
      <c r="A788">
        <v>787</v>
      </c>
      <c r="B788" t="s">
        <v>7</v>
      </c>
      <c r="C788" t="s">
        <v>8</v>
      </c>
      <c r="D788" s="1">
        <v>46220</v>
      </c>
      <c r="E788" t="s">
        <v>9</v>
      </c>
      <c r="F788">
        <v>0</v>
      </c>
      <c r="G788">
        <v>11</v>
      </c>
      <c r="H788" t="s">
        <v>10</v>
      </c>
      <c r="I788" t="s">
        <v>11</v>
      </c>
      <c r="J788">
        <v>1.18</v>
      </c>
      <c r="K788" t="s">
        <v>21</v>
      </c>
      <c r="L788">
        <v>0</v>
      </c>
      <c r="M788">
        <v>2.42</v>
      </c>
      <c r="N788">
        <v>13</v>
      </c>
      <c r="O788" t="s">
        <v>22</v>
      </c>
      <c r="P788">
        <v>4</v>
      </c>
      <c r="Q788">
        <v>2.13</v>
      </c>
      <c r="R788">
        <v>27.1</v>
      </c>
      <c r="S788">
        <v>72.180000000000007</v>
      </c>
      <c r="T788">
        <v>18</v>
      </c>
      <c r="U788">
        <v>1</v>
      </c>
      <c r="V788">
        <v>0</v>
      </c>
      <c r="W788">
        <v>90.18</v>
      </c>
      <c r="X788">
        <v>46.9</v>
      </c>
      <c r="Y788">
        <v>101.19</v>
      </c>
      <c r="Z788">
        <v>4.58</v>
      </c>
      <c r="AA788">
        <v>6.76</v>
      </c>
      <c r="AB788">
        <v>78.84</v>
      </c>
      <c r="AC788">
        <v>174.55350553505534</v>
      </c>
      <c r="AD788">
        <v>37.014084507042256</v>
      </c>
      <c r="AE788">
        <v>71.98</v>
      </c>
      <c r="AF788">
        <v>13.25</v>
      </c>
      <c r="AG788">
        <v>0</v>
      </c>
      <c r="AH788">
        <v>13.4</v>
      </c>
      <c r="AI788">
        <v>26.4</v>
      </c>
      <c r="AJ788">
        <v>172.86</v>
      </c>
      <c r="AK788">
        <v>64.64</v>
      </c>
      <c r="AL788" t="s">
        <v>14</v>
      </c>
      <c r="AM788" t="s">
        <v>15</v>
      </c>
      <c r="AN788" t="str">
        <f t="shared" si="48"/>
        <v>Afternoon</v>
      </c>
      <c r="AO788" t="str">
        <f t="shared" si="49"/>
        <v>Off-Peak</v>
      </c>
      <c r="AP788" t="str">
        <f t="shared" si="50"/>
        <v>Medium</v>
      </c>
      <c r="AQ788" t="str">
        <f t="shared" si="51"/>
        <v>Low</v>
      </c>
    </row>
    <row r="789" spans="1:43" x14ac:dyDescent="0.3">
      <c r="A789">
        <v>788</v>
      </c>
      <c r="B789" t="s">
        <v>25</v>
      </c>
      <c r="C789" t="s">
        <v>17</v>
      </c>
      <c r="D789" s="1">
        <v>46126</v>
      </c>
      <c r="E789" t="s">
        <v>44</v>
      </c>
      <c r="F789">
        <v>0</v>
      </c>
      <c r="G789">
        <v>7</v>
      </c>
      <c r="H789" t="s">
        <v>27</v>
      </c>
      <c r="I789" t="s">
        <v>42</v>
      </c>
      <c r="J789">
        <v>1.08</v>
      </c>
      <c r="K789" t="s">
        <v>34</v>
      </c>
      <c r="L789">
        <v>1</v>
      </c>
      <c r="M789">
        <v>4.12</v>
      </c>
      <c r="N789">
        <v>78</v>
      </c>
      <c r="O789" t="s">
        <v>13</v>
      </c>
      <c r="P789">
        <v>19</v>
      </c>
      <c r="Q789">
        <v>1.98</v>
      </c>
      <c r="R789">
        <v>36.4</v>
      </c>
      <c r="S789">
        <v>86.37</v>
      </c>
      <c r="T789">
        <v>79.63</v>
      </c>
      <c r="U789">
        <v>1.32</v>
      </c>
      <c r="V789">
        <v>27.64</v>
      </c>
      <c r="W789">
        <v>193.64</v>
      </c>
      <c r="X789">
        <v>46.2</v>
      </c>
      <c r="Y789">
        <v>106.6</v>
      </c>
      <c r="Z789">
        <v>4.57</v>
      </c>
      <c r="AA789">
        <v>6.29</v>
      </c>
      <c r="AB789">
        <v>182.78</v>
      </c>
      <c r="AC789">
        <v>301.28571428571428</v>
      </c>
      <c r="AD789">
        <v>92.313131313131308</v>
      </c>
      <c r="AE789">
        <v>69.680000000000007</v>
      </c>
      <c r="AF789">
        <v>15.93</v>
      </c>
      <c r="AG789">
        <v>1</v>
      </c>
      <c r="AH789">
        <v>-1.25</v>
      </c>
      <c r="AI789">
        <v>76.75</v>
      </c>
      <c r="AJ789">
        <v>326.35000000000002</v>
      </c>
      <c r="AK789">
        <v>81.17</v>
      </c>
      <c r="AL789" t="s">
        <v>23</v>
      </c>
      <c r="AM789" t="s">
        <v>24</v>
      </c>
      <c r="AN789" t="str">
        <f t="shared" si="48"/>
        <v>Morning</v>
      </c>
      <c r="AO789" t="str">
        <f t="shared" si="49"/>
        <v>Peak</v>
      </c>
      <c r="AP789" t="str">
        <f t="shared" si="50"/>
        <v>High</v>
      </c>
      <c r="AQ789" t="str">
        <f t="shared" si="51"/>
        <v>High</v>
      </c>
    </row>
    <row r="790" spans="1:43" x14ac:dyDescent="0.3">
      <c r="A790">
        <v>789</v>
      </c>
      <c r="B790" t="s">
        <v>29</v>
      </c>
      <c r="C790" t="s">
        <v>30</v>
      </c>
      <c r="D790" s="1">
        <v>46038</v>
      </c>
      <c r="E790" t="s">
        <v>9</v>
      </c>
      <c r="F790">
        <v>0</v>
      </c>
      <c r="G790">
        <v>12</v>
      </c>
      <c r="H790" t="s">
        <v>43</v>
      </c>
      <c r="I790" t="s">
        <v>42</v>
      </c>
      <c r="J790">
        <v>1.08</v>
      </c>
      <c r="K790" t="s">
        <v>12</v>
      </c>
      <c r="L790">
        <v>0</v>
      </c>
      <c r="M790">
        <v>3.01</v>
      </c>
      <c r="N790">
        <v>25</v>
      </c>
      <c r="O790" t="s">
        <v>22</v>
      </c>
      <c r="P790">
        <v>4</v>
      </c>
      <c r="Q790">
        <v>2.04</v>
      </c>
      <c r="R790">
        <v>34</v>
      </c>
      <c r="S790">
        <v>67.47</v>
      </c>
      <c r="T790">
        <v>24.2</v>
      </c>
      <c r="U790">
        <v>1</v>
      </c>
      <c r="V790">
        <v>0</v>
      </c>
      <c r="W790">
        <v>91.67</v>
      </c>
      <c r="X790">
        <v>38.6</v>
      </c>
      <c r="Y790">
        <v>103.59</v>
      </c>
      <c r="Z790">
        <v>5.46</v>
      </c>
      <c r="AA790">
        <v>10.34</v>
      </c>
      <c r="AB790">
        <v>75.87</v>
      </c>
      <c r="AC790">
        <v>133.88823529411766</v>
      </c>
      <c r="AD790">
        <v>37.191176470588239</v>
      </c>
      <c r="AE790">
        <v>73.23</v>
      </c>
      <c r="AF790">
        <v>17.07</v>
      </c>
      <c r="AG790">
        <v>0</v>
      </c>
      <c r="AH790">
        <v>-19.829999999999998</v>
      </c>
      <c r="AI790">
        <v>5.17</v>
      </c>
      <c r="AJ790">
        <v>130.49</v>
      </c>
      <c r="AK790">
        <v>60</v>
      </c>
      <c r="AL790" t="s">
        <v>14</v>
      </c>
      <c r="AM790" t="s">
        <v>15</v>
      </c>
      <c r="AN790" t="str">
        <f t="shared" si="48"/>
        <v>Afternoon</v>
      </c>
      <c r="AO790" t="str">
        <f t="shared" si="49"/>
        <v>Off-Peak</v>
      </c>
      <c r="AP790" t="str">
        <f t="shared" si="50"/>
        <v>Low</v>
      </c>
      <c r="AQ790" t="str">
        <f t="shared" si="51"/>
        <v>Low</v>
      </c>
    </row>
    <row r="791" spans="1:43" x14ac:dyDescent="0.3">
      <c r="A791">
        <v>790</v>
      </c>
      <c r="B791" t="s">
        <v>7</v>
      </c>
      <c r="C791" t="s">
        <v>8</v>
      </c>
      <c r="D791" s="1">
        <v>46238</v>
      </c>
      <c r="E791" t="s">
        <v>44</v>
      </c>
      <c r="F791">
        <v>0</v>
      </c>
      <c r="G791">
        <v>16</v>
      </c>
      <c r="H791" t="s">
        <v>32</v>
      </c>
      <c r="I791" t="s">
        <v>28</v>
      </c>
      <c r="J791">
        <v>1.03</v>
      </c>
      <c r="K791" t="s">
        <v>12</v>
      </c>
      <c r="L791">
        <v>0</v>
      </c>
      <c r="M791">
        <v>3</v>
      </c>
      <c r="N791">
        <v>11</v>
      </c>
      <c r="O791" t="s">
        <v>22</v>
      </c>
      <c r="P791">
        <v>5</v>
      </c>
      <c r="Q791">
        <v>1.31</v>
      </c>
      <c r="R791">
        <v>26.4</v>
      </c>
      <c r="S791">
        <v>69.61</v>
      </c>
      <c r="T791">
        <v>0</v>
      </c>
      <c r="U791">
        <v>1</v>
      </c>
      <c r="V791">
        <v>0</v>
      </c>
      <c r="W791">
        <v>69.61</v>
      </c>
      <c r="X791">
        <v>37.1</v>
      </c>
      <c r="Y791">
        <v>108.23</v>
      </c>
      <c r="Z791">
        <v>3.82</v>
      </c>
      <c r="AA791">
        <v>7.79</v>
      </c>
      <c r="AB791">
        <v>58</v>
      </c>
      <c r="AC791">
        <v>131.81818181818181</v>
      </c>
      <c r="AD791">
        <v>44.274809160305338</v>
      </c>
      <c r="AE791">
        <v>78.58</v>
      </c>
      <c r="AF791">
        <v>14.71</v>
      </c>
      <c r="AG791">
        <v>0</v>
      </c>
      <c r="AH791">
        <v>3.45</v>
      </c>
      <c r="AI791">
        <v>14.45</v>
      </c>
      <c r="AJ791">
        <v>123.21</v>
      </c>
      <c r="AK791">
        <v>61.49</v>
      </c>
      <c r="AL791" t="s">
        <v>14</v>
      </c>
      <c r="AM791" t="s">
        <v>15</v>
      </c>
      <c r="AN791" t="str">
        <f t="shared" si="48"/>
        <v>Evening</v>
      </c>
      <c r="AO791" t="str">
        <f t="shared" si="49"/>
        <v>Off-Peak</v>
      </c>
      <c r="AP791" t="str">
        <f t="shared" si="50"/>
        <v>Low</v>
      </c>
      <c r="AQ791" t="str">
        <f t="shared" si="51"/>
        <v>Low</v>
      </c>
    </row>
    <row r="792" spans="1:43" x14ac:dyDescent="0.3">
      <c r="A792">
        <v>791</v>
      </c>
      <c r="B792" t="s">
        <v>7</v>
      </c>
      <c r="C792" t="s">
        <v>8</v>
      </c>
      <c r="D792" s="1">
        <v>46023</v>
      </c>
      <c r="E792" t="s">
        <v>41</v>
      </c>
      <c r="F792">
        <v>0</v>
      </c>
      <c r="G792">
        <v>9</v>
      </c>
      <c r="H792" t="s">
        <v>49</v>
      </c>
      <c r="I792" t="s">
        <v>39</v>
      </c>
      <c r="J792">
        <v>1.05</v>
      </c>
      <c r="K792" t="s">
        <v>12</v>
      </c>
      <c r="L792">
        <v>0</v>
      </c>
      <c r="M792">
        <v>3.21</v>
      </c>
      <c r="N792">
        <v>17</v>
      </c>
      <c r="O792" t="s">
        <v>22</v>
      </c>
      <c r="P792">
        <v>9</v>
      </c>
      <c r="Q792">
        <v>4.37</v>
      </c>
      <c r="R792">
        <v>36.4</v>
      </c>
      <c r="S792">
        <v>82.8</v>
      </c>
      <c r="T792">
        <v>16.59</v>
      </c>
      <c r="U792">
        <v>1</v>
      </c>
      <c r="V792">
        <v>0</v>
      </c>
      <c r="W792">
        <v>99.39</v>
      </c>
      <c r="X792">
        <v>41.4</v>
      </c>
      <c r="Y792">
        <v>106.31</v>
      </c>
      <c r="Z792">
        <v>11.21</v>
      </c>
      <c r="AA792">
        <v>8.2100000000000009</v>
      </c>
      <c r="AB792">
        <v>79.97</v>
      </c>
      <c r="AC792">
        <v>131.81868131868131</v>
      </c>
      <c r="AD792">
        <v>18.299771167048053</v>
      </c>
      <c r="AE792">
        <v>62.37</v>
      </c>
      <c r="AF792">
        <v>17.559999999999999</v>
      </c>
      <c r="AG792">
        <v>0</v>
      </c>
      <c r="AH792">
        <v>11.72</v>
      </c>
      <c r="AI792">
        <v>28.72</v>
      </c>
      <c r="AJ792">
        <v>127.29</v>
      </c>
      <c r="AK792">
        <v>66.48</v>
      </c>
      <c r="AL792" t="s">
        <v>14</v>
      </c>
      <c r="AM792" t="s">
        <v>15</v>
      </c>
      <c r="AN792" t="str">
        <f t="shared" si="48"/>
        <v>Morning</v>
      </c>
      <c r="AO792" t="str">
        <f t="shared" si="49"/>
        <v>Peak</v>
      </c>
      <c r="AP792" t="str">
        <f t="shared" si="50"/>
        <v>Low</v>
      </c>
      <c r="AQ792" t="str">
        <f t="shared" si="51"/>
        <v>Low</v>
      </c>
    </row>
    <row r="793" spans="1:43" x14ac:dyDescent="0.3">
      <c r="A793">
        <v>792</v>
      </c>
      <c r="B793" t="s">
        <v>29</v>
      </c>
      <c r="C793" t="s">
        <v>30</v>
      </c>
      <c r="D793" s="1">
        <v>46198</v>
      </c>
      <c r="E793" t="s">
        <v>41</v>
      </c>
      <c r="F793">
        <v>0</v>
      </c>
      <c r="G793">
        <v>20</v>
      </c>
      <c r="H793" t="s">
        <v>32</v>
      </c>
      <c r="I793" t="s">
        <v>20</v>
      </c>
      <c r="J793">
        <v>1.25</v>
      </c>
      <c r="K793" t="s">
        <v>12</v>
      </c>
      <c r="L793">
        <v>0</v>
      </c>
      <c r="M793">
        <v>5</v>
      </c>
      <c r="N793">
        <v>58</v>
      </c>
      <c r="O793" t="s">
        <v>35</v>
      </c>
      <c r="P793">
        <v>14</v>
      </c>
      <c r="Q793">
        <v>3.51</v>
      </c>
      <c r="R793">
        <v>41.5</v>
      </c>
      <c r="S793">
        <v>80.61</v>
      </c>
      <c r="T793">
        <v>79.44</v>
      </c>
      <c r="U793">
        <v>1</v>
      </c>
      <c r="V793">
        <v>0</v>
      </c>
      <c r="W793">
        <v>160.05000000000001</v>
      </c>
      <c r="X793">
        <v>47.4</v>
      </c>
      <c r="Y793">
        <v>108.8</v>
      </c>
      <c r="Z793">
        <v>8.0500000000000007</v>
      </c>
      <c r="AA793">
        <v>4.3600000000000003</v>
      </c>
      <c r="AB793">
        <v>147.63999999999999</v>
      </c>
      <c r="AC793">
        <v>213.45542168674697</v>
      </c>
      <c r="AD793">
        <v>42.06267806267806</v>
      </c>
      <c r="AE793">
        <v>78.98</v>
      </c>
      <c r="AF793">
        <v>20</v>
      </c>
      <c r="AG793">
        <v>1</v>
      </c>
      <c r="AH793">
        <v>-0.01</v>
      </c>
      <c r="AI793">
        <v>57.99</v>
      </c>
      <c r="AJ793">
        <v>239.66</v>
      </c>
      <c r="AK793">
        <v>77.37</v>
      </c>
      <c r="AL793" t="s">
        <v>14</v>
      </c>
      <c r="AM793" t="s">
        <v>15</v>
      </c>
      <c r="AN793" t="str">
        <f t="shared" si="48"/>
        <v>Night</v>
      </c>
      <c r="AO793" t="str">
        <f t="shared" si="49"/>
        <v>Peak</v>
      </c>
      <c r="AP793" t="str">
        <f t="shared" si="50"/>
        <v>Medium</v>
      </c>
      <c r="AQ793" t="str">
        <f t="shared" si="51"/>
        <v>Medium</v>
      </c>
    </row>
    <row r="794" spans="1:43" x14ac:dyDescent="0.3">
      <c r="A794">
        <v>793</v>
      </c>
      <c r="B794" t="s">
        <v>16</v>
      </c>
      <c r="C794" t="s">
        <v>17</v>
      </c>
      <c r="D794" s="1">
        <v>46196</v>
      </c>
      <c r="E794" t="s">
        <v>44</v>
      </c>
      <c r="F794">
        <v>0</v>
      </c>
      <c r="G794">
        <v>7</v>
      </c>
      <c r="H794" t="s">
        <v>27</v>
      </c>
      <c r="I794" t="s">
        <v>42</v>
      </c>
      <c r="J794">
        <v>1.08</v>
      </c>
      <c r="K794" t="s">
        <v>12</v>
      </c>
      <c r="L794">
        <v>0</v>
      </c>
      <c r="M794">
        <v>4.37</v>
      </c>
      <c r="N794">
        <v>71</v>
      </c>
      <c r="O794" t="s">
        <v>13</v>
      </c>
      <c r="P794">
        <v>9</v>
      </c>
      <c r="Q794">
        <v>3.4</v>
      </c>
      <c r="R794">
        <v>44</v>
      </c>
      <c r="S794">
        <v>102.84</v>
      </c>
      <c r="T794">
        <v>87.95</v>
      </c>
      <c r="U794">
        <v>1.32</v>
      </c>
      <c r="V794">
        <v>32.909999999999997</v>
      </c>
      <c r="W794">
        <v>223.7</v>
      </c>
      <c r="X794">
        <v>40</v>
      </c>
      <c r="Y794">
        <v>106.23</v>
      </c>
      <c r="Z794">
        <v>9.0500000000000007</v>
      </c>
      <c r="AA794">
        <v>6.46</v>
      </c>
      <c r="AB794">
        <v>208.19</v>
      </c>
      <c r="AC794">
        <v>283.89545454545458</v>
      </c>
      <c r="AD794">
        <v>61.232352941176472</v>
      </c>
      <c r="AE794">
        <v>87.03</v>
      </c>
      <c r="AF794">
        <v>18.47</v>
      </c>
      <c r="AG794">
        <v>1</v>
      </c>
      <c r="AH794">
        <v>4.74</v>
      </c>
      <c r="AI794">
        <v>75.739999999999995</v>
      </c>
      <c r="AJ794">
        <v>291.2</v>
      </c>
      <c r="AK794">
        <v>69.400000000000006</v>
      </c>
      <c r="AL794" t="s">
        <v>23</v>
      </c>
      <c r="AM794" t="s">
        <v>24</v>
      </c>
      <c r="AN794" t="str">
        <f t="shared" si="48"/>
        <v>Morning</v>
      </c>
      <c r="AO794" t="str">
        <f t="shared" si="49"/>
        <v>Peak</v>
      </c>
      <c r="AP794" t="str">
        <f t="shared" si="50"/>
        <v>High</v>
      </c>
      <c r="AQ794" t="str">
        <f t="shared" si="51"/>
        <v>High</v>
      </c>
    </row>
    <row r="795" spans="1:43" x14ac:dyDescent="0.3">
      <c r="A795">
        <v>794</v>
      </c>
      <c r="B795" t="s">
        <v>16</v>
      </c>
      <c r="C795" t="s">
        <v>17</v>
      </c>
      <c r="D795" s="1">
        <v>46072</v>
      </c>
      <c r="E795" t="s">
        <v>41</v>
      </c>
      <c r="F795">
        <v>0</v>
      </c>
      <c r="G795">
        <v>8</v>
      </c>
      <c r="H795" t="s">
        <v>27</v>
      </c>
      <c r="I795" t="s">
        <v>37</v>
      </c>
      <c r="J795">
        <v>1.02</v>
      </c>
      <c r="K795" t="s">
        <v>21</v>
      </c>
      <c r="L795">
        <v>0</v>
      </c>
      <c r="M795">
        <v>2.2000000000000002</v>
      </c>
      <c r="N795">
        <v>73</v>
      </c>
      <c r="O795" t="s">
        <v>13</v>
      </c>
      <c r="P795">
        <v>17</v>
      </c>
      <c r="Q795">
        <v>1</v>
      </c>
      <c r="R795">
        <v>16.2</v>
      </c>
      <c r="S795">
        <v>72.319999999999993</v>
      </c>
      <c r="T795">
        <v>81.83</v>
      </c>
      <c r="U795">
        <v>1.17</v>
      </c>
      <c r="V795">
        <v>12.29</v>
      </c>
      <c r="W795">
        <v>166.44</v>
      </c>
      <c r="X795">
        <v>35.1</v>
      </c>
      <c r="Y795">
        <v>107.79</v>
      </c>
      <c r="Z795">
        <v>3.07</v>
      </c>
      <c r="AA795">
        <v>5.69</v>
      </c>
      <c r="AB795">
        <v>157.68</v>
      </c>
      <c r="AC795">
        <v>584.00000000000011</v>
      </c>
      <c r="AD795">
        <v>157.68</v>
      </c>
      <c r="AE795">
        <v>81.040000000000006</v>
      </c>
      <c r="AF795">
        <v>13.45</v>
      </c>
      <c r="AG795">
        <v>1</v>
      </c>
      <c r="AH795">
        <v>3.57</v>
      </c>
      <c r="AI795">
        <v>76.569999999999993</v>
      </c>
      <c r="AJ795">
        <v>400</v>
      </c>
      <c r="AK795">
        <v>79.069999999999993</v>
      </c>
      <c r="AL795" t="s">
        <v>23</v>
      </c>
      <c r="AM795" t="s">
        <v>24</v>
      </c>
      <c r="AN795" t="str">
        <f t="shared" si="48"/>
        <v>Morning</v>
      </c>
      <c r="AO795" t="str">
        <f t="shared" si="49"/>
        <v>Peak</v>
      </c>
      <c r="AP795" t="str">
        <f t="shared" si="50"/>
        <v>High</v>
      </c>
      <c r="AQ795" t="str">
        <f t="shared" si="51"/>
        <v>High</v>
      </c>
    </row>
    <row r="796" spans="1:43" x14ac:dyDescent="0.3">
      <c r="A796">
        <v>795</v>
      </c>
      <c r="B796" t="s">
        <v>29</v>
      </c>
      <c r="C796" t="s">
        <v>30</v>
      </c>
      <c r="D796" s="1">
        <v>46213</v>
      </c>
      <c r="E796" t="s">
        <v>9</v>
      </c>
      <c r="F796">
        <v>0</v>
      </c>
      <c r="G796">
        <v>15</v>
      </c>
      <c r="H796" t="s">
        <v>43</v>
      </c>
      <c r="I796" t="s">
        <v>33</v>
      </c>
      <c r="J796">
        <v>1</v>
      </c>
      <c r="K796" t="s">
        <v>21</v>
      </c>
      <c r="L796">
        <v>0</v>
      </c>
      <c r="M796">
        <v>3.26</v>
      </c>
      <c r="N796">
        <v>27</v>
      </c>
      <c r="O796" t="s">
        <v>22</v>
      </c>
      <c r="P796">
        <v>9</v>
      </c>
      <c r="Q796">
        <v>5.0999999999999996</v>
      </c>
      <c r="R796">
        <v>43.1</v>
      </c>
      <c r="S796">
        <v>87.05</v>
      </c>
      <c r="T796">
        <v>31.74</v>
      </c>
      <c r="U796">
        <v>1</v>
      </c>
      <c r="V796">
        <v>0</v>
      </c>
      <c r="W796">
        <v>118.79</v>
      </c>
      <c r="X796">
        <v>44.9</v>
      </c>
      <c r="Y796">
        <v>106.97</v>
      </c>
      <c r="Z796">
        <v>12.15</v>
      </c>
      <c r="AA796">
        <v>8.65</v>
      </c>
      <c r="AB796">
        <v>97.99</v>
      </c>
      <c r="AC796">
        <v>136.41299303944314</v>
      </c>
      <c r="AD796">
        <v>19.213725490196079</v>
      </c>
      <c r="AE796">
        <v>73.56</v>
      </c>
      <c r="AF796">
        <v>15.77</v>
      </c>
      <c r="AG796">
        <v>0</v>
      </c>
      <c r="AH796">
        <v>-7.6</v>
      </c>
      <c r="AI796">
        <v>19.399999999999999</v>
      </c>
      <c r="AJ796">
        <v>127.86</v>
      </c>
      <c r="AK796">
        <v>73.36</v>
      </c>
      <c r="AL796" t="s">
        <v>14</v>
      </c>
      <c r="AM796" t="s">
        <v>15</v>
      </c>
      <c r="AN796" t="str">
        <f t="shared" si="48"/>
        <v>Evening</v>
      </c>
      <c r="AO796" t="str">
        <f t="shared" si="49"/>
        <v>Off-Peak</v>
      </c>
      <c r="AP796" t="str">
        <f t="shared" si="50"/>
        <v>Low</v>
      </c>
      <c r="AQ796" t="str">
        <f t="shared" si="51"/>
        <v>Low</v>
      </c>
    </row>
    <row r="797" spans="1:43" x14ac:dyDescent="0.3">
      <c r="A797">
        <v>796</v>
      </c>
      <c r="B797" t="s">
        <v>48</v>
      </c>
      <c r="C797" t="s">
        <v>30</v>
      </c>
      <c r="D797" s="1">
        <v>46068</v>
      </c>
      <c r="E797" t="s">
        <v>26</v>
      </c>
      <c r="F797">
        <v>1</v>
      </c>
      <c r="G797">
        <v>15</v>
      </c>
      <c r="H797" t="s">
        <v>43</v>
      </c>
      <c r="I797" t="s">
        <v>45</v>
      </c>
      <c r="J797">
        <v>1</v>
      </c>
      <c r="K797" t="s">
        <v>12</v>
      </c>
      <c r="L797">
        <v>0</v>
      </c>
      <c r="M797">
        <v>3.03</v>
      </c>
      <c r="N797">
        <v>42</v>
      </c>
      <c r="O797" t="s">
        <v>35</v>
      </c>
      <c r="P797">
        <v>10</v>
      </c>
      <c r="Q797">
        <v>5.45</v>
      </c>
      <c r="R797">
        <v>42.7</v>
      </c>
      <c r="S797">
        <v>101.24</v>
      </c>
      <c r="T797">
        <v>42.52</v>
      </c>
      <c r="U797">
        <v>1</v>
      </c>
      <c r="V797">
        <v>0</v>
      </c>
      <c r="W797">
        <v>143.76</v>
      </c>
      <c r="X797">
        <v>38</v>
      </c>
      <c r="Y797">
        <v>104.63</v>
      </c>
      <c r="Z797">
        <v>15</v>
      </c>
      <c r="AA797">
        <v>3.96</v>
      </c>
      <c r="AB797">
        <v>124.8</v>
      </c>
      <c r="AC797">
        <v>175.36299765807962</v>
      </c>
      <c r="AD797">
        <v>22.899082568807337</v>
      </c>
      <c r="AE797">
        <v>70.02</v>
      </c>
      <c r="AF797">
        <v>18.55</v>
      </c>
      <c r="AG797">
        <v>1</v>
      </c>
      <c r="AH797">
        <v>3.81</v>
      </c>
      <c r="AI797">
        <v>45.81</v>
      </c>
      <c r="AJ797">
        <v>178.56</v>
      </c>
      <c r="AK797">
        <v>71.900000000000006</v>
      </c>
      <c r="AL797" t="s">
        <v>14</v>
      </c>
      <c r="AM797" t="s">
        <v>15</v>
      </c>
      <c r="AN797" t="str">
        <f t="shared" si="48"/>
        <v>Evening</v>
      </c>
      <c r="AO797" t="str">
        <f t="shared" si="49"/>
        <v>Off-Peak</v>
      </c>
      <c r="AP797" t="str">
        <f t="shared" si="50"/>
        <v>Medium</v>
      </c>
      <c r="AQ797" t="str">
        <f t="shared" si="51"/>
        <v>Medium</v>
      </c>
    </row>
    <row r="798" spans="1:43" x14ac:dyDescent="0.3">
      <c r="A798">
        <v>797</v>
      </c>
      <c r="B798" t="s">
        <v>23</v>
      </c>
      <c r="C798" t="s">
        <v>17</v>
      </c>
      <c r="D798" s="1">
        <v>46081</v>
      </c>
      <c r="E798" t="s">
        <v>31</v>
      </c>
      <c r="F798">
        <v>1</v>
      </c>
      <c r="G798">
        <v>11</v>
      </c>
      <c r="H798" t="s">
        <v>19</v>
      </c>
      <c r="I798" t="s">
        <v>39</v>
      </c>
      <c r="J798">
        <v>1.05</v>
      </c>
      <c r="K798" t="s">
        <v>12</v>
      </c>
      <c r="L798">
        <v>0</v>
      </c>
      <c r="M798">
        <v>3.03</v>
      </c>
      <c r="N798">
        <v>25</v>
      </c>
      <c r="O798" t="s">
        <v>22</v>
      </c>
      <c r="P798">
        <v>5</v>
      </c>
      <c r="Q798">
        <v>10.07</v>
      </c>
      <c r="R798">
        <v>65</v>
      </c>
      <c r="S798">
        <v>168.53</v>
      </c>
      <c r="T798">
        <v>51.74</v>
      </c>
      <c r="U798">
        <v>1.1100000000000001</v>
      </c>
      <c r="V798">
        <v>18.54</v>
      </c>
      <c r="W798">
        <v>238.81</v>
      </c>
      <c r="X798">
        <v>43.1</v>
      </c>
      <c r="Y798">
        <v>106.89</v>
      </c>
      <c r="Z798">
        <v>24.96</v>
      </c>
      <c r="AA798">
        <v>6.06</v>
      </c>
      <c r="AB798">
        <v>207.79</v>
      </c>
      <c r="AC798">
        <v>191.80615384615385</v>
      </c>
      <c r="AD798">
        <v>20.634558093346573</v>
      </c>
      <c r="AE798">
        <v>80.650000000000006</v>
      </c>
      <c r="AF798">
        <v>15.71</v>
      </c>
      <c r="AG798">
        <v>1</v>
      </c>
      <c r="AH798">
        <v>14.03</v>
      </c>
      <c r="AI798">
        <v>39.03</v>
      </c>
      <c r="AJ798">
        <v>185.45</v>
      </c>
      <c r="AK798">
        <v>66.38</v>
      </c>
      <c r="AL798" t="s">
        <v>23</v>
      </c>
      <c r="AM798" t="s">
        <v>24</v>
      </c>
      <c r="AN798" t="str">
        <f t="shared" si="48"/>
        <v>Afternoon</v>
      </c>
      <c r="AO798" t="str">
        <f t="shared" si="49"/>
        <v>Off-Peak</v>
      </c>
      <c r="AP798" t="str">
        <f t="shared" si="50"/>
        <v>Medium</v>
      </c>
      <c r="AQ798" t="str">
        <f t="shared" si="51"/>
        <v>Low</v>
      </c>
    </row>
    <row r="799" spans="1:43" x14ac:dyDescent="0.3">
      <c r="A799">
        <v>798</v>
      </c>
      <c r="B799" t="s">
        <v>29</v>
      </c>
      <c r="C799" t="s">
        <v>30</v>
      </c>
      <c r="D799" s="1">
        <v>46232</v>
      </c>
      <c r="E799" t="s">
        <v>18</v>
      </c>
      <c r="F799">
        <v>0</v>
      </c>
      <c r="G799">
        <v>11</v>
      </c>
      <c r="H799" t="s">
        <v>43</v>
      </c>
      <c r="I799" t="s">
        <v>28</v>
      </c>
      <c r="J799">
        <v>1.03</v>
      </c>
      <c r="K799" t="s">
        <v>12</v>
      </c>
      <c r="L799">
        <v>0</v>
      </c>
      <c r="M799">
        <v>3.2</v>
      </c>
      <c r="N799">
        <v>15</v>
      </c>
      <c r="O799" t="s">
        <v>22</v>
      </c>
      <c r="P799">
        <v>5</v>
      </c>
      <c r="Q799">
        <v>5.25</v>
      </c>
      <c r="R799">
        <v>39.4</v>
      </c>
      <c r="S799">
        <v>106.91</v>
      </c>
      <c r="T799">
        <v>39.18</v>
      </c>
      <c r="U799">
        <v>1</v>
      </c>
      <c r="V799">
        <v>0</v>
      </c>
      <c r="W799">
        <v>146.09</v>
      </c>
      <c r="X799">
        <v>35.200000000000003</v>
      </c>
      <c r="Y799">
        <v>106.64</v>
      </c>
      <c r="Z799">
        <v>15.9</v>
      </c>
      <c r="AA799">
        <v>10.49</v>
      </c>
      <c r="AB799">
        <v>119.7</v>
      </c>
      <c r="AC799">
        <v>182.28426395939087</v>
      </c>
      <c r="AD799">
        <v>22.8</v>
      </c>
      <c r="AE799">
        <v>63.78</v>
      </c>
      <c r="AF799">
        <v>18.149999999999999</v>
      </c>
      <c r="AG799">
        <v>0</v>
      </c>
      <c r="AH799">
        <v>18.52</v>
      </c>
      <c r="AI799">
        <v>33.520000000000003</v>
      </c>
      <c r="AJ799">
        <v>213.52</v>
      </c>
      <c r="AK799">
        <v>65.13</v>
      </c>
      <c r="AL799" t="s">
        <v>14</v>
      </c>
      <c r="AM799" t="s">
        <v>15</v>
      </c>
      <c r="AN799" t="str">
        <f t="shared" si="48"/>
        <v>Afternoon</v>
      </c>
      <c r="AO799" t="str">
        <f t="shared" si="49"/>
        <v>Off-Peak</v>
      </c>
      <c r="AP799" t="str">
        <f t="shared" si="50"/>
        <v>Medium</v>
      </c>
      <c r="AQ799" t="str">
        <f t="shared" si="51"/>
        <v>Low</v>
      </c>
    </row>
    <row r="800" spans="1:43" x14ac:dyDescent="0.3">
      <c r="A800">
        <v>799</v>
      </c>
      <c r="B800" t="s">
        <v>48</v>
      </c>
      <c r="C800" t="s">
        <v>30</v>
      </c>
      <c r="D800" s="1">
        <v>46275</v>
      </c>
      <c r="E800" t="s">
        <v>41</v>
      </c>
      <c r="F800">
        <v>0</v>
      </c>
      <c r="G800">
        <v>8</v>
      </c>
      <c r="H800" t="s">
        <v>47</v>
      </c>
      <c r="I800" t="s">
        <v>42</v>
      </c>
      <c r="J800">
        <v>1.08</v>
      </c>
      <c r="K800" t="s">
        <v>12</v>
      </c>
      <c r="L800">
        <v>0</v>
      </c>
      <c r="M800">
        <v>2.98</v>
      </c>
      <c r="N800">
        <v>19</v>
      </c>
      <c r="O800" t="s">
        <v>22</v>
      </c>
      <c r="P800">
        <v>4</v>
      </c>
      <c r="Q800">
        <v>11.39</v>
      </c>
      <c r="R800">
        <v>61.9</v>
      </c>
      <c r="S800">
        <v>151.63999999999999</v>
      </c>
      <c r="T800">
        <v>23.75</v>
      </c>
      <c r="U800">
        <v>1</v>
      </c>
      <c r="V800">
        <v>0</v>
      </c>
      <c r="W800">
        <v>175.39</v>
      </c>
      <c r="X800">
        <v>42.6</v>
      </c>
      <c r="Y800">
        <v>100.07</v>
      </c>
      <c r="Z800">
        <v>26.73</v>
      </c>
      <c r="AA800">
        <v>7.46</v>
      </c>
      <c r="AB800">
        <v>141.19999999999999</v>
      </c>
      <c r="AC800">
        <v>136.86591276252017</v>
      </c>
      <c r="AD800">
        <v>12.396839332748023</v>
      </c>
      <c r="AE800">
        <v>75.459999999999994</v>
      </c>
      <c r="AF800">
        <v>19.72</v>
      </c>
      <c r="AG800">
        <v>0</v>
      </c>
      <c r="AH800">
        <v>14.86</v>
      </c>
      <c r="AI800">
        <v>33.86</v>
      </c>
      <c r="AJ800">
        <v>139.56</v>
      </c>
      <c r="AK800">
        <v>66.66</v>
      </c>
      <c r="AL800" t="s">
        <v>23</v>
      </c>
      <c r="AM800" t="s">
        <v>24</v>
      </c>
      <c r="AN800" t="str">
        <f t="shared" si="48"/>
        <v>Morning</v>
      </c>
      <c r="AO800" t="str">
        <f t="shared" si="49"/>
        <v>Peak</v>
      </c>
      <c r="AP800" t="str">
        <f t="shared" si="50"/>
        <v>Low</v>
      </c>
      <c r="AQ800" t="str">
        <f t="shared" si="51"/>
        <v>Low</v>
      </c>
    </row>
    <row r="801" spans="1:43" x14ac:dyDescent="0.3">
      <c r="A801">
        <v>800</v>
      </c>
      <c r="B801" t="s">
        <v>29</v>
      </c>
      <c r="C801" t="s">
        <v>30</v>
      </c>
      <c r="D801" s="1">
        <v>46091</v>
      </c>
      <c r="E801" t="s">
        <v>44</v>
      </c>
      <c r="F801">
        <v>0</v>
      </c>
      <c r="G801">
        <v>17</v>
      </c>
      <c r="H801" t="s">
        <v>32</v>
      </c>
      <c r="I801" t="s">
        <v>42</v>
      </c>
      <c r="J801">
        <v>1.08</v>
      </c>
      <c r="K801" t="s">
        <v>34</v>
      </c>
      <c r="L801">
        <v>1</v>
      </c>
      <c r="M801">
        <v>4.5599999999999996</v>
      </c>
      <c r="N801">
        <v>82</v>
      </c>
      <c r="O801" t="s">
        <v>13</v>
      </c>
      <c r="P801">
        <v>24</v>
      </c>
      <c r="Q801">
        <v>2.27</v>
      </c>
      <c r="R801">
        <v>39.1</v>
      </c>
      <c r="S801">
        <v>66.010000000000005</v>
      </c>
      <c r="T801">
        <v>100</v>
      </c>
      <c r="U801">
        <v>1</v>
      </c>
      <c r="V801">
        <v>0</v>
      </c>
      <c r="W801">
        <v>166.01</v>
      </c>
      <c r="X801">
        <v>40.9</v>
      </c>
      <c r="Y801">
        <v>106.99</v>
      </c>
      <c r="Z801">
        <v>5.94</v>
      </c>
      <c r="AA801">
        <v>10.96</v>
      </c>
      <c r="AB801">
        <v>149.11000000000001</v>
      </c>
      <c r="AC801">
        <v>228.81329923273657</v>
      </c>
      <c r="AD801">
        <v>65.687224669603523</v>
      </c>
      <c r="AE801">
        <v>78.760000000000005</v>
      </c>
      <c r="AF801">
        <v>17.64</v>
      </c>
      <c r="AG801">
        <v>1</v>
      </c>
      <c r="AH801">
        <v>-7.13</v>
      </c>
      <c r="AI801">
        <v>74.87</v>
      </c>
      <c r="AJ801">
        <v>273.95999999999998</v>
      </c>
      <c r="AK801">
        <v>70.77</v>
      </c>
      <c r="AL801" t="s">
        <v>23</v>
      </c>
      <c r="AM801" t="s">
        <v>24</v>
      </c>
      <c r="AN801" t="str">
        <f t="shared" si="48"/>
        <v>Evening</v>
      </c>
      <c r="AO801" t="str">
        <f t="shared" si="49"/>
        <v>Peak</v>
      </c>
      <c r="AP801" t="str">
        <f t="shared" si="50"/>
        <v>Medium</v>
      </c>
      <c r="AQ801" t="str">
        <f t="shared" si="51"/>
        <v>High</v>
      </c>
    </row>
    <row r="802" spans="1:43" x14ac:dyDescent="0.3">
      <c r="A802">
        <v>801</v>
      </c>
      <c r="B802" t="s">
        <v>7</v>
      </c>
      <c r="C802" t="s">
        <v>8</v>
      </c>
      <c r="D802" s="1">
        <v>46260</v>
      </c>
      <c r="E802" t="s">
        <v>18</v>
      </c>
      <c r="F802">
        <v>0</v>
      </c>
      <c r="G802">
        <v>13</v>
      </c>
      <c r="H802" t="s">
        <v>10</v>
      </c>
      <c r="I802" t="s">
        <v>11</v>
      </c>
      <c r="J802">
        <v>1.18</v>
      </c>
      <c r="K802" t="s">
        <v>21</v>
      </c>
      <c r="L802">
        <v>0</v>
      </c>
      <c r="M802">
        <v>4.59</v>
      </c>
      <c r="N802">
        <v>72</v>
      </c>
      <c r="O802" t="s">
        <v>13</v>
      </c>
      <c r="P802">
        <v>27</v>
      </c>
      <c r="Q802">
        <v>10.42</v>
      </c>
      <c r="R802">
        <v>78.099999999999994</v>
      </c>
      <c r="S802">
        <v>136.47999999999999</v>
      </c>
      <c r="T802">
        <v>75</v>
      </c>
      <c r="U802">
        <v>1</v>
      </c>
      <c r="V802">
        <v>0</v>
      </c>
      <c r="W802">
        <v>211.48</v>
      </c>
      <c r="X802">
        <v>48.2</v>
      </c>
      <c r="Y802">
        <v>102.62</v>
      </c>
      <c r="Z802">
        <v>22.19</v>
      </c>
      <c r="AA802">
        <v>4.33</v>
      </c>
      <c r="AB802">
        <v>184.96</v>
      </c>
      <c r="AC802">
        <v>142.09475032010246</v>
      </c>
      <c r="AD802">
        <v>17.750479846449139</v>
      </c>
      <c r="AE802">
        <v>86.76</v>
      </c>
      <c r="AF802">
        <v>14.37</v>
      </c>
      <c r="AG802">
        <v>1</v>
      </c>
      <c r="AH802">
        <v>12.54</v>
      </c>
      <c r="AI802">
        <v>84.54</v>
      </c>
      <c r="AJ802">
        <v>143.82</v>
      </c>
      <c r="AK802">
        <v>70.16</v>
      </c>
      <c r="AL802" t="s">
        <v>14</v>
      </c>
      <c r="AM802" t="s">
        <v>15</v>
      </c>
      <c r="AN802" t="str">
        <f t="shared" si="48"/>
        <v>Afternoon</v>
      </c>
      <c r="AO802" t="str">
        <f t="shared" si="49"/>
        <v>Off-Peak</v>
      </c>
      <c r="AP802" t="str">
        <f t="shared" si="50"/>
        <v>Low</v>
      </c>
      <c r="AQ802" t="str">
        <f t="shared" si="51"/>
        <v>High</v>
      </c>
    </row>
    <row r="803" spans="1:43" x14ac:dyDescent="0.3">
      <c r="A803">
        <v>802</v>
      </c>
      <c r="B803" t="s">
        <v>48</v>
      </c>
      <c r="C803" t="s">
        <v>30</v>
      </c>
      <c r="D803" s="1">
        <v>46258</v>
      </c>
      <c r="E803" t="s">
        <v>38</v>
      </c>
      <c r="F803">
        <v>0</v>
      </c>
      <c r="G803">
        <v>8</v>
      </c>
      <c r="H803" t="s">
        <v>47</v>
      </c>
      <c r="I803" t="s">
        <v>45</v>
      </c>
      <c r="J803">
        <v>1</v>
      </c>
      <c r="K803" t="s">
        <v>34</v>
      </c>
      <c r="L803">
        <v>1</v>
      </c>
      <c r="M803">
        <v>3.07</v>
      </c>
      <c r="N803">
        <v>57</v>
      </c>
      <c r="O803" t="s">
        <v>35</v>
      </c>
      <c r="P803">
        <v>12</v>
      </c>
      <c r="Q803">
        <v>5.37</v>
      </c>
      <c r="R803">
        <v>35.5</v>
      </c>
      <c r="S803">
        <v>100.1</v>
      </c>
      <c r="T803">
        <v>43.79</v>
      </c>
      <c r="U803">
        <v>1</v>
      </c>
      <c r="V803">
        <v>0</v>
      </c>
      <c r="W803">
        <v>143.88999999999999</v>
      </c>
      <c r="X803">
        <v>45.8</v>
      </c>
      <c r="Y803">
        <v>105.42</v>
      </c>
      <c r="Z803">
        <v>12.35</v>
      </c>
      <c r="AA803">
        <v>6.4</v>
      </c>
      <c r="AB803">
        <v>125.14</v>
      </c>
      <c r="AC803">
        <v>211.50422535211268</v>
      </c>
      <c r="AD803">
        <v>23.303538175046555</v>
      </c>
      <c r="AE803">
        <v>71.900000000000006</v>
      </c>
      <c r="AF803">
        <v>12.13</v>
      </c>
      <c r="AG803">
        <v>0</v>
      </c>
      <c r="AH803">
        <v>9.98</v>
      </c>
      <c r="AI803">
        <v>66.98</v>
      </c>
      <c r="AJ803">
        <v>239.66</v>
      </c>
      <c r="AK803">
        <v>70.97</v>
      </c>
      <c r="AL803" t="s">
        <v>23</v>
      </c>
      <c r="AM803" t="s">
        <v>24</v>
      </c>
      <c r="AN803" t="str">
        <f t="shared" si="48"/>
        <v>Morning</v>
      </c>
      <c r="AO803" t="str">
        <f t="shared" si="49"/>
        <v>Peak</v>
      </c>
      <c r="AP803" t="str">
        <f t="shared" si="50"/>
        <v>Medium</v>
      </c>
      <c r="AQ803" t="str">
        <f t="shared" si="51"/>
        <v>Medium</v>
      </c>
    </row>
    <row r="804" spans="1:43" x14ac:dyDescent="0.3">
      <c r="A804">
        <v>803</v>
      </c>
      <c r="B804" t="s">
        <v>29</v>
      </c>
      <c r="C804" t="s">
        <v>30</v>
      </c>
      <c r="D804" s="1">
        <v>46221</v>
      </c>
      <c r="E804" t="s">
        <v>31</v>
      </c>
      <c r="F804">
        <v>1</v>
      </c>
      <c r="G804">
        <v>13</v>
      </c>
      <c r="H804" t="s">
        <v>43</v>
      </c>
      <c r="I804" t="s">
        <v>50</v>
      </c>
      <c r="J804">
        <v>1.2</v>
      </c>
      <c r="K804" t="s">
        <v>34</v>
      </c>
      <c r="L804">
        <v>1</v>
      </c>
      <c r="M804">
        <v>2.74</v>
      </c>
      <c r="N804">
        <v>74</v>
      </c>
      <c r="O804" t="s">
        <v>13</v>
      </c>
      <c r="P804">
        <v>24</v>
      </c>
      <c r="Q804">
        <v>4.92</v>
      </c>
      <c r="R804">
        <v>42.9</v>
      </c>
      <c r="S804">
        <v>100.5</v>
      </c>
      <c r="T804">
        <v>72.5</v>
      </c>
      <c r="U804">
        <v>1</v>
      </c>
      <c r="V804">
        <v>0</v>
      </c>
      <c r="W804">
        <v>173</v>
      </c>
      <c r="X804">
        <v>35.5</v>
      </c>
      <c r="Y804">
        <v>101.11</v>
      </c>
      <c r="Z804">
        <v>13.99</v>
      </c>
      <c r="AA804">
        <v>7</v>
      </c>
      <c r="AB804">
        <v>152.01</v>
      </c>
      <c r="AC804">
        <v>212.60139860139859</v>
      </c>
      <c r="AD804">
        <v>30.896341463414632</v>
      </c>
      <c r="AE804">
        <v>73.94</v>
      </c>
      <c r="AF804">
        <v>12.93</v>
      </c>
      <c r="AG804">
        <v>1</v>
      </c>
      <c r="AH804">
        <v>-7.65</v>
      </c>
      <c r="AI804">
        <v>66.349999999999994</v>
      </c>
      <c r="AJ804">
        <v>219.19</v>
      </c>
      <c r="AK804">
        <v>72.599999999999994</v>
      </c>
      <c r="AL804" t="s">
        <v>14</v>
      </c>
      <c r="AM804" t="s">
        <v>15</v>
      </c>
      <c r="AN804" t="str">
        <f t="shared" si="48"/>
        <v>Afternoon</v>
      </c>
      <c r="AO804" t="str">
        <f t="shared" si="49"/>
        <v>Off-Peak</v>
      </c>
      <c r="AP804" t="str">
        <f t="shared" si="50"/>
        <v>Medium</v>
      </c>
      <c r="AQ804" t="str">
        <f t="shared" si="51"/>
        <v>High</v>
      </c>
    </row>
    <row r="805" spans="1:43" x14ac:dyDescent="0.3">
      <c r="A805">
        <v>804</v>
      </c>
      <c r="B805" t="s">
        <v>23</v>
      </c>
      <c r="C805" t="s">
        <v>17</v>
      </c>
      <c r="D805" s="1">
        <v>46059</v>
      </c>
      <c r="E805" t="s">
        <v>9</v>
      </c>
      <c r="F805">
        <v>0</v>
      </c>
      <c r="G805">
        <v>21</v>
      </c>
      <c r="H805" t="s">
        <v>19</v>
      </c>
      <c r="I805" t="s">
        <v>20</v>
      </c>
      <c r="J805">
        <v>1.25</v>
      </c>
      <c r="K805" t="s">
        <v>21</v>
      </c>
      <c r="L805">
        <v>0</v>
      </c>
      <c r="M805">
        <v>5</v>
      </c>
      <c r="N805">
        <v>61</v>
      </c>
      <c r="O805" t="s">
        <v>35</v>
      </c>
      <c r="P805">
        <v>10</v>
      </c>
      <c r="Q805">
        <v>3.34</v>
      </c>
      <c r="R805">
        <v>48.5</v>
      </c>
      <c r="S805">
        <v>91.09</v>
      </c>
      <c r="T805">
        <v>69.709999999999994</v>
      </c>
      <c r="U805">
        <v>1.24</v>
      </c>
      <c r="V805">
        <v>21.86</v>
      </c>
      <c r="W805">
        <v>182.66</v>
      </c>
      <c r="X805">
        <v>46.8</v>
      </c>
      <c r="Y805">
        <v>100.23</v>
      </c>
      <c r="Z805">
        <v>7.15</v>
      </c>
      <c r="AA805">
        <v>6.01</v>
      </c>
      <c r="AB805">
        <v>169.5</v>
      </c>
      <c r="AC805">
        <v>209.69072164948454</v>
      </c>
      <c r="AD805">
        <v>50.748502994011979</v>
      </c>
      <c r="AE805">
        <v>66.95</v>
      </c>
      <c r="AF805">
        <v>18.78</v>
      </c>
      <c r="AG805">
        <v>1</v>
      </c>
      <c r="AH805">
        <v>-3.96</v>
      </c>
      <c r="AI805">
        <v>57.04</v>
      </c>
      <c r="AJ805">
        <v>230.45</v>
      </c>
      <c r="AK805">
        <v>81.430000000000007</v>
      </c>
      <c r="AL805" t="s">
        <v>14</v>
      </c>
      <c r="AM805" t="s">
        <v>15</v>
      </c>
      <c r="AN805" t="str">
        <f t="shared" si="48"/>
        <v>Night</v>
      </c>
      <c r="AO805" t="str">
        <f t="shared" si="49"/>
        <v>Off-Peak</v>
      </c>
      <c r="AP805" t="str">
        <f t="shared" si="50"/>
        <v>Medium</v>
      </c>
      <c r="AQ805" t="str">
        <f t="shared" si="51"/>
        <v>Medium</v>
      </c>
    </row>
    <row r="806" spans="1:43" x14ac:dyDescent="0.3">
      <c r="A806">
        <v>805</v>
      </c>
      <c r="B806" t="s">
        <v>16</v>
      </c>
      <c r="C806" t="s">
        <v>17</v>
      </c>
      <c r="D806" s="1">
        <v>46100</v>
      </c>
      <c r="E806" t="s">
        <v>41</v>
      </c>
      <c r="F806">
        <v>0</v>
      </c>
      <c r="G806">
        <v>11</v>
      </c>
      <c r="H806" t="s">
        <v>19</v>
      </c>
      <c r="I806" t="s">
        <v>33</v>
      </c>
      <c r="J806">
        <v>1</v>
      </c>
      <c r="K806" t="s">
        <v>34</v>
      </c>
      <c r="L806">
        <v>1</v>
      </c>
      <c r="M806">
        <v>2.93</v>
      </c>
      <c r="N806">
        <v>48</v>
      </c>
      <c r="O806" t="s">
        <v>35</v>
      </c>
      <c r="P806">
        <v>12</v>
      </c>
      <c r="Q806">
        <v>2.84</v>
      </c>
      <c r="R806">
        <v>35.5</v>
      </c>
      <c r="S806">
        <v>94.56</v>
      </c>
      <c r="T806">
        <v>71.319999999999993</v>
      </c>
      <c r="U806">
        <v>1.23</v>
      </c>
      <c r="V806">
        <v>21.75</v>
      </c>
      <c r="W806">
        <v>187.63</v>
      </c>
      <c r="X806">
        <v>46.9</v>
      </c>
      <c r="Y806">
        <v>100.15</v>
      </c>
      <c r="Z806">
        <v>6.07</v>
      </c>
      <c r="AA806">
        <v>8.84</v>
      </c>
      <c r="AB806">
        <v>172.72</v>
      </c>
      <c r="AC806">
        <v>291.92112676056337</v>
      </c>
      <c r="AD806">
        <v>60.816901408450704</v>
      </c>
      <c r="AE806">
        <v>79.34</v>
      </c>
      <c r="AF806">
        <v>15.6</v>
      </c>
      <c r="AG806">
        <v>0</v>
      </c>
      <c r="AH806">
        <v>13.2</v>
      </c>
      <c r="AI806">
        <v>61.2</v>
      </c>
      <c r="AJ806">
        <v>278.87</v>
      </c>
      <c r="AK806">
        <v>72.459999999999994</v>
      </c>
      <c r="AL806" t="s">
        <v>23</v>
      </c>
      <c r="AM806" t="s">
        <v>24</v>
      </c>
      <c r="AN806" t="str">
        <f t="shared" si="48"/>
        <v>Afternoon</v>
      </c>
      <c r="AO806" t="str">
        <f t="shared" si="49"/>
        <v>Off-Peak</v>
      </c>
      <c r="AP806" t="str">
        <f t="shared" si="50"/>
        <v>High</v>
      </c>
      <c r="AQ806" t="str">
        <f t="shared" si="51"/>
        <v>Medium</v>
      </c>
    </row>
    <row r="807" spans="1:43" x14ac:dyDescent="0.3">
      <c r="A807">
        <v>806</v>
      </c>
      <c r="B807" t="s">
        <v>16</v>
      </c>
      <c r="C807" t="s">
        <v>17</v>
      </c>
      <c r="D807" s="1">
        <v>46197</v>
      </c>
      <c r="E807" t="s">
        <v>18</v>
      </c>
      <c r="F807">
        <v>0</v>
      </c>
      <c r="G807">
        <v>21</v>
      </c>
      <c r="H807" t="s">
        <v>19</v>
      </c>
      <c r="I807" t="s">
        <v>46</v>
      </c>
      <c r="J807">
        <v>1.1499999999999999</v>
      </c>
      <c r="K807" t="s">
        <v>12</v>
      </c>
      <c r="L807">
        <v>0</v>
      </c>
      <c r="M807">
        <v>4.18</v>
      </c>
      <c r="N807">
        <v>78</v>
      </c>
      <c r="O807" t="s">
        <v>13</v>
      </c>
      <c r="P807">
        <v>16</v>
      </c>
      <c r="Q807">
        <v>2.41</v>
      </c>
      <c r="R807">
        <v>33.5</v>
      </c>
      <c r="S807">
        <v>87.82</v>
      </c>
      <c r="T807">
        <v>84.39</v>
      </c>
      <c r="U807">
        <v>1.21</v>
      </c>
      <c r="V807">
        <v>18.440000000000001</v>
      </c>
      <c r="W807">
        <v>190.65</v>
      </c>
      <c r="X807">
        <v>45</v>
      </c>
      <c r="Y807">
        <v>101.58</v>
      </c>
      <c r="Z807">
        <v>5.45</v>
      </c>
      <c r="AA807">
        <v>3.49</v>
      </c>
      <c r="AB807">
        <v>181.71</v>
      </c>
      <c r="AC807">
        <v>325.4507462686567</v>
      </c>
      <c r="AD807">
        <v>75.398340248962654</v>
      </c>
      <c r="AE807">
        <v>74.849999999999994</v>
      </c>
      <c r="AF807">
        <v>19.95</v>
      </c>
      <c r="AG807">
        <v>1</v>
      </c>
      <c r="AH807">
        <v>23.65</v>
      </c>
      <c r="AI807">
        <v>101.65</v>
      </c>
      <c r="AJ807">
        <v>338.84</v>
      </c>
      <c r="AK807">
        <v>65.8</v>
      </c>
      <c r="AL807" t="s">
        <v>14</v>
      </c>
      <c r="AM807" t="s">
        <v>15</v>
      </c>
      <c r="AN807" t="str">
        <f t="shared" si="48"/>
        <v>Night</v>
      </c>
      <c r="AO807" t="str">
        <f t="shared" si="49"/>
        <v>Off-Peak</v>
      </c>
      <c r="AP807" t="str">
        <f t="shared" si="50"/>
        <v>High</v>
      </c>
      <c r="AQ807" t="str">
        <f t="shared" si="51"/>
        <v>High</v>
      </c>
    </row>
    <row r="808" spans="1:43" x14ac:dyDescent="0.3">
      <c r="A808">
        <v>807</v>
      </c>
      <c r="B808" t="s">
        <v>29</v>
      </c>
      <c r="C808" t="s">
        <v>30</v>
      </c>
      <c r="D808" s="1">
        <v>46280</v>
      </c>
      <c r="E808" t="s">
        <v>44</v>
      </c>
      <c r="F808">
        <v>0</v>
      </c>
      <c r="G808">
        <v>11</v>
      </c>
      <c r="H808" t="s">
        <v>43</v>
      </c>
      <c r="I808" t="s">
        <v>20</v>
      </c>
      <c r="J808">
        <v>1.25</v>
      </c>
      <c r="K808" t="s">
        <v>12</v>
      </c>
      <c r="L808">
        <v>0</v>
      </c>
      <c r="M808">
        <v>1.8</v>
      </c>
      <c r="N808">
        <v>18</v>
      </c>
      <c r="O808" t="s">
        <v>22</v>
      </c>
      <c r="P808">
        <v>5</v>
      </c>
      <c r="Q808">
        <v>10.65</v>
      </c>
      <c r="R808">
        <v>58.4</v>
      </c>
      <c r="S808">
        <v>137.62</v>
      </c>
      <c r="T808">
        <v>12.6</v>
      </c>
      <c r="U808">
        <v>1</v>
      </c>
      <c r="V808">
        <v>0</v>
      </c>
      <c r="W808">
        <v>150.22</v>
      </c>
      <c r="X808">
        <v>48.9</v>
      </c>
      <c r="Y808">
        <v>100.2</v>
      </c>
      <c r="Z808">
        <v>21.81</v>
      </c>
      <c r="AA808">
        <v>7.19</v>
      </c>
      <c r="AB808">
        <v>121.22</v>
      </c>
      <c r="AC808">
        <v>124.54109589041097</v>
      </c>
      <c r="AD808">
        <v>11.382159624413145</v>
      </c>
      <c r="AE808">
        <v>66.540000000000006</v>
      </c>
      <c r="AF808">
        <v>14.95</v>
      </c>
      <c r="AG808">
        <v>0</v>
      </c>
      <c r="AH808">
        <v>-24.18</v>
      </c>
      <c r="AI808">
        <v>5</v>
      </c>
      <c r="AJ808">
        <v>108.45</v>
      </c>
      <c r="AK808">
        <v>60.17</v>
      </c>
      <c r="AL808" t="s">
        <v>14</v>
      </c>
      <c r="AM808" t="s">
        <v>15</v>
      </c>
      <c r="AN808" t="str">
        <f t="shared" si="48"/>
        <v>Afternoon</v>
      </c>
      <c r="AO808" t="str">
        <f t="shared" si="49"/>
        <v>Off-Peak</v>
      </c>
      <c r="AP808" t="str">
        <f t="shared" si="50"/>
        <v>Low</v>
      </c>
      <c r="AQ808" t="str">
        <f t="shared" si="51"/>
        <v>Low</v>
      </c>
    </row>
    <row r="809" spans="1:43" x14ac:dyDescent="0.3">
      <c r="A809">
        <v>808</v>
      </c>
      <c r="B809" t="s">
        <v>7</v>
      </c>
      <c r="C809" t="s">
        <v>8</v>
      </c>
      <c r="D809" s="1">
        <v>46233</v>
      </c>
      <c r="E809" t="s">
        <v>41</v>
      </c>
      <c r="F809">
        <v>0</v>
      </c>
      <c r="G809">
        <v>9</v>
      </c>
      <c r="H809" t="s">
        <v>49</v>
      </c>
      <c r="I809" t="s">
        <v>46</v>
      </c>
      <c r="J809">
        <v>1.1499999999999999</v>
      </c>
      <c r="K809" t="s">
        <v>12</v>
      </c>
      <c r="L809">
        <v>0</v>
      </c>
      <c r="M809">
        <v>3.09</v>
      </c>
      <c r="N809">
        <v>35</v>
      </c>
      <c r="O809" t="s">
        <v>22</v>
      </c>
      <c r="P809">
        <v>13</v>
      </c>
      <c r="Q809">
        <v>3.26</v>
      </c>
      <c r="R809">
        <v>35.5</v>
      </c>
      <c r="S809">
        <v>67.92</v>
      </c>
      <c r="T809">
        <v>27.52</v>
      </c>
      <c r="U809">
        <v>1</v>
      </c>
      <c r="V809">
        <v>0</v>
      </c>
      <c r="W809">
        <v>95.44</v>
      </c>
      <c r="X809">
        <v>47</v>
      </c>
      <c r="Y809">
        <v>101.32</v>
      </c>
      <c r="Z809">
        <v>7.03</v>
      </c>
      <c r="AA809">
        <v>3.39</v>
      </c>
      <c r="AB809">
        <v>85.02</v>
      </c>
      <c r="AC809">
        <v>143.6957746478873</v>
      </c>
      <c r="AD809">
        <v>26.079754601226995</v>
      </c>
      <c r="AE809">
        <v>68.67</v>
      </c>
      <c r="AF809">
        <v>14.76</v>
      </c>
      <c r="AG809">
        <v>0</v>
      </c>
      <c r="AH809">
        <v>27.6</v>
      </c>
      <c r="AI809">
        <v>62.6</v>
      </c>
      <c r="AJ809">
        <v>147.69999999999999</v>
      </c>
      <c r="AK809">
        <v>66.73</v>
      </c>
      <c r="AL809" t="s">
        <v>14</v>
      </c>
      <c r="AM809" t="s">
        <v>15</v>
      </c>
      <c r="AN809" t="str">
        <f t="shared" si="48"/>
        <v>Morning</v>
      </c>
      <c r="AO809" t="str">
        <f t="shared" si="49"/>
        <v>Peak</v>
      </c>
      <c r="AP809" t="str">
        <f t="shared" si="50"/>
        <v>Low</v>
      </c>
      <c r="AQ809" t="str">
        <f t="shared" si="51"/>
        <v>Low</v>
      </c>
    </row>
    <row r="810" spans="1:43" x14ac:dyDescent="0.3">
      <c r="A810">
        <v>809</v>
      </c>
      <c r="B810" t="s">
        <v>48</v>
      </c>
      <c r="C810" t="s">
        <v>30</v>
      </c>
      <c r="D810" s="1">
        <v>46131</v>
      </c>
      <c r="E810" t="s">
        <v>26</v>
      </c>
      <c r="F810">
        <v>1</v>
      </c>
      <c r="G810">
        <v>11</v>
      </c>
      <c r="H810" t="s">
        <v>43</v>
      </c>
      <c r="I810" t="s">
        <v>33</v>
      </c>
      <c r="J810">
        <v>1</v>
      </c>
      <c r="K810" t="s">
        <v>12</v>
      </c>
      <c r="L810">
        <v>0</v>
      </c>
      <c r="M810">
        <v>2.25</v>
      </c>
      <c r="N810">
        <v>40</v>
      </c>
      <c r="O810" t="s">
        <v>35</v>
      </c>
      <c r="P810">
        <v>10</v>
      </c>
      <c r="Q810">
        <v>5.43</v>
      </c>
      <c r="R810">
        <v>42.7</v>
      </c>
      <c r="S810">
        <v>102.5</v>
      </c>
      <c r="T810">
        <v>60.4</v>
      </c>
      <c r="U810">
        <v>1</v>
      </c>
      <c r="V810">
        <v>0</v>
      </c>
      <c r="W810">
        <v>162.9</v>
      </c>
      <c r="X810">
        <v>38.299999999999997</v>
      </c>
      <c r="Y810">
        <v>105.59</v>
      </c>
      <c r="Z810">
        <v>14.99</v>
      </c>
      <c r="AA810">
        <v>8.2899999999999991</v>
      </c>
      <c r="AB810">
        <v>139.62</v>
      </c>
      <c r="AC810">
        <v>196.1873536299766</v>
      </c>
      <c r="AD810">
        <v>25.712707182320443</v>
      </c>
      <c r="AE810">
        <v>79.5</v>
      </c>
      <c r="AF810">
        <v>11.71</v>
      </c>
      <c r="AG810">
        <v>1</v>
      </c>
      <c r="AH810">
        <v>20.46</v>
      </c>
      <c r="AI810">
        <v>60.46</v>
      </c>
      <c r="AJ810">
        <v>173.4</v>
      </c>
      <c r="AK810">
        <v>63.23</v>
      </c>
      <c r="AL810" t="s">
        <v>14</v>
      </c>
      <c r="AM810" t="s">
        <v>15</v>
      </c>
      <c r="AN810" t="str">
        <f t="shared" si="48"/>
        <v>Afternoon</v>
      </c>
      <c r="AO810" t="str">
        <f t="shared" si="49"/>
        <v>Off-Peak</v>
      </c>
      <c r="AP810" t="str">
        <f t="shared" si="50"/>
        <v>Medium</v>
      </c>
      <c r="AQ810" t="str">
        <f t="shared" si="51"/>
        <v>Medium</v>
      </c>
    </row>
    <row r="811" spans="1:43" x14ac:dyDescent="0.3">
      <c r="A811">
        <v>810</v>
      </c>
      <c r="B811" t="s">
        <v>23</v>
      </c>
      <c r="C811" t="s">
        <v>17</v>
      </c>
      <c r="D811" s="1">
        <v>46083</v>
      </c>
      <c r="E811" t="s">
        <v>38</v>
      </c>
      <c r="F811">
        <v>0</v>
      </c>
      <c r="G811">
        <v>12</v>
      </c>
      <c r="H811" t="s">
        <v>19</v>
      </c>
      <c r="I811" t="s">
        <v>37</v>
      </c>
      <c r="J811">
        <v>1.02</v>
      </c>
      <c r="K811" t="s">
        <v>12</v>
      </c>
      <c r="L811">
        <v>0</v>
      </c>
      <c r="M811">
        <v>2.65</v>
      </c>
      <c r="N811">
        <v>6</v>
      </c>
      <c r="O811" t="s">
        <v>22</v>
      </c>
      <c r="P811">
        <v>1</v>
      </c>
      <c r="Q811">
        <v>6.25</v>
      </c>
      <c r="R811">
        <v>47.2</v>
      </c>
      <c r="S811">
        <v>129.71</v>
      </c>
      <c r="T811">
        <v>20.37</v>
      </c>
      <c r="U811">
        <v>1.04</v>
      </c>
      <c r="V811">
        <v>5.19</v>
      </c>
      <c r="W811">
        <v>155.27000000000001</v>
      </c>
      <c r="X811">
        <v>40.700000000000003</v>
      </c>
      <c r="Y811">
        <v>104</v>
      </c>
      <c r="Z811">
        <v>15.97</v>
      </c>
      <c r="AA811">
        <v>10.3</v>
      </c>
      <c r="AB811">
        <v>129</v>
      </c>
      <c r="AC811">
        <v>163.9830508474576</v>
      </c>
      <c r="AD811">
        <v>20.64</v>
      </c>
      <c r="AE811">
        <v>63.66</v>
      </c>
      <c r="AF811">
        <v>18.12</v>
      </c>
      <c r="AG811">
        <v>0</v>
      </c>
      <c r="AH811">
        <v>5.99</v>
      </c>
      <c r="AI811">
        <v>11.99</v>
      </c>
      <c r="AJ811">
        <v>162.56</v>
      </c>
      <c r="AK811">
        <v>69.91</v>
      </c>
      <c r="AL811" t="s">
        <v>14</v>
      </c>
      <c r="AM811" t="s">
        <v>15</v>
      </c>
      <c r="AN811" t="str">
        <f t="shared" si="48"/>
        <v>Afternoon</v>
      </c>
      <c r="AO811" t="str">
        <f t="shared" si="49"/>
        <v>Off-Peak</v>
      </c>
      <c r="AP811" t="str">
        <f t="shared" si="50"/>
        <v>Medium</v>
      </c>
      <c r="AQ811" t="str">
        <f t="shared" si="51"/>
        <v>Low</v>
      </c>
    </row>
    <row r="812" spans="1:43" x14ac:dyDescent="0.3">
      <c r="A812">
        <v>811</v>
      </c>
      <c r="B812" t="s">
        <v>7</v>
      </c>
      <c r="C812" t="s">
        <v>8</v>
      </c>
      <c r="D812" s="1">
        <v>46270</v>
      </c>
      <c r="E812" t="s">
        <v>31</v>
      </c>
      <c r="F812">
        <v>1</v>
      </c>
      <c r="G812">
        <v>8</v>
      </c>
      <c r="H812" t="s">
        <v>49</v>
      </c>
      <c r="I812" t="s">
        <v>20</v>
      </c>
      <c r="J812">
        <v>1.25</v>
      </c>
      <c r="K812" t="s">
        <v>12</v>
      </c>
      <c r="L812">
        <v>0</v>
      </c>
      <c r="M812">
        <v>3.84</v>
      </c>
      <c r="N812">
        <v>53</v>
      </c>
      <c r="O812" t="s">
        <v>35</v>
      </c>
      <c r="P812">
        <v>24</v>
      </c>
      <c r="Q812">
        <v>6.19</v>
      </c>
      <c r="R812">
        <v>50.3</v>
      </c>
      <c r="S812">
        <v>106.55</v>
      </c>
      <c r="T812">
        <v>55.85</v>
      </c>
      <c r="U812">
        <v>1</v>
      </c>
      <c r="V812">
        <v>0</v>
      </c>
      <c r="W812">
        <v>162.4</v>
      </c>
      <c r="X812">
        <v>40.200000000000003</v>
      </c>
      <c r="Y812">
        <v>109.81</v>
      </c>
      <c r="Z812">
        <v>16.899999999999999</v>
      </c>
      <c r="AA812">
        <v>2.2000000000000002</v>
      </c>
      <c r="AB812">
        <v>143.30000000000001</v>
      </c>
      <c r="AC812">
        <v>170.934393638171</v>
      </c>
      <c r="AD812">
        <v>23.150242326332794</v>
      </c>
      <c r="AE812">
        <v>68.13</v>
      </c>
      <c r="AF812">
        <v>15.89</v>
      </c>
      <c r="AG812">
        <v>1</v>
      </c>
      <c r="AH812">
        <v>-0.61</v>
      </c>
      <c r="AI812">
        <v>52.39</v>
      </c>
      <c r="AJ812">
        <v>187.3</v>
      </c>
      <c r="AK812">
        <v>81.239999999999995</v>
      </c>
      <c r="AL812" t="s">
        <v>14</v>
      </c>
      <c r="AM812" t="s">
        <v>15</v>
      </c>
      <c r="AN812" t="str">
        <f t="shared" si="48"/>
        <v>Morning</v>
      </c>
      <c r="AO812" t="str">
        <f t="shared" si="49"/>
        <v>Peak</v>
      </c>
      <c r="AP812" t="str">
        <f t="shared" si="50"/>
        <v>Medium</v>
      </c>
      <c r="AQ812" t="str">
        <f t="shared" si="51"/>
        <v>Medium</v>
      </c>
    </row>
    <row r="813" spans="1:43" x14ac:dyDescent="0.3">
      <c r="A813">
        <v>812</v>
      </c>
      <c r="B813" t="s">
        <v>23</v>
      </c>
      <c r="C813" t="s">
        <v>17</v>
      </c>
      <c r="D813" s="1">
        <v>46094</v>
      </c>
      <c r="E813" t="s">
        <v>9</v>
      </c>
      <c r="F813">
        <v>0</v>
      </c>
      <c r="G813">
        <v>16</v>
      </c>
      <c r="H813" t="s">
        <v>19</v>
      </c>
      <c r="I813" t="s">
        <v>50</v>
      </c>
      <c r="J813">
        <v>1.2</v>
      </c>
      <c r="K813" t="s">
        <v>21</v>
      </c>
      <c r="L813">
        <v>0</v>
      </c>
      <c r="M813">
        <v>3.38</v>
      </c>
      <c r="N813">
        <v>29</v>
      </c>
      <c r="O813" t="s">
        <v>22</v>
      </c>
      <c r="P813">
        <v>7</v>
      </c>
      <c r="Q813">
        <v>4.38</v>
      </c>
      <c r="R813">
        <v>35.799999999999997</v>
      </c>
      <c r="S813">
        <v>106.13</v>
      </c>
      <c r="T813">
        <v>12.34</v>
      </c>
      <c r="U813">
        <v>1.06</v>
      </c>
      <c r="V813">
        <v>6.37</v>
      </c>
      <c r="W813">
        <v>124.84</v>
      </c>
      <c r="X813">
        <v>42.6</v>
      </c>
      <c r="Y813">
        <v>108.09</v>
      </c>
      <c r="Z813">
        <v>11.13</v>
      </c>
      <c r="AA813">
        <v>6.57</v>
      </c>
      <c r="AB813">
        <v>107.14</v>
      </c>
      <c r="AC813">
        <v>179.56424581005589</v>
      </c>
      <c r="AD813">
        <v>24.461187214611872</v>
      </c>
      <c r="AE813">
        <v>81.489999999999995</v>
      </c>
      <c r="AF813">
        <v>13.04</v>
      </c>
      <c r="AG813">
        <v>0</v>
      </c>
      <c r="AH813">
        <v>8.86</v>
      </c>
      <c r="AI813">
        <v>37.86</v>
      </c>
      <c r="AJ813">
        <v>187.69</v>
      </c>
      <c r="AK813">
        <v>73.67</v>
      </c>
      <c r="AL813" t="s">
        <v>23</v>
      </c>
      <c r="AM813" t="s">
        <v>24</v>
      </c>
      <c r="AN813" t="str">
        <f t="shared" si="48"/>
        <v>Evening</v>
      </c>
      <c r="AO813" t="str">
        <f t="shared" si="49"/>
        <v>Off-Peak</v>
      </c>
      <c r="AP813" t="str">
        <f t="shared" si="50"/>
        <v>Medium</v>
      </c>
      <c r="AQ813" t="str">
        <f t="shared" si="51"/>
        <v>Low</v>
      </c>
    </row>
    <row r="814" spans="1:43" x14ac:dyDescent="0.3">
      <c r="A814">
        <v>813</v>
      </c>
      <c r="B814" t="s">
        <v>25</v>
      </c>
      <c r="C814" t="s">
        <v>17</v>
      </c>
      <c r="D814" s="1">
        <v>46111</v>
      </c>
      <c r="E814" t="s">
        <v>38</v>
      </c>
      <c r="F814">
        <v>0</v>
      </c>
      <c r="G814">
        <v>12</v>
      </c>
      <c r="H814" t="s">
        <v>19</v>
      </c>
      <c r="I814" t="s">
        <v>46</v>
      </c>
      <c r="J814">
        <v>1.1499999999999999</v>
      </c>
      <c r="K814" t="s">
        <v>21</v>
      </c>
      <c r="L814">
        <v>0</v>
      </c>
      <c r="M814">
        <v>3.45</v>
      </c>
      <c r="N814">
        <v>23</v>
      </c>
      <c r="O814" t="s">
        <v>22</v>
      </c>
      <c r="P814">
        <v>4</v>
      </c>
      <c r="Q814">
        <v>10.3</v>
      </c>
      <c r="R814">
        <v>70.3</v>
      </c>
      <c r="S814">
        <v>175.41</v>
      </c>
      <c r="T814">
        <v>14.41</v>
      </c>
      <c r="U814">
        <v>1.07</v>
      </c>
      <c r="V814">
        <v>12.28</v>
      </c>
      <c r="W814">
        <v>202.1</v>
      </c>
      <c r="X814">
        <v>49.3</v>
      </c>
      <c r="Y814">
        <v>101.47</v>
      </c>
      <c r="Z814">
        <v>21.19</v>
      </c>
      <c r="AA814">
        <v>6.93</v>
      </c>
      <c r="AB814">
        <v>173.98</v>
      </c>
      <c r="AC814">
        <v>148.48933143669984</v>
      </c>
      <c r="AD814">
        <v>16.891262135922329</v>
      </c>
      <c r="AE814">
        <v>72.510000000000005</v>
      </c>
      <c r="AF814">
        <v>16.420000000000002</v>
      </c>
      <c r="AG814">
        <v>0</v>
      </c>
      <c r="AH814">
        <v>-6.61</v>
      </c>
      <c r="AI814">
        <v>16.39</v>
      </c>
      <c r="AJ814">
        <v>130.03</v>
      </c>
      <c r="AK814">
        <v>69.53</v>
      </c>
      <c r="AL814" t="s">
        <v>14</v>
      </c>
      <c r="AM814" t="s">
        <v>15</v>
      </c>
      <c r="AN814" t="str">
        <f t="shared" si="48"/>
        <v>Afternoon</v>
      </c>
      <c r="AO814" t="str">
        <f t="shared" si="49"/>
        <v>Off-Peak</v>
      </c>
      <c r="AP814" t="str">
        <f t="shared" si="50"/>
        <v>Low</v>
      </c>
      <c r="AQ814" t="str">
        <f t="shared" si="51"/>
        <v>Low</v>
      </c>
    </row>
    <row r="815" spans="1:43" x14ac:dyDescent="0.3">
      <c r="A815">
        <v>814</v>
      </c>
      <c r="B815" t="s">
        <v>14</v>
      </c>
      <c r="C815" t="s">
        <v>8</v>
      </c>
      <c r="D815" s="1">
        <v>46271</v>
      </c>
      <c r="E815" t="s">
        <v>26</v>
      </c>
      <c r="F815">
        <v>1</v>
      </c>
      <c r="G815">
        <v>18</v>
      </c>
      <c r="H815" t="s">
        <v>51</v>
      </c>
      <c r="I815" t="s">
        <v>28</v>
      </c>
      <c r="J815">
        <v>1.03</v>
      </c>
      <c r="K815" t="s">
        <v>12</v>
      </c>
      <c r="L815">
        <v>0</v>
      </c>
      <c r="M815">
        <v>2.68</v>
      </c>
      <c r="N815">
        <v>87</v>
      </c>
      <c r="O815" t="s">
        <v>13</v>
      </c>
      <c r="P815">
        <v>29</v>
      </c>
      <c r="Q815">
        <v>5.15</v>
      </c>
      <c r="R815">
        <v>44.2</v>
      </c>
      <c r="S815">
        <v>96.7</v>
      </c>
      <c r="T815">
        <v>100</v>
      </c>
      <c r="U815">
        <v>1</v>
      </c>
      <c r="V815">
        <v>0</v>
      </c>
      <c r="W815">
        <v>196.7</v>
      </c>
      <c r="X815">
        <v>44.2</v>
      </c>
      <c r="Y815">
        <v>104.17</v>
      </c>
      <c r="Z815">
        <v>12.12</v>
      </c>
      <c r="AA815">
        <v>9.1999999999999993</v>
      </c>
      <c r="AB815">
        <v>175.38</v>
      </c>
      <c r="AC815">
        <v>238.07239819004525</v>
      </c>
      <c r="AD815">
        <v>34.054368932038834</v>
      </c>
      <c r="AE815">
        <v>86.6</v>
      </c>
      <c r="AF815">
        <v>10.99</v>
      </c>
      <c r="AG815">
        <v>1</v>
      </c>
      <c r="AH815">
        <v>0.33</v>
      </c>
      <c r="AI815">
        <v>87.33</v>
      </c>
      <c r="AJ815">
        <v>217.34</v>
      </c>
      <c r="AK815">
        <v>85.92</v>
      </c>
      <c r="AL815" t="s">
        <v>14</v>
      </c>
      <c r="AM815" t="s">
        <v>15</v>
      </c>
      <c r="AN815" t="str">
        <f t="shared" si="48"/>
        <v>Night</v>
      </c>
      <c r="AO815" t="str">
        <f t="shared" si="49"/>
        <v>Peak</v>
      </c>
      <c r="AP815" t="str">
        <f t="shared" si="50"/>
        <v>Medium</v>
      </c>
      <c r="AQ815" t="str">
        <f t="shared" si="51"/>
        <v>High</v>
      </c>
    </row>
    <row r="816" spans="1:43" x14ac:dyDescent="0.3">
      <c r="A816">
        <v>815</v>
      </c>
      <c r="B816" t="s">
        <v>16</v>
      </c>
      <c r="C816" t="s">
        <v>17</v>
      </c>
      <c r="D816" s="1">
        <v>46167</v>
      </c>
      <c r="E816" t="s">
        <v>38</v>
      </c>
      <c r="F816">
        <v>0</v>
      </c>
      <c r="G816">
        <v>14</v>
      </c>
      <c r="H816" t="s">
        <v>19</v>
      </c>
      <c r="I816" t="s">
        <v>37</v>
      </c>
      <c r="J816">
        <v>1.02</v>
      </c>
      <c r="K816" t="s">
        <v>12</v>
      </c>
      <c r="L816">
        <v>0</v>
      </c>
      <c r="M816">
        <v>4.47</v>
      </c>
      <c r="N816">
        <v>14</v>
      </c>
      <c r="O816" t="s">
        <v>22</v>
      </c>
      <c r="P816">
        <v>2</v>
      </c>
      <c r="Q816">
        <v>2.36</v>
      </c>
      <c r="R816">
        <v>37.5</v>
      </c>
      <c r="S816">
        <v>82.43</v>
      </c>
      <c r="T816">
        <v>24.49</v>
      </c>
      <c r="U816">
        <v>1</v>
      </c>
      <c r="V816">
        <v>0</v>
      </c>
      <c r="W816">
        <v>106.92</v>
      </c>
      <c r="X816">
        <v>39.700000000000003</v>
      </c>
      <c r="Y816">
        <v>104.31</v>
      </c>
      <c r="Z816">
        <v>6.21</v>
      </c>
      <c r="AA816">
        <v>2.75</v>
      </c>
      <c r="AB816">
        <v>97.96</v>
      </c>
      <c r="AC816">
        <v>156.73599999999999</v>
      </c>
      <c r="AD816">
        <v>41.508474576271183</v>
      </c>
      <c r="AE816">
        <v>70.25</v>
      </c>
      <c r="AF816">
        <v>17.36</v>
      </c>
      <c r="AG816">
        <v>0</v>
      </c>
      <c r="AH816">
        <v>-19.13</v>
      </c>
      <c r="AI816">
        <v>5</v>
      </c>
      <c r="AJ816">
        <v>164.12</v>
      </c>
      <c r="AK816">
        <v>60.36</v>
      </c>
      <c r="AL816" t="s">
        <v>14</v>
      </c>
      <c r="AM816" t="s">
        <v>15</v>
      </c>
      <c r="AN816" t="str">
        <f t="shared" si="48"/>
        <v>Afternoon</v>
      </c>
      <c r="AO816" t="str">
        <f t="shared" si="49"/>
        <v>Off-Peak</v>
      </c>
      <c r="AP816" t="str">
        <f t="shared" si="50"/>
        <v>Medium</v>
      </c>
      <c r="AQ816" t="str">
        <f t="shared" si="51"/>
        <v>Low</v>
      </c>
    </row>
    <row r="817" spans="1:43" x14ac:dyDescent="0.3">
      <c r="A817">
        <v>816</v>
      </c>
      <c r="B817" t="s">
        <v>16</v>
      </c>
      <c r="C817" t="s">
        <v>17</v>
      </c>
      <c r="D817" s="1">
        <v>46091</v>
      </c>
      <c r="E817" t="s">
        <v>44</v>
      </c>
      <c r="F817">
        <v>0</v>
      </c>
      <c r="G817">
        <v>14</v>
      </c>
      <c r="H817" t="s">
        <v>19</v>
      </c>
      <c r="I817" t="s">
        <v>50</v>
      </c>
      <c r="J817">
        <v>1.2</v>
      </c>
      <c r="K817" t="s">
        <v>21</v>
      </c>
      <c r="L817">
        <v>0</v>
      </c>
      <c r="M817">
        <v>2.0499999999999998</v>
      </c>
      <c r="N817">
        <v>34</v>
      </c>
      <c r="O817" t="s">
        <v>22</v>
      </c>
      <c r="P817">
        <v>8</v>
      </c>
      <c r="Q817">
        <v>2.94</v>
      </c>
      <c r="R817">
        <v>30</v>
      </c>
      <c r="S817">
        <v>101.95</v>
      </c>
      <c r="T817">
        <v>36.25</v>
      </c>
      <c r="U817">
        <v>1</v>
      </c>
      <c r="V817">
        <v>0</v>
      </c>
      <c r="W817">
        <v>138.19999999999999</v>
      </c>
      <c r="X817">
        <v>49.1</v>
      </c>
      <c r="Y817">
        <v>103.62</v>
      </c>
      <c r="Z817">
        <v>6.2</v>
      </c>
      <c r="AA817">
        <v>6.06</v>
      </c>
      <c r="AB817">
        <v>125.94</v>
      </c>
      <c r="AC817">
        <v>251.88</v>
      </c>
      <c r="AD817">
        <v>42.836734693877553</v>
      </c>
      <c r="AE817">
        <v>74.709999999999994</v>
      </c>
      <c r="AF817">
        <v>13.89</v>
      </c>
      <c r="AG817">
        <v>0</v>
      </c>
      <c r="AH817">
        <v>-23.12</v>
      </c>
      <c r="AI817">
        <v>10.88</v>
      </c>
      <c r="AJ817">
        <v>275.8</v>
      </c>
      <c r="AK817">
        <v>73.8</v>
      </c>
      <c r="AL817" t="s">
        <v>14</v>
      </c>
      <c r="AM817" t="s">
        <v>15</v>
      </c>
      <c r="AN817" t="str">
        <f t="shared" si="48"/>
        <v>Afternoon</v>
      </c>
      <c r="AO817" t="str">
        <f t="shared" si="49"/>
        <v>Off-Peak</v>
      </c>
      <c r="AP817" t="str">
        <f t="shared" si="50"/>
        <v>High</v>
      </c>
      <c r="AQ817" t="str">
        <f t="shared" si="51"/>
        <v>Low</v>
      </c>
    </row>
    <row r="818" spans="1:43" x14ac:dyDescent="0.3">
      <c r="A818">
        <v>817</v>
      </c>
      <c r="B818" t="s">
        <v>7</v>
      </c>
      <c r="C818" t="s">
        <v>8</v>
      </c>
      <c r="D818" s="1">
        <v>46024</v>
      </c>
      <c r="E818" t="s">
        <v>9</v>
      </c>
      <c r="F818">
        <v>0</v>
      </c>
      <c r="G818">
        <v>14</v>
      </c>
      <c r="H818" t="s">
        <v>10</v>
      </c>
      <c r="I818" t="s">
        <v>20</v>
      </c>
      <c r="J818">
        <v>1.25</v>
      </c>
      <c r="K818" t="s">
        <v>12</v>
      </c>
      <c r="L818">
        <v>0</v>
      </c>
      <c r="M818">
        <v>5</v>
      </c>
      <c r="N818">
        <v>72</v>
      </c>
      <c r="O818" t="s">
        <v>13</v>
      </c>
      <c r="P818">
        <v>27</v>
      </c>
      <c r="Q818">
        <v>1</v>
      </c>
      <c r="R818">
        <v>40.9</v>
      </c>
      <c r="S818">
        <v>63.58</v>
      </c>
      <c r="T818">
        <v>100</v>
      </c>
      <c r="U818">
        <v>1</v>
      </c>
      <c r="V818">
        <v>0</v>
      </c>
      <c r="W818">
        <v>163.58000000000001</v>
      </c>
      <c r="X818">
        <v>45.5</v>
      </c>
      <c r="Y818">
        <v>104.96</v>
      </c>
      <c r="Z818">
        <v>2.31</v>
      </c>
      <c r="AA818">
        <v>9.85</v>
      </c>
      <c r="AB818">
        <v>151.41999999999999</v>
      </c>
      <c r="AC818">
        <v>222.13202933985329</v>
      </c>
      <c r="AD818">
        <v>151.41999999999999</v>
      </c>
      <c r="AE818">
        <v>79.010000000000005</v>
      </c>
      <c r="AF818">
        <v>15.17</v>
      </c>
      <c r="AG818">
        <v>1</v>
      </c>
      <c r="AH818">
        <v>37.979999999999997</v>
      </c>
      <c r="AI818">
        <v>109.98</v>
      </c>
      <c r="AJ818">
        <v>215.69</v>
      </c>
      <c r="AK818">
        <v>64.569999999999993</v>
      </c>
      <c r="AL818" t="s">
        <v>14</v>
      </c>
      <c r="AM818" t="s">
        <v>15</v>
      </c>
      <c r="AN818" t="str">
        <f t="shared" si="48"/>
        <v>Afternoon</v>
      </c>
      <c r="AO818" t="str">
        <f t="shared" si="49"/>
        <v>Off-Peak</v>
      </c>
      <c r="AP818" t="str">
        <f t="shared" si="50"/>
        <v>Medium</v>
      </c>
      <c r="AQ818" t="str">
        <f t="shared" si="51"/>
        <v>High</v>
      </c>
    </row>
    <row r="819" spans="1:43" x14ac:dyDescent="0.3">
      <c r="A819">
        <v>818</v>
      </c>
      <c r="B819" t="s">
        <v>7</v>
      </c>
      <c r="C819" t="s">
        <v>8</v>
      </c>
      <c r="D819" s="1">
        <v>46133</v>
      </c>
      <c r="E819" t="s">
        <v>44</v>
      </c>
      <c r="F819">
        <v>0</v>
      </c>
      <c r="G819">
        <v>9</v>
      </c>
      <c r="H819" t="s">
        <v>49</v>
      </c>
      <c r="I819" t="s">
        <v>33</v>
      </c>
      <c r="J819">
        <v>1</v>
      </c>
      <c r="K819" t="s">
        <v>12</v>
      </c>
      <c r="L819">
        <v>0</v>
      </c>
      <c r="M819">
        <v>3.82</v>
      </c>
      <c r="N819">
        <v>24</v>
      </c>
      <c r="O819" t="s">
        <v>22</v>
      </c>
      <c r="P819">
        <v>10</v>
      </c>
      <c r="Q819">
        <v>4.72</v>
      </c>
      <c r="R819">
        <v>41.4</v>
      </c>
      <c r="S819">
        <v>94.55</v>
      </c>
      <c r="T819">
        <v>46.18</v>
      </c>
      <c r="U819">
        <v>1</v>
      </c>
      <c r="V819">
        <v>0</v>
      </c>
      <c r="W819">
        <v>140.72999999999999</v>
      </c>
      <c r="X819">
        <v>39</v>
      </c>
      <c r="Y819">
        <v>106.7</v>
      </c>
      <c r="Z819">
        <v>12.91</v>
      </c>
      <c r="AA819">
        <v>7.32</v>
      </c>
      <c r="AB819">
        <v>120.5</v>
      </c>
      <c r="AC819">
        <v>174.63768115942031</v>
      </c>
      <c r="AD819">
        <v>25.529661016949152</v>
      </c>
      <c r="AE819">
        <v>85.02</v>
      </c>
      <c r="AF819">
        <v>15.91</v>
      </c>
      <c r="AG819">
        <v>0</v>
      </c>
      <c r="AH819">
        <v>3.95</v>
      </c>
      <c r="AI819">
        <v>27.95</v>
      </c>
      <c r="AJ819">
        <v>206.19</v>
      </c>
      <c r="AK819">
        <v>74.61</v>
      </c>
      <c r="AL819" t="s">
        <v>14</v>
      </c>
      <c r="AM819" t="s">
        <v>15</v>
      </c>
      <c r="AN819" t="str">
        <f t="shared" si="48"/>
        <v>Morning</v>
      </c>
      <c r="AO819" t="str">
        <f t="shared" si="49"/>
        <v>Peak</v>
      </c>
      <c r="AP819" t="str">
        <f t="shared" si="50"/>
        <v>Medium</v>
      </c>
      <c r="AQ819" t="str">
        <f t="shared" si="51"/>
        <v>Low</v>
      </c>
    </row>
    <row r="820" spans="1:43" x14ac:dyDescent="0.3">
      <c r="A820">
        <v>819</v>
      </c>
      <c r="B820" t="s">
        <v>25</v>
      </c>
      <c r="C820" t="s">
        <v>17</v>
      </c>
      <c r="D820" s="1">
        <v>46277</v>
      </c>
      <c r="E820" t="s">
        <v>31</v>
      </c>
      <c r="F820">
        <v>1</v>
      </c>
      <c r="G820">
        <v>18</v>
      </c>
      <c r="H820" t="s">
        <v>40</v>
      </c>
      <c r="I820" t="s">
        <v>33</v>
      </c>
      <c r="J820">
        <v>1</v>
      </c>
      <c r="K820" t="s">
        <v>12</v>
      </c>
      <c r="L820">
        <v>0</v>
      </c>
      <c r="M820">
        <v>4.5599999999999996</v>
      </c>
      <c r="N820">
        <v>91</v>
      </c>
      <c r="O820" t="s">
        <v>13</v>
      </c>
      <c r="P820">
        <v>17</v>
      </c>
      <c r="Q820">
        <v>5.74</v>
      </c>
      <c r="R820">
        <v>58.5</v>
      </c>
      <c r="S820">
        <v>130.82</v>
      </c>
      <c r="T820">
        <v>100</v>
      </c>
      <c r="U820">
        <v>1.24</v>
      </c>
      <c r="V820">
        <v>31.4</v>
      </c>
      <c r="W820">
        <v>262.22000000000003</v>
      </c>
      <c r="X820">
        <v>48.6</v>
      </c>
      <c r="Y820">
        <v>106.41</v>
      </c>
      <c r="Z820">
        <v>12.58</v>
      </c>
      <c r="AA820">
        <v>9.5</v>
      </c>
      <c r="AB820">
        <v>240.14</v>
      </c>
      <c r="AC820">
        <v>246.29743589743589</v>
      </c>
      <c r="AD820">
        <v>41.836236933797906</v>
      </c>
      <c r="AE820">
        <v>89.73</v>
      </c>
      <c r="AF820">
        <v>14.17</v>
      </c>
      <c r="AG820">
        <v>1</v>
      </c>
      <c r="AH820">
        <v>6.06</v>
      </c>
      <c r="AI820">
        <v>97.06</v>
      </c>
      <c r="AJ820">
        <v>254.19</v>
      </c>
      <c r="AK820">
        <v>77.78</v>
      </c>
      <c r="AL820" t="s">
        <v>23</v>
      </c>
      <c r="AM820" t="s">
        <v>24</v>
      </c>
      <c r="AN820" t="str">
        <f t="shared" si="48"/>
        <v>Night</v>
      </c>
      <c r="AO820" t="str">
        <f t="shared" si="49"/>
        <v>Peak</v>
      </c>
      <c r="AP820" t="str">
        <f t="shared" si="50"/>
        <v>Medium</v>
      </c>
      <c r="AQ820" t="str">
        <f t="shared" si="51"/>
        <v>High</v>
      </c>
    </row>
    <row r="821" spans="1:43" x14ac:dyDescent="0.3">
      <c r="A821">
        <v>820</v>
      </c>
      <c r="B821" t="s">
        <v>23</v>
      </c>
      <c r="C821" t="s">
        <v>17</v>
      </c>
      <c r="D821" s="1">
        <v>46134</v>
      </c>
      <c r="E821" t="s">
        <v>18</v>
      </c>
      <c r="F821">
        <v>0</v>
      </c>
      <c r="G821">
        <v>8</v>
      </c>
      <c r="H821" t="s">
        <v>27</v>
      </c>
      <c r="I821" t="s">
        <v>20</v>
      </c>
      <c r="J821">
        <v>1.25</v>
      </c>
      <c r="K821" t="s">
        <v>12</v>
      </c>
      <c r="L821">
        <v>0</v>
      </c>
      <c r="M821">
        <v>3.42</v>
      </c>
      <c r="N821">
        <v>59</v>
      </c>
      <c r="O821" t="s">
        <v>35</v>
      </c>
      <c r="P821">
        <v>11</v>
      </c>
      <c r="Q821">
        <v>6.08</v>
      </c>
      <c r="R821">
        <v>45.4</v>
      </c>
      <c r="S821">
        <v>121.47</v>
      </c>
      <c r="T821">
        <v>69.92</v>
      </c>
      <c r="U821">
        <v>1.29</v>
      </c>
      <c r="V821">
        <v>35.229999999999997</v>
      </c>
      <c r="W821">
        <v>226.62</v>
      </c>
      <c r="X821">
        <v>40.200000000000003</v>
      </c>
      <c r="Y821">
        <v>103.57</v>
      </c>
      <c r="Z821">
        <v>15.68</v>
      </c>
      <c r="AA821">
        <v>5.64</v>
      </c>
      <c r="AB821">
        <v>205.3</v>
      </c>
      <c r="AC821">
        <v>271.32158590308376</v>
      </c>
      <c r="AD821">
        <v>33.766447368421055</v>
      </c>
      <c r="AE821">
        <v>85.95</v>
      </c>
      <c r="AF821">
        <v>13.62</v>
      </c>
      <c r="AG821">
        <v>1</v>
      </c>
      <c r="AH821">
        <v>2.54</v>
      </c>
      <c r="AI821">
        <v>61.54</v>
      </c>
      <c r="AJ821">
        <v>250.23</v>
      </c>
      <c r="AK821">
        <v>77.83</v>
      </c>
      <c r="AL821" t="s">
        <v>23</v>
      </c>
      <c r="AM821" t="s">
        <v>24</v>
      </c>
      <c r="AN821" t="str">
        <f t="shared" si="48"/>
        <v>Morning</v>
      </c>
      <c r="AO821" t="str">
        <f t="shared" si="49"/>
        <v>Peak</v>
      </c>
      <c r="AP821" t="str">
        <f t="shared" si="50"/>
        <v>High</v>
      </c>
      <c r="AQ821" t="str">
        <f t="shared" si="51"/>
        <v>Medium</v>
      </c>
    </row>
    <row r="822" spans="1:43" x14ac:dyDescent="0.3">
      <c r="A822">
        <v>821</v>
      </c>
      <c r="B822" t="s">
        <v>7</v>
      </c>
      <c r="C822" t="s">
        <v>8</v>
      </c>
      <c r="D822" s="1">
        <v>46203</v>
      </c>
      <c r="E822" t="s">
        <v>44</v>
      </c>
      <c r="F822">
        <v>0</v>
      </c>
      <c r="G822">
        <v>18</v>
      </c>
      <c r="H822" t="s">
        <v>51</v>
      </c>
      <c r="I822" t="s">
        <v>50</v>
      </c>
      <c r="J822">
        <v>1.2</v>
      </c>
      <c r="K822" t="s">
        <v>12</v>
      </c>
      <c r="L822">
        <v>0</v>
      </c>
      <c r="M822">
        <v>4.22</v>
      </c>
      <c r="N822">
        <v>61</v>
      </c>
      <c r="O822" t="s">
        <v>35</v>
      </c>
      <c r="P822">
        <v>28</v>
      </c>
      <c r="Q822">
        <v>5.37</v>
      </c>
      <c r="R822">
        <v>54.6</v>
      </c>
      <c r="S822">
        <v>91.71</v>
      </c>
      <c r="T822">
        <v>66.08</v>
      </c>
      <c r="U822">
        <v>1</v>
      </c>
      <c r="V822">
        <v>0</v>
      </c>
      <c r="W822">
        <v>157.79</v>
      </c>
      <c r="X822">
        <v>42.7</v>
      </c>
      <c r="Y822">
        <v>107.05</v>
      </c>
      <c r="Z822">
        <v>13.44</v>
      </c>
      <c r="AA822">
        <v>11.2</v>
      </c>
      <c r="AB822">
        <v>133.15</v>
      </c>
      <c r="AC822">
        <v>146.31868131868131</v>
      </c>
      <c r="AD822">
        <v>24.795158286778399</v>
      </c>
      <c r="AE822">
        <v>71.849999999999994</v>
      </c>
      <c r="AF822">
        <v>14.18</v>
      </c>
      <c r="AG822">
        <v>1</v>
      </c>
      <c r="AH822">
        <v>-9.42</v>
      </c>
      <c r="AI822">
        <v>51.58</v>
      </c>
      <c r="AJ822">
        <v>130.94999999999999</v>
      </c>
      <c r="AK822">
        <v>75.56</v>
      </c>
      <c r="AL822" t="s">
        <v>14</v>
      </c>
      <c r="AM822" t="s">
        <v>15</v>
      </c>
      <c r="AN822" t="str">
        <f t="shared" si="48"/>
        <v>Night</v>
      </c>
      <c r="AO822" t="str">
        <f t="shared" si="49"/>
        <v>Peak</v>
      </c>
      <c r="AP822" t="str">
        <f t="shared" si="50"/>
        <v>Low</v>
      </c>
      <c r="AQ822" t="str">
        <f t="shared" si="51"/>
        <v>Medium</v>
      </c>
    </row>
    <row r="823" spans="1:43" x14ac:dyDescent="0.3">
      <c r="A823">
        <v>822</v>
      </c>
      <c r="B823" t="s">
        <v>25</v>
      </c>
      <c r="C823" t="s">
        <v>17</v>
      </c>
      <c r="D823" s="1">
        <v>46088</v>
      </c>
      <c r="E823" t="s">
        <v>31</v>
      </c>
      <c r="F823">
        <v>1</v>
      </c>
      <c r="G823">
        <v>22</v>
      </c>
      <c r="H823" t="s">
        <v>19</v>
      </c>
      <c r="I823" t="s">
        <v>37</v>
      </c>
      <c r="J823">
        <v>1.02</v>
      </c>
      <c r="K823" t="s">
        <v>21</v>
      </c>
      <c r="L823">
        <v>0</v>
      </c>
      <c r="M823">
        <v>2.62</v>
      </c>
      <c r="N823">
        <v>16</v>
      </c>
      <c r="O823" t="s">
        <v>22</v>
      </c>
      <c r="P823">
        <v>3</v>
      </c>
      <c r="Q823">
        <v>3.35</v>
      </c>
      <c r="R823">
        <v>39.700000000000003</v>
      </c>
      <c r="S823">
        <v>104.51</v>
      </c>
      <c r="T823">
        <v>24.55</v>
      </c>
      <c r="U823">
        <v>1.03</v>
      </c>
      <c r="V823">
        <v>3.14</v>
      </c>
      <c r="W823">
        <v>132.19999999999999</v>
      </c>
      <c r="X823">
        <v>42.2</v>
      </c>
      <c r="Y823">
        <v>102.89</v>
      </c>
      <c r="Z823">
        <v>8.17</v>
      </c>
      <c r="AA823">
        <v>2.77</v>
      </c>
      <c r="AB823">
        <v>121.26</v>
      </c>
      <c r="AC823">
        <v>183.26448362720402</v>
      </c>
      <c r="AD823">
        <v>36.197014925373132</v>
      </c>
      <c r="AE823">
        <v>65.39</v>
      </c>
      <c r="AF823">
        <v>14.41</v>
      </c>
      <c r="AG823">
        <v>1</v>
      </c>
      <c r="AH823">
        <v>-1.61</v>
      </c>
      <c r="AI823">
        <v>14.39</v>
      </c>
      <c r="AJ823">
        <v>194.65</v>
      </c>
      <c r="AK823">
        <v>66.040000000000006</v>
      </c>
      <c r="AL823" t="s">
        <v>23</v>
      </c>
      <c r="AM823" t="s">
        <v>24</v>
      </c>
      <c r="AN823" t="str">
        <f t="shared" si="48"/>
        <v>Night</v>
      </c>
      <c r="AO823" t="str">
        <f t="shared" si="49"/>
        <v>Off-Peak</v>
      </c>
      <c r="AP823" t="str">
        <f t="shared" si="50"/>
        <v>Medium</v>
      </c>
      <c r="AQ823" t="str">
        <f t="shared" si="51"/>
        <v>Low</v>
      </c>
    </row>
    <row r="824" spans="1:43" x14ac:dyDescent="0.3">
      <c r="A824">
        <v>823</v>
      </c>
      <c r="B824" t="s">
        <v>7</v>
      </c>
      <c r="C824" t="s">
        <v>8</v>
      </c>
      <c r="D824" s="1">
        <v>46223</v>
      </c>
      <c r="E824" t="s">
        <v>38</v>
      </c>
      <c r="F824">
        <v>0</v>
      </c>
      <c r="G824">
        <v>19</v>
      </c>
      <c r="H824" t="s">
        <v>51</v>
      </c>
      <c r="I824" t="s">
        <v>37</v>
      </c>
      <c r="J824">
        <v>1.02</v>
      </c>
      <c r="K824" t="s">
        <v>21</v>
      </c>
      <c r="L824">
        <v>0</v>
      </c>
      <c r="M824">
        <v>4.12</v>
      </c>
      <c r="N824">
        <v>74</v>
      </c>
      <c r="O824" t="s">
        <v>13</v>
      </c>
      <c r="P824">
        <v>40</v>
      </c>
      <c r="Q824">
        <v>3.82</v>
      </c>
      <c r="R824">
        <v>40.200000000000003</v>
      </c>
      <c r="S824">
        <v>74.650000000000006</v>
      </c>
      <c r="T824">
        <v>68.739999999999995</v>
      </c>
      <c r="U824">
        <v>1</v>
      </c>
      <c r="V824">
        <v>0</v>
      </c>
      <c r="W824">
        <v>143.38999999999999</v>
      </c>
      <c r="X824">
        <v>48.9</v>
      </c>
      <c r="Y824">
        <v>108.35</v>
      </c>
      <c r="Z824">
        <v>8.48</v>
      </c>
      <c r="AA824">
        <v>2.91</v>
      </c>
      <c r="AB824">
        <v>132</v>
      </c>
      <c r="AC824">
        <v>197.0149253731343</v>
      </c>
      <c r="AD824">
        <v>34.554973821989527</v>
      </c>
      <c r="AE824">
        <v>84.01</v>
      </c>
      <c r="AF824">
        <v>13.81</v>
      </c>
      <c r="AG824">
        <v>1</v>
      </c>
      <c r="AH824">
        <v>4.37</v>
      </c>
      <c r="AI824">
        <v>78.37</v>
      </c>
      <c r="AJ824">
        <v>206.84</v>
      </c>
      <c r="AK824">
        <v>73.52</v>
      </c>
      <c r="AL824" t="s">
        <v>14</v>
      </c>
      <c r="AM824" t="s">
        <v>15</v>
      </c>
      <c r="AN824" t="str">
        <f t="shared" si="48"/>
        <v>Night</v>
      </c>
      <c r="AO824" t="str">
        <f t="shared" si="49"/>
        <v>Peak</v>
      </c>
      <c r="AP824" t="str">
        <f t="shared" si="50"/>
        <v>Medium</v>
      </c>
      <c r="AQ824" t="str">
        <f t="shared" si="51"/>
        <v>High</v>
      </c>
    </row>
    <row r="825" spans="1:43" x14ac:dyDescent="0.3">
      <c r="A825">
        <v>824</v>
      </c>
      <c r="B825" t="s">
        <v>25</v>
      </c>
      <c r="C825" t="s">
        <v>17</v>
      </c>
      <c r="D825" s="1">
        <v>46223</v>
      </c>
      <c r="E825" t="s">
        <v>38</v>
      </c>
      <c r="F825">
        <v>0</v>
      </c>
      <c r="G825">
        <v>14</v>
      </c>
      <c r="H825" t="s">
        <v>19</v>
      </c>
      <c r="I825" t="s">
        <v>39</v>
      </c>
      <c r="J825">
        <v>1.05</v>
      </c>
      <c r="K825" t="s">
        <v>21</v>
      </c>
      <c r="L825">
        <v>0</v>
      </c>
      <c r="M825">
        <v>2.8</v>
      </c>
      <c r="N825">
        <v>9</v>
      </c>
      <c r="O825" t="s">
        <v>22</v>
      </c>
      <c r="P825">
        <v>1</v>
      </c>
      <c r="Q825">
        <v>3.83</v>
      </c>
      <c r="R825">
        <v>44.7</v>
      </c>
      <c r="S825">
        <v>116.46</v>
      </c>
      <c r="T825">
        <v>0</v>
      </c>
      <c r="U825">
        <v>1.04</v>
      </c>
      <c r="V825">
        <v>4.66</v>
      </c>
      <c r="W825">
        <v>121.12</v>
      </c>
      <c r="X825">
        <v>39</v>
      </c>
      <c r="Y825">
        <v>109.64</v>
      </c>
      <c r="Z825">
        <v>10.77</v>
      </c>
      <c r="AA825">
        <v>7.28</v>
      </c>
      <c r="AB825">
        <v>103.07</v>
      </c>
      <c r="AC825">
        <v>138.34899328859061</v>
      </c>
      <c r="AD825">
        <v>26.911227154046994</v>
      </c>
      <c r="AE825">
        <v>83.73</v>
      </c>
      <c r="AF825">
        <v>17.059999999999999</v>
      </c>
      <c r="AG825">
        <v>0</v>
      </c>
      <c r="AH825">
        <v>0.05</v>
      </c>
      <c r="AI825">
        <v>9.0500000000000007</v>
      </c>
      <c r="AJ825">
        <v>160.46</v>
      </c>
      <c r="AK825">
        <v>68.510000000000005</v>
      </c>
      <c r="AL825" t="s">
        <v>14</v>
      </c>
      <c r="AM825" t="s">
        <v>15</v>
      </c>
      <c r="AN825" t="str">
        <f t="shared" si="48"/>
        <v>Afternoon</v>
      </c>
      <c r="AO825" t="str">
        <f t="shared" si="49"/>
        <v>Off-Peak</v>
      </c>
      <c r="AP825" t="str">
        <f t="shared" si="50"/>
        <v>Low</v>
      </c>
      <c r="AQ825" t="str">
        <f t="shared" si="51"/>
        <v>Low</v>
      </c>
    </row>
    <row r="826" spans="1:43" x14ac:dyDescent="0.3">
      <c r="A826">
        <v>825</v>
      </c>
      <c r="B826" t="s">
        <v>25</v>
      </c>
      <c r="C826" t="s">
        <v>17</v>
      </c>
      <c r="D826" s="1">
        <v>46179</v>
      </c>
      <c r="E826" t="s">
        <v>31</v>
      </c>
      <c r="F826">
        <v>1</v>
      </c>
      <c r="G826">
        <v>12</v>
      </c>
      <c r="H826" t="s">
        <v>19</v>
      </c>
      <c r="I826" t="s">
        <v>45</v>
      </c>
      <c r="J826">
        <v>1</v>
      </c>
      <c r="K826" t="s">
        <v>12</v>
      </c>
      <c r="L826">
        <v>0</v>
      </c>
      <c r="M826">
        <v>1.37</v>
      </c>
      <c r="N826">
        <v>44</v>
      </c>
      <c r="O826" t="s">
        <v>35</v>
      </c>
      <c r="P826">
        <v>9</v>
      </c>
      <c r="Q826">
        <v>7.33</v>
      </c>
      <c r="R826">
        <v>48.8</v>
      </c>
      <c r="S826">
        <v>149.72999999999999</v>
      </c>
      <c r="T826">
        <v>35.369999999999997</v>
      </c>
      <c r="U826">
        <v>1.0900000000000001</v>
      </c>
      <c r="V826">
        <v>13.48</v>
      </c>
      <c r="W826">
        <v>198.58</v>
      </c>
      <c r="X826">
        <v>40</v>
      </c>
      <c r="Y826">
        <v>102.95</v>
      </c>
      <c r="Z826">
        <v>18.88</v>
      </c>
      <c r="AA826">
        <v>6.71</v>
      </c>
      <c r="AB826">
        <v>172.99</v>
      </c>
      <c r="AC826">
        <v>212.6926229508197</v>
      </c>
      <c r="AD826">
        <v>23.600272851296044</v>
      </c>
      <c r="AE826">
        <v>84.82</v>
      </c>
      <c r="AF826">
        <v>12.92</v>
      </c>
      <c r="AG826">
        <v>1</v>
      </c>
      <c r="AH826">
        <v>-8.2799999999999994</v>
      </c>
      <c r="AI826">
        <v>35.72</v>
      </c>
      <c r="AJ826">
        <v>194.62</v>
      </c>
      <c r="AK826">
        <v>75.709999999999994</v>
      </c>
      <c r="AL826" t="s">
        <v>14</v>
      </c>
      <c r="AM826" t="s">
        <v>15</v>
      </c>
      <c r="AN826" t="str">
        <f t="shared" si="48"/>
        <v>Afternoon</v>
      </c>
      <c r="AO826" t="str">
        <f t="shared" si="49"/>
        <v>Off-Peak</v>
      </c>
      <c r="AP826" t="str">
        <f t="shared" si="50"/>
        <v>Medium</v>
      </c>
      <c r="AQ826" t="str">
        <f t="shared" si="51"/>
        <v>Medium</v>
      </c>
    </row>
    <row r="827" spans="1:43" x14ac:dyDescent="0.3">
      <c r="A827">
        <v>826</v>
      </c>
      <c r="B827" t="s">
        <v>7</v>
      </c>
      <c r="C827" t="s">
        <v>8</v>
      </c>
      <c r="D827" s="1">
        <v>46222</v>
      </c>
      <c r="E827" t="s">
        <v>26</v>
      </c>
      <c r="F827">
        <v>1</v>
      </c>
      <c r="G827">
        <v>20</v>
      </c>
      <c r="H827" t="s">
        <v>51</v>
      </c>
      <c r="I827" t="s">
        <v>20</v>
      </c>
      <c r="J827">
        <v>1.25</v>
      </c>
      <c r="K827" t="s">
        <v>21</v>
      </c>
      <c r="L827">
        <v>0</v>
      </c>
      <c r="M827">
        <v>5</v>
      </c>
      <c r="N827">
        <v>97</v>
      </c>
      <c r="O827" t="s">
        <v>13</v>
      </c>
      <c r="P827">
        <v>26</v>
      </c>
      <c r="Q827">
        <v>1</v>
      </c>
      <c r="R827">
        <v>28.1</v>
      </c>
      <c r="S827">
        <v>49.75</v>
      </c>
      <c r="T827">
        <v>100</v>
      </c>
      <c r="U827">
        <v>1</v>
      </c>
      <c r="V827">
        <v>0</v>
      </c>
      <c r="W827">
        <v>149.75</v>
      </c>
      <c r="X827">
        <v>44.9</v>
      </c>
      <c r="Y827">
        <v>107.85</v>
      </c>
      <c r="Z827">
        <v>2.4</v>
      </c>
      <c r="AA827">
        <v>8.3800000000000008</v>
      </c>
      <c r="AB827">
        <v>138.97</v>
      </c>
      <c r="AC827">
        <v>296.73309608540922</v>
      </c>
      <c r="AD827">
        <v>138.97</v>
      </c>
      <c r="AE827">
        <v>79.86</v>
      </c>
      <c r="AF827">
        <v>18.489999999999998</v>
      </c>
      <c r="AG827">
        <v>1</v>
      </c>
      <c r="AH827">
        <v>10.19</v>
      </c>
      <c r="AI827">
        <v>107.19</v>
      </c>
      <c r="AJ827">
        <v>306.48</v>
      </c>
      <c r="AK827">
        <v>71.150000000000006</v>
      </c>
      <c r="AL827" t="s">
        <v>14</v>
      </c>
      <c r="AM827" t="s">
        <v>15</v>
      </c>
      <c r="AN827" t="str">
        <f t="shared" si="48"/>
        <v>Night</v>
      </c>
      <c r="AO827" t="str">
        <f t="shared" si="49"/>
        <v>Peak</v>
      </c>
      <c r="AP827" t="str">
        <f t="shared" si="50"/>
        <v>High</v>
      </c>
      <c r="AQ827" t="str">
        <f t="shared" si="51"/>
        <v>High</v>
      </c>
    </row>
    <row r="828" spans="1:43" x14ac:dyDescent="0.3">
      <c r="A828">
        <v>827</v>
      </c>
      <c r="B828" t="s">
        <v>25</v>
      </c>
      <c r="C828" t="s">
        <v>17</v>
      </c>
      <c r="D828" s="1">
        <v>46172</v>
      </c>
      <c r="E828" t="s">
        <v>31</v>
      </c>
      <c r="F828">
        <v>1</v>
      </c>
      <c r="G828">
        <v>11</v>
      </c>
      <c r="H828" t="s">
        <v>19</v>
      </c>
      <c r="I828" t="s">
        <v>37</v>
      </c>
      <c r="J828">
        <v>1.02</v>
      </c>
      <c r="K828" t="s">
        <v>21</v>
      </c>
      <c r="L828">
        <v>0</v>
      </c>
      <c r="M828">
        <v>2.94</v>
      </c>
      <c r="N828">
        <v>50</v>
      </c>
      <c r="O828" t="s">
        <v>35</v>
      </c>
      <c r="P828">
        <v>12</v>
      </c>
      <c r="Q828">
        <v>2.7</v>
      </c>
      <c r="R828">
        <v>30</v>
      </c>
      <c r="S828">
        <v>107.83</v>
      </c>
      <c r="T828">
        <v>42.39</v>
      </c>
      <c r="U828">
        <v>1.0900000000000001</v>
      </c>
      <c r="V828">
        <v>9.6999999999999993</v>
      </c>
      <c r="W828">
        <v>159.91999999999999</v>
      </c>
      <c r="X828">
        <v>48.3</v>
      </c>
      <c r="Y828">
        <v>108.13</v>
      </c>
      <c r="Z828">
        <v>6.03</v>
      </c>
      <c r="AA828">
        <v>4.29</v>
      </c>
      <c r="AB828">
        <v>149.6</v>
      </c>
      <c r="AC828">
        <v>299.2</v>
      </c>
      <c r="AD828">
        <v>55.407407407407405</v>
      </c>
      <c r="AE828">
        <v>81.819999999999993</v>
      </c>
      <c r="AF828">
        <v>18.43</v>
      </c>
      <c r="AG828">
        <v>1</v>
      </c>
      <c r="AH828">
        <v>5.83</v>
      </c>
      <c r="AI828">
        <v>55.83</v>
      </c>
      <c r="AJ828">
        <v>299.3</v>
      </c>
      <c r="AK828">
        <v>71.72</v>
      </c>
      <c r="AL828" t="s">
        <v>23</v>
      </c>
      <c r="AM828" t="s">
        <v>24</v>
      </c>
      <c r="AN828" t="str">
        <f t="shared" si="48"/>
        <v>Afternoon</v>
      </c>
      <c r="AO828" t="str">
        <f t="shared" si="49"/>
        <v>Off-Peak</v>
      </c>
      <c r="AP828" t="str">
        <f t="shared" si="50"/>
        <v>High</v>
      </c>
      <c r="AQ828" t="str">
        <f t="shared" si="51"/>
        <v>Medium</v>
      </c>
    </row>
    <row r="829" spans="1:43" x14ac:dyDescent="0.3">
      <c r="A829">
        <v>828</v>
      </c>
      <c r="B829" t="s">
        <v>23</v>
      </c>
      <c r="C829" t="s">
        <v>17</v>
      </c>
      <c r="D829" s="1">
        <v>46120</v>
      </c>
      <c r="E829" t="s">
        <v>18</v>
      </c>
      <c r="F829">
        <v>0</v>
      </c>
      <c r="G829">
        <v>14</v>
      </c>
      <c r="H829" t="s">
        <v>19</v>
      </c>
      <c r="I829" t="s">
        <v>28</v>
      </c>
      <c r="J829">
        <v>1.03</v>
      </c>
      <c r="K829" t="s">
        <v>12</v>
      </c>
      <c r="L829">
        <v>0</v>
      </c>
      <c r="M829">
        <v>2.61</v>
      </c>
      <c r="N829">
        <v>8</v>
      </c>
      <c r="O829" t="s">
        <v>22</v>
      </c>
      <c r="P829">
        <v>2</v>
      </c>
      <c r="Q829">
        <v>1.68</v>
      </c>
      <c r="R829">
        <v>31.7</v>
      </c>
      <c r="S829">
        <v>77.16</v>
      </c>
      <c r="T829">
        <v>31.7</v>
      </c>
      <c r="U829">
        <v>1</v>
      </c>
      <c r="V829">
        <v>0</v>
      </c>
      <c r="W829">
        <v>108.86</v>
      </c>
      <c r="X829">
        <v>36.700000000000003</v>
      </c>
      <c r="Y829">
        <v>104.91</v>
      </c>
      <c r="Z829">
        <v>4.8</v>
      </c>
      <c r="AA829">
        <v>4.26</v>
      </c>
      <c r="AB829">
        <v>99.8</v>
      </c>
      <c r="AC829">
        <v>188.89589905362777</v>
      </c>
      <c r="AD829">
        <v>59.404761904761905</v>
      </c>
      <c r="AE829">
        <v>78.599999999999994</v>
      </c>
      <c r="AF829">
        <v>16.989999999999998</v>
      </c>
      <c r="AG829">
        <v>0</v>
      </c>
      <c r="AH829">
        <v>8.89</v>
      </c>
      <c r="AI829">
        <v>16.89</v>
      </c>
      <c r="AJ829">
        <v>186.91</v>
      </c>
      <c r="AK829">
        <v>70.88</v>
      </c>
      <c r="AL829" t="s">
        <v>14</v>
      </c>
      <c r="AM829" t="s">
        <v>15</v>
      </c>
      <c r="AN829" t="str">
        <f t="shared" si="48"/>
        <v>Afternoon</v>
      </c>
      <c r="AO829" t="str">
        <f t="shared" si="49"/>
        <v>Off-Peak</v>
      </c>
      <c r="AP829" t="str">
        <f t="shared" si="50"/>
        <v>Medium</v>
      </c>
      <c r="AQ829" t="str">
        <f t="shared" si="51"/>
        <v>Low</v>
      </c>
    </row>
    <row r="830" spans="1:43" x14ac:dyDescent="0.3">
      <c r="A830">
        <v>829</v>
      </c>
      <c r="B830" t="s">
        <v>23</v>
      </c>
      <c r="C830" t="s">
        <v>17</v>
      </c>
      <c r="D830" s="1">
        <v>46213</v>
      </c>
      <c r="E830" t="s">
        <v>9</v>
      </c>
      <c r="F830">
        <v>0</v>
      </c>
      <c r="G830">
        <v>19</v>
      </c>
      <c r="H830" t="s">
        <v>40</v>
      </c>
      <c r="I830" t="s">
        <v>39</v>
      </c>
      <c r="J830">
        <v>1.05</v>
      </c>
      <c r="K830" t="s">
        <v>21</v>
      </c>
      <c r="L830">
        <v>0</v>
      </c>
      <c r="M830">
        <v>3.65</v>
      </c>
      <c r="N830">
        <v>67</v>
      </c>
      <c r="O830" t="s">
        <v>35</v>
      </c>
      <c r="P830">
        <v>12</v>
      </c>
      <c r="Q830">
        <v>13</v>
      </c>
      <c r="R830">
        <v>85.7</v>
      </c>
      <c r="S830">
        <v>193.38</v>
      </c>
      <c r="T830">
        <v>70</v>
      </c>
      <c r="U830">
        <v>1.35</v>
      </c>
      <c r="V830">
        <v>67.680000000000007</v>
      </c>
      <c r="W830">
        <v>331.06</v>
      </c>
      <c r="X830">
        <v>38.1</v>
      </c>
      <c r="Y830">
        <v>100.88</v>
      </c>
      <c r="Z830">
        <v>34.39</v>
      </c>
      <c r="AA830">
        <v>9.49</v>
      </c>
      <c r="AB830">
        <v>287.18</v>
      </c>
      <c r="AC830">
        <v>201.05950991831972</v>
      </c>
      <c r="AD830">
        <v>22.090769230769233</v>
      </c>
      <c r="AE830">
        <v>78.55</v>
      </c>
      <c r="AF830">
        <v>16.03</v>
      </c>
      <c r="AG830">
        <v>1</v>
      </c>
      <c r="AH830">
        <v>13.58</v>
      </c>
      <c r="AI830">
        <v>80.58</v>
      </c>
      <c r="AJ830">
        <v>203.23</v>
      </c>
      <c r="AK830">
        <v>67.69</v>
      </c>
      <c r="AL830" t="s">
        <v>23</v>
      </c>
      <c r="AM830" t="s">
        <v>24</v>
      </c>
      <c r="AN830" t="str">
        <f t="shared" si="48"/>
        <v>Night</v>
      </c>
      <c r="AO830" t="str">
        <f t="shared" si="49"/>
        <v>Peak</v>
      </c>
      <c r="AP830" t="str">
        <f t="shared" si="50"/>
        <v>Medium</v>
      </c>
      <c r="AQ830" t="str">
        <f t="shared" si="51"/>
        <v>Medium</v>
      </c>
    </row>
    <row r="831" spans="1:43" x14ac:dyDescent="0.3">
      <c r="A831">
        <v>830</v>
      </c>
      <c r="B831" t="s">
        <v>7</v>
      </c>
      <c r="C831" t="s">
        <v>8</v>
      </c>
      <c r="D831" s="1">
        <v>46238</v>
      </c>
      <c r="E831" t="s">
        <v>44</v>
      </c>
      <c r="F831">
        <v>0</v>
      </c>
      <c r="G831">
        <v>21</v>
      </c>
      <c r="H831" t="s">
        <v>51</v>
      </c>
      <c r="I831" t="s">
        <v>50</v>
      </c>
      <c r="J831">
        <v>1.2</v>
      </c>
      <c r="K831" t="s">
        <v>12</v>
      </c>
      <c r="L831">
        <v>0</v>
      </c>
      <c r="M831">
        <v>4.3899999999999997</v>
      </c>
      <c r="N831">
        <v>91</v>
      </c>
      <c r="O831" t="s">
        <v>13</v>
      </c>
      <c r="P831">
        <v>44</v>
      </c>
      <c r="Q831">
        <v>8.2899999999999991</v>
      </c>
      <c r="R831">
        <v>57.6</v>
      </c>
      <c r="S831">
        <v>108.54</v>
      </c>
      <c r="T831">
        <v>100</v>
      </c>
      <c r="U831">
        <v>1</v>
      </c>
      <c r="V831">
        <v>0</v>
      </c>
      <c r="W831">
        <v>208.54</v>
      </c>
      <c r="X831">
        <v>49.2</v>
      </c>
      <c r="Y831">
        <v>107.86</v>
      </c>
      <c r="Z831">
        <v>18.170000000000002</v>
      </c>
      <c r="AA831">
        <v>4.92</v>
      </c>
      <c r="AB831">
        <v>185.45</v>
      </c>
      <c r="AC831">
        <v>193.17708333333331</v>
      </c>
      <c r="AD831">
        <v>22.370325693606755</v>
      </c>
      <c r="AE831">
        <v>80.819999999999993</v>
      </c>
      <c r="AF831">
        <v>16.88</v>
      </c>
      <c r="AG831">
        <v>1</v>
      </c>
      <c r="AH831">
        <v>0.44</v>
      </c>
      <c r="AI831">
        <v>91.44</v>
      </c>
      <c r="AJ831">
        <v>195.81</v>
      </c>
      <c r="AK831">
        <v>86.49</v>
      </c>
      <c r="AL831" t="s">
        <v>14</v>
      </c>
      <c r="AM831" t="s">
        <v>15</v>
      </c>
      <c r="AN831" t="str">
        <f t="shared" si="48"/>
        <v>Night</v>
      </c>
      <c r="AO831" t="str">
        <f t="shared" si="49"/>
        <v>Off-Peak</v>
      </c>
      <c r="AP831" t="str">
        <f t="shared" si="50"/>
        <v>Medium</v>
      </c>
      <c r="AQ831" t="str">
        <f t="shared" si="51"/>
        <v>High</v>
      </c>
    </row>
    <row r="832" spans="1:43" x14ac:dyDescent="0.3">
      <c r="A832">
        <v>831</v>
      </c>
      <c r="B832" t="s">
        <v>14</v>
      </c>
      <c r="C832" t="s">
        <v>8</v>
      </c>
      <c r="D832" s="1">
        <v>46239</v>
      </c>
      <c r="E832" t="s">
        <v>18</v>
      </c>
      <c r="F832">
        <v>0</v>
      </c>
      <c r="G832">
        <v>21</v>
      </c>
      <c r="H832" t="s">
        <v>51</v>
      </c>
      <c r="I832" t="s">
        <v>39</v>
      </c>
      <c r="J832">
        <v>1.05</v>
      </c>
      <c r="K832" t="s">
        <v>12</v>
      </c>
      <c r="L832">
        <v>0</v>
      </c>
      <c r="M832">
        <v>3.38</v>
      </c>
      <c r="N832">
        <v>89</v>
      </c>
      <c r="O832" t="s">
        <v>13</v>
      </c>
      <c r="P832">
        <v>34</v>
      </c>
      <c r="Q832">
        <v>2.78</v>
      </c>
      <c r="R832">
        <v>33.4</v>
      </c>
      <c r="S832">
        <v>82.68</v>
      </c>
      <c r="T832">
        <v>93.45</v>
      </c>
      <c r="U832">
        <v>1</v>
      </c>
      <c r="V832">
        <v>0</v>
      </c>
      <c r="W832">
        <v>176.13</v>
      </c>
      <c r="X832">
        <v>46.7</v>
      </c>
      <c r="Y832">
        <v>104.07</v>
      </c>
      <c r="Z832">
        <v>6.21</v>
      </c>
      <c r="AA832">
        <v>9.27</v>
      </c>
      <c r="AB832">
        <v>160.65</v>
      </c>
      <c r="AC832">
        <v>288.59281437125753</v>
      </c>
      <c r="AD832">
        <v>57.787769784172667</v>
      </c>
      <c r="AE832">
        <v>79.91</v>
      </c>
      <c r="AF832">
        <v>14.9</v>
      </c>
      <c r="AG832">
        <v>1</v>
      </c>
      <c r="AH832">
        <v>0.47</v>
      </c>
      <c r="AI832">
        <v>89.47</v>
      </c>
      <c r="AJ832">
        <v>299.49</v>
      </c>
      <c r="AK832">
        <v>76.650000000000006</v>
      </c>
      <c r="AL832" t="s">
        <v>14</v>
      </c>
      <c r="AM832" t="s">
        <v>15</v>
      </c>
      <c r="AN832" t="str">
        <f t="shared" si="48"/>
        <v>Night</v>
      </c>
      <c r="AO832" t="str">
        <f t="shared" si="49"/>
        <v>Off-Peak</v>
      </c>
      <c r="AP832" t="str">
        <f t="shared" si="50"/>
        <v>High</v>
      </c>
      <c r="AQ832" t="str">
        <f t="shared" si="51"/>
        <v>High</v>
      </c>
    </row>
    <row r="833" spans="1:43" x14ac:dyDescent="0.3">
      <c r="A833">
        <v>832</v>
      </c>
      <c r="B833" t="s">
        <v>14</v>
      </c>
      <c r="C833" t="s">
        <v>8</v>
      </c>
      <c r="D833" s="1">
        <v>46077</v>
      </c>
      <c r="E833" t="s">
        <v>44</v>
      </c>
      <c r="F833">
        <v>0</v>
      </c>
      <c r="G833">
        <v>8</v>
      </c>
      <c r="H833" t="s">
        <v>49</v>
      </c>
      <c r="I833" t="s">
        <v>46</v>
      </c>
      <c r="J833">
        <v>1.1499999999999999</v>
      </c>
      <c r="K833" t="s">
        <v>12</v>
      </c>
      <c r="L833">
        <v>0</v>
      </c>
      <c r="M833">
        <v>1.2</v>
      </c>
      <c r="N833">
        <v>37</v>
      </c>
      <c r="O833" t="s">
        <v>35</v>
      </c>
      <c r="P833">
        <v>12</v>
      </c>
      <c r="Q833">
        <v>1.19</v>
      </c>
      <c r="R833">
        <v>19.100000000000001</v>
      </c>
      <c r="S833">
        <v>72.28</v>
      </c>
      <c r="T833">
        <v>22.64</v>
      </c>
      <c r="U833">
        <v>1</v>
      </c>
      <c r="V833">
        <v>0</v>
      </c>
      <c r="W833">
        <v>94.92</v>
      </c>
      <c r="X833">
        <v>40.200000000000003</v>
      </c>
      <c r="Y833">
        <v>102.08</v>
      </c>
      <c r="Z833">
        <v>3.02</v>
      </c>
      <c r="AA833">
        <v>8.41</v>
      </c>
      <c r="AB833">
        <v>83.49</v>
      </c>
      <c r="AC833">
        <v>262.27225130890048</v>
      </c>
      <c r="AD833">
        <v>70.159663865546221</v>
      </c>
      <c r="AE833">
        <v>68.66</v>
      </c>
      <c r="AF833">
        <v>12.6</v>
      </c>
      <c r="AG833">
        <v>0</v>
      </c>
      <c r="AH833">
        <v>25.24</v>
      </c>
      <c r="AI833">
        <v>62.24</v>
      </c>
      <c r="AJ833">
        <v>266.14</v>
      </c>
      <c r="AK833">
        <v>60</v>
      </c>
      <c r="AL833" t="s">
        <v>14</v>
      </c>
      <c r="AM833" t="s">
        <v>15</v>
      </c>
      <c r="AN833" t="str">
        <f t="shared" si="48"/>
        <v>Morning</v>
      </c>
      <c r="AO833" t="str">
        <f t="shared" si="49"/>
        <v>Peak</v>
      </c>
      <c r="AP833" t="str">
        <f t="shared" si="50"/>
        <v>High</v>
      </c>
      <c r="AQ833" t="str">
        <f t="shared" si="51"/>
        <v>Medium</v>
      </c>
    </row>
    <row r="834" spans="1:43" x14ac:dyDescent="0.3">
      <c r="A834">
        <v>833</v>
      </c>
      <c r="B834" t="s">
        <v>29</v>
      </c>
      <c r="C834" t="s">
        <v>30</v>
      </c>
      <c r="D834" s="1">
        <v>46197</v>
      </c>
      <c r="E834" t="s">
        <v>18</v>
      </c>
      <c r="F834">
        <v>0</v>
      </c>
      <c r="G834">
        <v>21</v>
      </c>
      <c r="H834" t="s">
        <v>36</v>
      </c>
      <c r="I834" t="s">
        <v>45</v>
      </c>
      <c r="J834">
        <v>1</v>
      </c>
      <c r="K834" t="s">
        <v>12</v>
      </c>
      <c r="L834">
        <v>0</v>
      </c>
      <c r="M834">
        <v>3.33</v>
      </c>
      <c r="N834">
        <v>26</v>
      </c>
      <c r="O834" t="s">
        <v>22</v>
      </c>
      <c r="P834">
        <v>7</v>
      </c>
      <c r="Q834">
        <v>1.5</v>
      </c>
      <c r="R834">
        <v>25.5</v>
      </c>
      <c r="S834">
        <v>71.09</v>
      </c>
      <c r="T834">
        <v>41.24</v>
      </c>
      <c r="U834">
        <v>1</v>
      </c>
      <c r="V834">
        <v>0</v>
      </c>
      <c r="W834">
        <v>112.33</v>
      </c>
      <c r="X834">
        <v>40.4</v>
      </c>
      <c r="Y834">
        <v>106.27</v>
      </c>
      <c r="Z834">
        <v>3.96</v>
      </c>
      <c r="AA834">
        <v>2.83</v>
      </c>
      <c r="AB834">
        <v>105.54</v>
      </c>
      <c r="AC834">
        <v>248.3294117647059</v>
      </c>
      <c r="AD834">
        <v>70.36</v>
      </c>
      <c r="AE834">
        <v>68.59</v>
      </c>
      <c r="AF834">
        <v>16.02</v>
      </c>
      <c r="AG834">
        <v>0</v>
      </c>
      <c r="AH834">
        <v>-11.16</v>
      </c>
      <c r="AI834">
        <v>14.84</v>
      </c>
      <c r="AJ834">
        <v>251.87</v>
      </c>
      <c r="AK834">
        <v>66.849999999999994</v>
      </c>
      <c r="AL834" t="s">
        <v>14</v>
      </c>
      <c r="AM834" t="s">
        <v>15</v>
      </c>
      <c r="AN834" t="str">
        <f t="shared" si="48"/>
        <v>Night</v>
      </c>
      <c r="AO834" t="str">
        <f t="shared" si="49"/>
        <v>Off-Peak</v>
      </c>
      <c r="AP834" t="str">
        <f t="shared" si="50"/>
        <v>Medium</v>
      </c>
      <c r="AQ834" t="str">
        <f t="shared" si="51"/>
        <v>Low</v>
      </c>
    </row>
    <row r="835" spans="1:43" x14ac:dyDescent="0.3">
      <c r="A835">
        <v>834</v>
      </c>
      <c r="B835" t="s">
        <v>14</v>
      </c>
      <c r="C835" t="s">
        <v>8</v>
      </c>
      <c r="D835" s="1">
        <v>46024</v>
      </c>
      <c r="E835" t="s">
        <v>9</v>
      </c>
      <c r="F835">
        <v>0</v>
      </c>
      <c r="G835">
        <v>8</v>
      </c>
      <c r="H835" t="s">
        <v>49</v>
      </c>
      <c r="I835" t="s">
        <v>37</v>
      </c>
      <c r="J835">
        <v>1.02</v>
      </c>
      <c r="K835" t="s">
        <v>12</v>
      </c>
      <c r="L835">
        <v>0</v>
      </c>
      <c r="M835">
        <v>3.42</v>
      </c>
      <c r="N835">
        <v>10</v>
      </c>
      <c r="O835" t="s">
        <v>22</v>
      </c>
      <c r="P835">
        <v>3</v>
      </c>
      <c r="Q835">
        <v>7.27</v>
      </c>
      <c r="R835">
        <v>66.2</v>
      </c>
      <c r="S835">
        <v>117.39</v>
      </c>
      <c r="T835">
        <v>28.02</v>
      </c>
      <c r="U835">
        <v>1</v>
      </c>
      <c r="V835">
        <v>0</v>
      </c>
      <c r="W835">
        <v>145.41</v>
      </c>
      <c r="X835">
        <v>42</v>
      </c>
      <c r="Y835">
        <v>104.37</v>
      </c>
      <c r="Z835">
        <v>18.04</v>
      </c>
      <c r="AA835">
        <v>9.11</v>
      </c>
      <c r="AB835">
        <v>118.26</v>
      </c>
      <c r="AC835">
        <v>107.18429003021149</v>
      </c>
      <c r="AD835">
        <v>16.266850068775792</v>
      </c>
      <c r="AE835">
        <v>67.19</v>
      </c>
      <c r="AF835">
        <v>14.73</v>
      </c>
      <c r="AG835">
        <v>0</v>
      </c>
      <c r="AH835">
        <v>-25.1</v>
      </c>
      <c r="AI835">
        <v>5</v>
      </c>
      <c r="AJ835">
        <v>125.34</v>
      </c>
      <c r="AK835">
        <v>66.95</v>
      </c>
      <c r="AL835" t="s">
        <v>14</v>
      </c>
      <c r="AM835" t="s">
        <v>15</v>
      </c>
      <c r="AN835" t="str">
        <f t="shared" ref="AN835:AN898" si="52">IF(G835&lt;11,"Morning",IF(G835&lt;15,"Afternoon",IF(G835&lt;18,"Evening","Night")))</f>
        <v>Morning</v>
      </c>
      <c r="AO835" t="str">
        <f t="shared" ref="AO835:AO898" si="53">IF(OR(AND(G835&gt;=7,G835&lt;=10),AND(G835&gt;=17,G835&lt;=20)),"Peak","Off-Peak")</f>
        <v>Peak</v>
      </c>
      <c r="AP835" t="str">
        <f t="shared" ref="AP835:AP898" si="54">IF(AC835&lt;150,"Low",IF(AC835&lt;=250,"Medium","High"))</f>
        <v>Low</v>
      </c>
      <c r="AQ835" t="str">
        <f t="shared" ref="AQ835:AQ898" si="55">IF(N835&lt;=35,"Low",IF(N835&lt;=70,"Medium","High"))</f>
        <v>Low</v>
      </c>
    </row>
    <row r="836" spans="1:43" x14ac:dyDescent="0.3">
      <c r="A836">
        <v>835</v>
      </c>
      <c r="B836" t="s">
        <v>16</v>
      </c>
      <c r="C836" t="s">
        <v>17</v>
      </c>
      <c r="D836" s="1">
        <v>46170</v>
      </c>
      <c r="E836" t="s">
        <v>41</v>
      </c>
      <c r="F836">
        <v>0</v>
      </c>
      <c r="G836">
        <v>16</v>
      </c>
      <c r="H836" t="s">
        <v>19</v>
      </c>
      <c r="I836" t="s">
        <v>28</v>
      </c>
      <c r="J836">
        <v>1.03</v>
      </c>
      <c r="K836" t="s">
        <v>12</v>
      </c>
      <c r="L836">
        <v>0</v>
      </c>
      <c r="M836">
        <v>2.84</v>
      </c>
      <c r="N836">
        <v>31</v>
      </c>
      <c r="O836" t="s">
        <v>22</v>
      </c>
      <c r="P836">
        <v>8</v>
      </c>
      <c r="Q836">
        <v>1</v>
      </c>
      <c r="R836">
        <v>25</v>
      </c>
      <c r="S836">
        <v>81.52</v>
      </c>
      <c r="T836">
        <v>23.84</v>
      </c>
      <c r="U836">
        <v>1.06</v>
      </c>
      <c r="V836">
        <v>4.8899999999999997</v>
      </c>
      <c r="W836">
        <v>110.25</v>
      </c>
      <c r="X836">
        <v>45.1</v>
      </c>
      <c r="Y836">
        <v>100.88</v>
      </c>
      <c r="Z836">
        <v>2.2400000000000002</v>
      </c>
      <c r="AA836">
        <v>10.8</v>
      </c>
      <c r="AB836">
        <v>97.21</v>
      </c>
      <c r="AC836">
        <v>233.30399999999997</v>
      </c>
      <c r="AD836">
        <v>97.21</v>
      </c>
      <c r="AE836">
        <v>61.69</v>
      </c>
      <c r="AF836">
        <v>16.850000000000001</v>
      </c>
      <c r="AG836">
        <v>0</v>
      </c>
      <c r="AH836">
        <v>11.33</v>
      </c>
      <c r="AI836">
        <v>42.33</v>
      </c>
      <c r="AJ836">
        <v>215.01</v>
      </c>
      <c r="AK836">
        <v>65.56</v>
      </c>
      <c r="AL836" t="s">
        <v>23</v>
      </c>
      <c r="AM836" t="s">
        <v>24</v>
      </c>
      <c r="AN836" t="str">
        <f t="shared" si="52"/>
        <v>Evening</v>
      </c>
      <c r="AO836" t="str">
        <f t="shared" si="53"/>
        <v>Off-Peak</v>
      </c>
      <c r="AP836" t="str">
        <f t="shared" si="54"/>
        <v>Medium</v>
      </c>
      <c r="AQ836" t="str">
        <f t="shared" si="55"/>
        <v>Low</v>
      </c>
    </row>
    <row r="837" spans="1:43" x14ac:dyDescent="0.3">
      <c r="A837">
        <v>836</v>
      </c>
      <c r="B837" t="s">
        <v>16</v>
      </c>
      <c r="C837" t="s">
        <v>17</v>
      </c>
      <c r="D837" s="1">
        <v>46170</v>
      </c>
      <c r="E837" t="s">
        <v>41</v>
      </c>
      <c r="F837">
        <v>0</v>
      </c>
      <c r="G837">
        <v>21</v>
      </c>
      <c r="H837" t="s">
        <v>19</v>
      </c>
      <c r="I837" t="s">
        <v>11</v>
      </c>
      <c r="J837">
        <v>1.18</v>
      </c>
      <c r="K837" t="s">
        <v>12</v>
      </c>
      <c r="L837">
        <v>0</v>
      </c>
      <c r="M837">
        <v>3.18</v>
      </c>
      <c r="N837">
        <v>69</v>
      </c>
      <c r="O837" t="s">
        <v>35</v>
      </c>
      <c r="P837">
        <v>15</v>
      </c>
      <c r="Q837">
        <v>3.87</v>
      </c>
      <c r="R837">
        <v>37.799999999999997</v>
      </c>
      <c r="S837">
        <v>108.42</v>
      </c>
      <c r="T837">
        <v>75.78</v>
      </c>
      <c r="U837">
        <v>1.29</v>
      </c>
      <c r="V837">
        <v>31.44</v>
      </c>
      <c r="W837">
        <v>215.64</v>
      </c>
      <c r="X837">
        <v>43.4</v>
      </c>
      <c r="Y837">
        <v>109.84</v>
      </c>
      <c r="Z837">
        <v>9.7799999999999994</v>
      </c>
      <c r="AA837">
        <v>10.17</v>
      </c>
      <c r="AB837">
        <v>195.69</v>
      </c>
      <c r="AC837">
        <v>310.61904761904759</v>
      </c>
      <c r="AD837">
        <v>50.565891472868216</v>
      </c>
      <c r="AE837">
        <v>78.66</v>
      </c>
      <c r="AF837">
        <v>14.29</v>
      </c>
      <c r="AG837">
        <v>1</v>
      </c>
      <c r="AH837">
        <v>-6.44</v>
      </c>
      <c r="AI837">
        <v>62.56</v>
      </c>
      <c r="AJ837">
        <v>291.32</v>
      </c>
      <c r="AK837">
        <v>68.84</v>
      </c>
      <c r="AL837" t="s">
        <v>14</v>
      </c>
      <c r="AM837" t="s">
        <v>15</v>
      </c>
      <c r="AN837" t="str">
        <f t="shared" si="52"/>
        <v>Night</v>
      </c>
      <c r="AO837" t="str">
        <f t="shared" si="53"/>
        <v>Off-Peak</v>
      </c>
      <c r="AP837" t="str">
        <f t="shared" si="54"/>
        <v>High</v>
      </c>
      <c r="AQ837" t="str">
        <f t="shared" si="55"/>
        <v>Medium</v>
      </c>
    </row>
    <row r="838" spans="1:43" x14ac:dyDescent="0.3">
      <c r="A838">
        <v>837</v>
      </c>
      <c r="B838" t="s">
        <v>16</v>
      </c>
      <c r="C838" t="s">
        <v>17</v>
      </c>
      <c r="D838" s="1">
        <v>46116</v>
      </c>
      <c r="E838" t="s">
        <v>31</v>
      </c>
      <c r="F838">
        <v>1</v>
      </c>
      <c r="G838">
        <v>17</v>
      </c>
      <c r="H838" t="s">
        <v>40</v>
      </c>
      <c r="I838" t="s">
        <v>39</v>
      </c>
      <c r="J838">
        <v>1.05</v>
      </c>
      <c r="K838" t="s">
        <v>34</v>
      </c>
      <c r="L838">
        <v>1</v>
      </c>
      <c r="M838">
        <v>4.67</v>
      </c>
      <c r="N838">
        <v>113</v>
      </c>
      <c r="O838" t="s">
        <v>13</v>
      </c>
      <c r="P838">
        <v>26</v>
      </c>
      <c r="Q838">
        <v>6.5</v>
      </c>
      <c r="R838">
        <v>61.9</v>
      </c>
      <c r="S838">
        <v>135.85</v>
      </c>
      <c r="T838">
        <v>100</v>
      </c>
      <c r="U838">
        <v>1.3</v>
      </c>
      <c r="V838">
        <v>40.76</v>
      </c>
      <c r="W838">
        <v>276.61</v>
      </c>
      <c r="X838">
        <v>46.6</v>
      </c>
      <c r="Y838">
        <v>102.45</v>
      </c>
      <c r="Z838">
        <v>14.29</v>
      </c>
      <c r="AA838">
        <v>2.09</v>
      </c>
      <c r="AB838">
        <v>260.23</v>
      </c>
      <c r="AC838">
        <v>252.24232633279485</v>
      </c>
      <c r="AD838">
        <v>40.035384615384615</v>
      </c>
      <c r="AE838">
        <v>80.72</v>
      </c>
      <c r="AF838">
        <v>17.95</v>
      </c>
      <c r="AG838">
        <v>1</v>
      </c>
      <c r="AH838">
        <v>-13.16</v>
      </c>
      <c r="AI838">
        <v>99.84</v>
      </c>
      <c r="AJ838">
        <v>280.45999999999998</v>
      </c>
      <c r="AK838">
        <v>74.08</v>
      </c>
      <c r="AL838" t="s">
        <v>23</v>
      </c>
      <c r="AM838" t="s">
        <v>24</v>
      </c>
      <c r="AN838" t="str">
        <f t="shared" si="52"/>
        <v>Evening</v>
      </c>
      <c r="AO838" t="str">
        <f t="shared" si="53"/>
        <v>Peak</v>
      </c>
      <c r="AP838" t="str">
        <f t="shared" si="54"/>
        <v>High</v>
      </c>
      <c r="AQ838" t="str">
        <f t="shared" si="55"/>
        <v>High</v>
      </c>
    </row>
    <row r="839" spans="1:43" x14ac:dyDescent="0.3">
      <c r="A839">
        <v>838</v>
      </c>
      <c r="B839" t="s">
        <v>14</v>
      </c>
      <c r="C839" t="s">
        <v>8</v>
      </c>
      <c r="D839" s="1">
        <v>46279</v>
      </c>
      <c r="E839" t="s">
        <v>38</v>
      </c>
      <c r="F839">
        <v>0</v>
      </c>
      <c r="G839">
        <v>22</v>
      </c>
      <c r="H839" t="s">
        <v>51</v>
      </c>
      <c r="I839" t="s">
        <v>45</v>
      </c>
      <c r="J839">
        <v>1</v>
      </c>
      <c r="K839" t="s">
        <v>12</v>
      </c>
      <c r="L839">
        <v>0</v>
      </c>
      <c r="M839">
        <v>1.83</v>
      </c>
      <c r="N839">
        <v>14</v>
      </c>
      <c r="O839" t="s">
        <v>22</v>
      </c>
      <c r="P839">
        <v>7</v>
      </c>
      <c r="Q839">
        <v>1.38</v>
      </c>
      <c r="R839">
        <v>19.7</v>
      </c>
      <c r="S839">
        <v>64.8</v>
      </c>
      <c r="T839">
        <v>16.39</v>
      </c>
      <c r="U839">
        <v>1</v>
      </c>
      <c r="V839">
        <v>0</v>
      </c>
      <c r="W839">
        <v>81.19</v>
      </c>
      <c r="X839">
        <v>35.799999999999997</v>
      </c>
      <c r="Y839">
        <v>105.11</v>
      </c>
      <c r="Z839">
        <v>4.04</v>
      </c>
      <c r="AA839">
        <v>7.4</v>
      </c>
      <c r="AB839">
        <v>69.75</v>
      </c>
      <c r="AC839">
        <v>212.43654822335026</v>
      </c>
      <c r="AD839">
        <v>50.54347826086957</v>
      </c>
      <c r="AE839">
        <v>79.22</v>
      </c>
      <c r="AF839">
        <v>16.079999999999998</v>
      </c>
      <c r="AG839">
        <v>0</v>
      </c>
      <c r="AH839">
        <v>16.28</v>
      </c>
      <c r="AI839">
        <v>30.28</v>
      </c>
      <c r="AJ839">
        <v>198.44</v>
      </c>
      <c r="AK839">
        <v>67.319999999999993</v>
      </c>
      <c r="AL839" t="s">
        <v>14</v>
      </c>
      <c r="AM839" t="s">
        <v>15</v>
      </c>
      <c r="AN839" t="str">
        <f t="shared" si="52"/>
        <v>Night</v>
      </c>
      <c r="AO839" t="str">
        <f t="shared" si="53"/>
        <v>Off-Peak</v>
      </c>
      <c r="AP839" t="str">
        <f t="shared" si="54"/>
        <v>Medium</v>
      </c>
      <c r="AQ839" t="str">
        <f t="shared" si="55"/>
        <v>Low</v>
      </c>
    </row>
    <row r="840" spans="1:43" x14ac:dyDescent="0.3">
      <c r="A840">
        <v>839</v>
      </c>
      <c r="B840" t="s">
        <v>7</v>
      </c>
      <c r="C840" t="s">
        <v>8</v>
      </c>
      <c r="D840" s="1">
        <v>46250</v>
      </c>
      <c r="E840" t="s">
        <v>26</v>
      </c>
      <c r="F840">
        <v>1</v>
      </c>
      <c r="G840">
        <v>12</v>
      </c>
      <c r="H840" t="s">
        <v>10</v>
      </c>
      <c r="I840" t="s">
        <v>28</v>
      </c>
      <c r="J840">
        <v>1.03</v>
      </c>
      <c r="K840" t="s">
        <v>12</v>
      </c>
      <c r="L840">
        <v>0</v>
      </c>
      <c r="M840">
        <v>3.28</v>
      </c>
      <c r="N840">
        <v>86</v>
      </c>
      <c r="O840" t="s">
        <v>13</v>
      </c>
      <c r="P840">
        <v>42</v>
      </c>
      <c r="Q840">
        <v>3.84</v>
      </c>
      <c r="R840">
        <v>43.4</v>
      </c>
      <c r="S840">
        <v>83.84</v>
      </c>
      <c r="T840">
        <v>100</v>
      </c>
      <c r="U840">
        <v>1</v>
      </c>
      <c r="V840">
        <v>0</v>
      </c>
      <c r="W840">
        <v>183.84</v>
      </c>
      <c r="X840">
        <v>47.3</v>
      </c>
      <c r="Y840">
        <v>106.67</v>
      </c>
      <c r="Z840">
        <v>8.65</v>
      </c>
      <c r="AA840">
        <v>11.13</v>
      </c>
      <c r="AB840">
        <v>164.06</v>
      </c>
      <c r="AC840">
        <v>226.81105990783414</v>
      </c>
      <c r="AD840">
        <v>42.723958333333336</v>
      </c>
      <c r="AE840">
        <v>88.97</v>
      </c>
      <c r="AF840">
        <v>12.66</v>
      </c>
      <c r="AG840">
        <v>1</v>
      </c>
      <c r="AH840">
        <v>0.83</v>
      </c>
      <c r="AI840">
        <v>86.83</v>
      </c>
      <c r="AJ840">
        <v>229.05</v>
      </c>
      <c r="AK840">
        <v>75.150000000000006</v>
      </c>
      <c r="AL840" t="s">
        <v>14</v>
      </c>
      <c r="AM840" t="s">
        <v>15</v>
      </c>
      <c r="AN840" t="str">
        <f t="shared" si="52"/>
        <v>Afternoon</v>
      </c>
      <c r="AO840" t="str">
        <f t="shared" si="53"/>
        <v>Off-Peak</v>
      </c>
      <c r="AP840" t="str">
        <f t="shared" si="54"/>
        <v>Medium</v>
      </c>
      <c r="AQ840" t="str">
        <f t="shared" si="55"/>
        <v>High</v>
      </c>
    </row>
    <row r="841" spans="1:43" x14ac:dyDescent="0.3">
      <c r="A841">
        <v>840</v>
      </c>
      <c r="B841" t="s">
        <v>23</v>
      </c>
      <c r="C841" t="s">
        <v>17</v>
      </c>
      <c r="D841" s="1">
        <v>46032</v>
      </c>
      <c r="E841" t="s">
        <v>31</v>
      </c>
      <c r="F841">
        <v>1</v>
      </c>
      <c r="G841">
        <v>12</v>
      </c>
      <c r="H841" t="s">
        <v>19</v>
      </c>
      <c r="I841" t="s">
        <v>20</v>
      </c>
      <c r="J841">
        <v>1.25</v>
      </c>
      <c r="K841" t="s">
        <v>12</v>
      </c>
      <c r="L841">
        <v>0</v>
      </c>
      <c r="M841">
        <v>2.4</v>
      </c>
      <c r="N841">
        <v>49</v>
      </c>
      <c r="O841" t="s">
        <v>35</v>
      </c>
      <c r="P841">
        <v>9</v>
      </c>
      <c r="Q841">
        <v>2.82</v>
      </c>
      <c r="R841">
        <v>21.9</v>
      </c>
      <c r="S841">
        <v>83.81</v>
      </c>
      <c r="T841">
        <v>53.59</v>
      </c>
      <c r="U841">
        <v>1.07</v>
      </c>
      <c r="V841">
        <v>5.87</v>
      </c>
      <c r="W841">
        <v>143.27000000000001</v>
      </c>
      <c r="X841">
        <v>35.9</v>
      </c>
      <c r="Y841">
        <v>101.15</v>
      </c>
      <c r="Z841">
        <v>7.95</v>
      </c>
      <c r="AA841">
        <v>7.99</v>
      </c>
      <c r="AB841">
        <v>127.33</v>
      </c>
      <c r="AC841">
        <v>348.84931506849313</v>
      </c>
      <c r="AD841">
        <v>45.152482269503551</v>
      </c>
      <c r="AE841">
        <v>86.51</v>
      </c>
      <c r="AF841">
        <v>16.38</v>
      </c>
      <c r="AG841">
        <v>1</v>
      </c>
      <c r="AH841">
        <v>-15.95</v>
      </c>
      <c r="AI841">
        <v>33.049999999999997</v>
      </c>
      <c r="AJ841">
        <v>339.01</v>
      </c>
      <c r="AK841">
        <v>73.72</v>
      </c>
      <c r="AL841" t="s">
        <v>14</v>
      </c>
      <c r="AM841" t="s">
        <v>15</v>
      </c>
      <c r="AN841" t="str">
        <f t="shared" si="52"/>
        <v>Afternoon</v>
      </c>
      <c r="AO841" t="str">
        <f t="shared" si="53"/>
        <v>Off-Peak</v>
      </c>
      <c r="AP841" t="str">
        <f t="shared" si="54"/>
        <v>High</v>
      </c>
      <c r="AQ841" t="str">
        <f t="shared" si="55"/>
        <v>Medium</v>
      </c>
    </row>
    <row r="842" spans="1:43" x14ac:dyDescent="0.3">
      <c r="A842">
        <v>841</v>
      </c>
      <c r="B842" t="s">
        <v>48</v>
      </c>
      <c r="C842" t="s">
        <v>30</v>
      </c>
      <c r="D842" s="1">
        <v>46076</v>
      </c>
      <c r="E842" t="s">
        <v>38</v>
      </c>
      <c r="F842">
        <v>0</v>
      </c>
      <c r="G842">
        <v>12</v>
      </c>
      <c r="H842" t="s">
        <v>43</v>
      </c>
      <c r="I842" t="s">
        <v>42</v>
      </c>
      <c r="J842">
        <v>1.08</v>
      </c>
      <c r="K842" t="s">
        <v>34</v>
      </c>
      <c r="L842">
        <v>1</v>
      </c>
      <c r="M842">
        <v>4.18</v>
      </c>
      <c r="N842">
        <v>45</v>
      </c>
      <c r="O842" t="s">
        <v>35</v>
      </c>
      <c r="P842">
        <v>9</v>
      </c>
      <c r="Q842">
        <v>2.5499999999999998</v>
      </c>
      <c r="R842">
        <v>33.9</v>
      </c>
      <c r="S842">
        <v>80.48</v>
      </c>
      <c r="T842">
        <v>27.31</v>
      </c>
      <c r="U842">
        <v>1</v>
      </c>
      <c r="V842">
        <v>0</v>
      </c>
      <c r="W842">
        <v>107.79</v>
      </c>
      <c r="X842">
        <v>48.2</v>
      </c>
      <c r="Y842">
        <v>107.39</v>
      </c>
      <c r="Z842">
        <v>5.67</v>
      </c>
      <c r="AA842">
        <v>4.9000000000000004</v>
      </c>
      <c r="AB842">
        <v>97.22</v>
      </c>
      <c r="AC842">
        <v>172.07079646017701</v>
      </c>
      <c r="AD842">
        <v>38.125490196078431</v>
      </c>
      <c r="AE842">
        <v>86.95</v>
      </c>
      <c r="AF842">
        <v>11.57</v>
      </c>
      <c r="AG842">
        <v>0</v>
      </c>
      <c r="AH842">
        <v>32.020000000000003</v>
      </c>
      <c r="AI842">
        <v>77.02</v>
      </c>
      <c r="AJ842">
        <v>167.65</v>
      </c>
      <c r="AK842">
        <v>62.22</v>
      </c>
      <c r="AL842" t="s">
        <v>14</v>
      </c>
      <c r="AM842" t="s">
        <v>15</v>
      </c>
      <c r="AN842" t="str">
        <f t="shared" si="52"/>
        <v>Afternoon</v>
      </c>
      <c r="AO842" t="str">
        <f t="shared" si="53"/>
        <v>Off-Peak</v>
      </c>
      <c r="AP842" t="str">
        <f t="shared" si="54"/>
        <v>Medium</v>
      </c>
      <c r="AQ842" t="str">
        <f t="shared" si="55"/>
        <v>Medium</v>
      </c>
    </row>
    <row r="843" spans="1:43" x14ac:dyDescent="0.3">
      <c r="A843">
        <v>842</v>
      </c>
      <c r="B843" t="s">
        <v>25</v>
      </c>
      <c r="C843" t="s">
        <v>17</v>
      </c>
      <c r="D843" s="1">
        <v>46076</v>
      </c>
      <c r="E843" t="s">
        <v>38</v>
      </c>
      <c r="F843">
        <v>0</v>
      </c>
      <c r="G843">
        <v>12</v>
      </c>
      <c r="H843" t="s">
        <v>19</v>
      </c>
      <c r="I843" t="s">
        <v>11</v>
      </c>
      <c r="J843">
        <v>1.18</v>
      </c>
      <c r="K843" t="s">
        <v>12</v>
      </c>
      <c r="L843">
        <v>0</v>
      </c>
      <c r="M843">
        <v>2.71</v>
      </c>
      <c r="N843">
        <v>32</v>
      </c>
      <c r="O843" t="s">
        <v>22</v>
      </c>
      <c r="P843">
        <v>6</v>
      </c>
      <c r="Q843">
        <v>2.2200000000000002</v>
      </c>
      <c r="R843">
        <v>34.1</v>
      </c>
      <c r="S843">
        <v>99.64</v>
      </c>
      <c r="T843">
        <v>27.99</v>
      </c>
      <c r="U843">
        <v>1.1100000000000001</v>
      </c>
      <c r="V843">
        <v>10.96</v>
      </c>
      <c r="W843">
        <v>138.59</v>
      </c>
      <c r="X843">
        <v>35.6</v>
      </c>
      <c r="Y843">
        <v>106.48</v>
      </c>
      <c r="Z843">
        <v>6.63</v>
      </c>
      <c r="AA843">
        <v>3.95</v>
      </c>
      <c r="AB843">
        <v>128.01</v>
      </c>
      <c r="AC843">
        <v>225.23753665689148</v>
      </c>
      <c r="AD843">
        <v>57.662162162162154</v>
      </c>
      <c r="AE843">
        <v>68.5</v>
      </c>
      <c r="AF843">
        <v>18.809999999999999</v>
      </c>
      <c r="AG843">
        <v>0</v>
      </c>
      <c r="AH843">
        <v>-21.16</v>
      </c>
      <c r="AI843">
        <v>10.84</v>
      </c>
      <c r="AJ843">
        <v>203.51</v>
      </c>
      <c r="AK843">
        <v>64.209999999999994</v>
      </c>
      <c r="AL843" t="s">
        <v>14</v>
      </c>
      <c r="AM843" t="s">
        <v>15</v>
      </c>
      <c r="AN843" t="str">
        <f t="shared" si="52"/>
        <v>Afternoon</v>
      </c>
      <c r="AO843" t="str">
        <f t="shared" si="53"/>
        <v>Off-Peak</v>
      </c>
      <c r="AP843" t="str">
        <f t="shared" si="54"/>
        <v>Medium</v>
      </c>
      <c r="AQ843" t="str">
        <f t="shared" si="55"/>
        <v>Low</v>
      </c>
    </row>
    <row r="844" spans="1:43" x14ac:dyDescent="0.3">
      <c r="A844">
        <v>843</v>
      </c>
      <c r="B844" t="s">
        <v>23</v>
      </c>
      <c r="C844" t="s">
        <v>17</v>
      </c>
      <c r="D844" s="1">
        <v>46254</v>
      </c>
      <c r="E844" t="s">
        <v>41</v>
      </c>
      <c r="F844">
        <v>0</v>
      </c>
      <c r="G844">
        <v>17</v>
      </c>
      <c r="H844" t="s">
        <v>40</v>
      </c>
      <c r="I844" t="s">
        <v>33</v>
      </c>
      <c r="J844">
        <v>1</v>
      </c>
      <c r="K844" t="s">
        <v>34</v>
      </c>
      <c r="L844">
        <v>1</v>
      </c>
      <c r="M844">
        <v>4.24</v>
      </c>
      <c r="N844">
        <v>78</v>
      </c>
      <c r="O844" t="s">
        <v>13</v>
      </c>
      <c r="P844">
        <v>20</v>
      </c>
      <c r="Q844">
        <v>6.86</v>
      </c>
      <c r="R844">
        <v>63.7</v>
      </c>
      <c r="S844">
        <v>132.05000000000001</v>
      </c>
      <c r="T844">
        <v>94.24</v>
      </c>
      <c r="U844">
        <v>1.4</v>
      </c>
      <c r="V844">
        <v>52.82</v>
      </c>
      <c r="W844">
        <v>279.11</v>
      </c>
      <c r="X844">
        <v>36.9</v>
      </c>
      <c r="Y844">
        <v>104.94</v>
      </c>
      <c r="Z844">
        <v>19.510000000000002</v>
      </c>
      <c r="AA844">
        <v>8.85</v>
      </c>
      <c r="AB844">
        <v>250.75</v>
      </c>
      <c r="AC844">
        <v>236.18524332810046</v>
      </c>
      <c r="AD844">
        <v>36.552478134110785</v>
      </c>
      <c r="AE844">
        <v>66.78</v>
      </c>
      <c r="AF844">
        <v>12.96</v>
      </c>
      <c r="AG844">
        <v>1</v>
      </c>
      <c r="AH844">
        <v>1.7</v>
      </c>
      <c r="AI844">
        <v>79.7</v>
      </c>
      <c r="AJ844">
        <v>240.64</v>
      </c>
      <c r="AK844">
        <v>80.209999999999994</v>
      </c>
      <c r="AL844" t="s">
        <v>23</v>
      </c>
      <c r="AM844" t="s">
        <v>24</v>
      </c>
      <c r="AN844" t="str">
        <f t="shared" si="52"/>
        <v>Evening</v>
      </c>
      <c r="AO844" t="str">
        <f t="shared" si="53"/>
        <v>Peak</v>
      </c>
      <c r="AP844" t="str">
        <f t="shared" si="54"/>
        <v>Medium</v>
      </c>
      <c r="AQ844" t="str">
        <f t="shared" si="55"/>
        <v>High</v>
      </c>
    </row>
    <row r="845" spans="1:43" x14ac:dyDescent="0.3">
      <c r="A845">
        <v>844</v>
      </c>
      <c r="B845" t="s">
        <v>7</v>
      </c>
      <c r="C845" t="s">
        <v>8</v>
      </c>
      <c r="D845" s="1">
        <v>46156</v>
      </c>
      <c r="E845" t="s">
        <v>41</v>
      </c>
      <c r="F845">
        <v>0</v>
      </c>
      <c r="G845">
        <v>14</v>
      </c>
      <c r="H845" t="s">
        <v>10</v>
      </c>
      <c r="I845" t="s">
        <v>33</v>
      </c>
      <c r="J845">
        <v>1</v>
      </c>
      <c r="K845" t="s">
        <v>12</v>
      </c>
      <c r="L845">
        <v>0</v>
      </c>
      <c r="M845">
        <v>5</v>
      </c>
      <c r="N845">
        <v>51</v>
      </c>
      <c r="O845" t="s">
        <v>35</v>
      </c>
      <c r="P845">
        <v>27</v>
      </c>
      <c r="Q845">
        <v>9.44</v>
      </c>
      <c r="R845">
        <v>66.599999999999994</v>
      </c>
      <c r="S845">
        <v>121.36</v>
      </c>
      <c r="T845">
        <v>60.81</v>
      </c>
      <c r="U845">
        <v>1</v>
      </c>
      <c r="V845">
        <v>0</v>
      </c>
      <c r="W845">
        <v>182.17</v>
      </c>
      <c r="X845">
        <v>37.700000000000003</v>
      </c>
      <c r="Y845">
        <v>105.28</v>
      </c>
      <c r="Z845">
        <v>26.37</v>
      </c>
      <c r="AA845">
        <v>9.7100000000000009</v>
      </c>
      <c r="AB845">
        <v>146.09</v>
      </c>
      <c r="AC845">
        <v>131.61261261261262</v>
      </c>
      <c r="AD845">
        <v>15.475635593220341</v>
      </c>
      <c r="AE845">
        <v>83.53</v>
      </c>
      <c r="AF845">
        <v>18.71</v>
      </c>
      <c r="AG845">
        <v>1</v>
      </c>
      <c r="AH845">
        <v>-25.34</v>
      </c>
      <c r="AI845">
        <v>25.66</v>
      </c>
      <c r="AJ845">
        <v>149.29</v>
      </c>
      <c r="AK845">
        <v>62.31</v>
      </c>
      <c r="AL845" t="s">
        <v>14</v>
      </c>
      <c r="AM845" t="s">
        <v>15</v>
      </c>
      <c r="AN845" t="str">
        <f t="shared" si="52"/>
        <v>Afternoon</v>
      </c>
      <c r="AO845" t="str">
        <f t="shared" si="53"/>
        <v>Off-Peak</v>
      </c>
      <c r="AP845" t="str">
        <f t="shared" si="54"/>
        <v>Low</v>
      </c>
      <c r="AQ845" t="str">
        <f t="shared" si="55"/>
        <v>Medium</v>
      </c>
    </row>
    <row r="846" spans="1:43" x14ac:dyDescent="0.3">
      <c r="A846">
        <v>845</v>
      </c>
      <c r="B846" t="s">
        <v>7</v>
      </c>
      <c r="C846" t="s">
        <v>8</v>
      </c>
      <c r="D846" s="1">
        <v>46211</v>
      </c>
      <c r="E846" t="s">
        <v>18</v>
      </c>
      <c r="F846">
        <v>0</v>
      </c>
      <c r="G846">
        <v>18</v>
      </c>
      <c r="H846" t="s">
        <v>51</v>
      </c>
      <c r="I846" t="s">
        <v>42</v>
      </c>
      <c r="J846">
        <v>1.08</v>
      </c>
      <c r="K846" t="s">
        <v>12</v>
      </c>
      <c r="L846">
        <v>0</v>
      </c>
      <c r="M846">
        <v>4.38</v>
      </c>
      <c r="N846">
        <v>88</v>
      </c>
      <c r="O846" t="s">
        <v>13</v>
      </c>
      <c r="P846">
        <v>42</v>
      </c>
      <c r="Q846">
        <v>3.16</v>
      </c>
      <c r="R846">
        <v>35.299999999999997</v>
      </c>
      <c r="S846">
        <v>76.599999999999994</v>
      </c>
      <c r="T846">
        <v>92.93</v>
      </c>
      <c r="U846">
        <v>1</v>
      </c>
      <c r="V846">
        <v>0</v>
      </c>
      <c r="W846">
        <v>169.53</v>
      </c>
      <c r="X846">
        <v>38.299999999999997</v>
      </c>
      <c r="Y846">
        <v>109.55</v>
      </c>
      <c r="Z846">
        <v>9.02</v>
      </c>
      <c r="AA846">
        <v>11.13</v>
      </c>
      <c r="AB846">
        <v>149.38</v>
      </c>
      <c r="AC846">
        <v>253.90368271954677</v>
      </c>
      <c r="AD846">
        <v>47.272151898734172</v>
      </c>
      <c r="AE846">
        <v>90.1</v>
      </c>
      <c r="AF846">
        <v>16.350000000000001</v>
      </c>
      <c r="AG846">
        <v>1</v>
      </c>
      <c r="AH846">
        <v>7.06</v>
      </c>
      <c r="AI846">
        <v>95.06</v>
      </c>
      <c r="AJ846">
        <v>261.91000000000003</v>
      </c>
      <c r="AK846">
        <v>78.930000000000007</v>
      </c>
      <c r="AL846" t="s">
        <v>14</v>
      </c>
      <c r="AM846" t="s">
        <v>15</v>
      </c>
      <c r="AN846" t="str">
        <f t="shared" si="52"/>
        <v>Night</v>
      </c>
      <c r="AO846" t="str">
        <f t="shared" si="53"/>
        <v>Peak</v>
      </c>
      <c r="AP846" t="str">
        <f t="shared" si="54"/>
        <v>High</v>
      </c>
      <c r="AQ846" t="str">
        <f t="shared" si="55"/>
        <v>High</v>
      </c>
    </row>
    <row r="847" spans="1:43" x14ac:dyDescent="0.3">
      <c r="A847">
        <v>846</v>
      </c>
      <c r="B847" t="s">
        <v>7</v>
      </c>
      <c r="C847" t="s">
        <v>8</v>
      </c>
      <c r="D847" s="1">
        <v>46231</v>
      </c>
      <c r="E847" t="s">
        <v>44</v>
      </c>
      <c r="F847">
        <v>0</v>
      </c>
      <c r="G847">
        <v>13</v>
      </c>
      <c r="H847" t="s">
        <v>10</v>
      </c>
      <c r="I847" t="s">
        <v>28</v>
      </c>
      <c r="J847">
        <v>1.03</v>
      </c>
      <c r="K847" t="s">
        <v>12</v>
      </c>
      <c r="L847">
        <v>0</v>
      </c>
      <c r="M847">
        <v>4.37</v>
      </c>
      <c r="N847">
        <v>98</v>
      </c>
      <c r="O847" t="s">
        <v>13</v>
      </c>
      <c r="P847">
        <v>31</v>
      </c>
      <c r="Q847">
        <v>4.93</v>
      </c>
      <c r="R847">
        <v>50.5</v>
      </c>
      <c r="S847">
        <v>82.9</v>
      </c>
      <c r="T847">
        <v>95.89</v>
      </c>
      <c r="U847">
        <v>1</v>
      </c>
      <c r="V847">
        <v>0</v>
      </c>
      <c r="W847">
        <v>178.79</v>
      </c>
      <c r="X847">
        <v>41</v>
      </c>
      <c r="Y847">
        <v>109.11</v>
      </c>
      <c r="Z847">
        <v>13.11</v>
      </c>
      <c r="AA847">
        <v>11.06</v>
      </c>
      <c r="AB847">
        <v>154.62</v>
      </c>
      <c r="AC847">
        <v>183.70693069306932</v>
      </c>
      <c r="AD847">
        <v>31.363083164300207</v>
      </c>
      <c r="AE847">
        <v>92.29</v>
      </c>
      <c r="AF847">
        <v>17.37</v>
      </c>
      <c r="AG847">
        <v>1</v>
      </c>
      <c r="AH847">
        <v>-6.62</v>
      </c>
      <c r="AI847">
        <v>91.38</v>
      </c>
      <c r="AJ847">
        <v>199.23</v>
      </c>
      <c r="AK847">
        <v>75.28</v>
      </c>
      <c r="AL847" t="s">
        <v>14</v>
      </c>
      <c r="AM847" t="s">
        <v>15</v>
      </c>
      <c r="AN847" t="str">
        <f t="shared" si="52"/>
        <v>Afternoon</v>
      </c>
      <c r="AO847" t="str">
        <f t="shared" si="53"/>
        <v>Off-Peak</v>
      </c>
      <c r="AP847" t="str">
        <f t="shared" si="54"/>
        <v>Medium</v>
      </c>
      <c r="AQ847" t="str">
        <f t="shared" si="55"/>
        <v>High</v>
      </c>
    </row>
    <row r="848" spans="1:43" x14ac:dyDescent="0.3">
      <c r="A848">
        <v>847</v>
      </c>
      <c r="B848" t="s">
        <v>14</v>
      </c>
      <c r="C848" t="s">
        <v>8</v>
      </c>
      <c r="D848" s="1">
        <v>46221</v>
      </c>
      <c r="E848" t="s">
        <v>31</v>
      </c>
      <c r="F848">
        <v>1</v>
      </c>
      <c r="G848">
        <v>11</v>
      </c>
      <c r="H848" t="s">
        <v>10</v>
      </c>
      <c r="I848" t="s">
        <v>20</v>
      </c>
      <c r="J848">
        <v>1.25</v>
      </c>
      <c r="K848" t="s">
        <v>12</v>
      </c>
      <c r="L848">
        <v>0</v>
      </c>
      <c r="M848">
        <v>2.7</v>
      </c>
      <c r="N848">
        <v>53</v>
      </c>
      <c r="O848" t="s">
        <v>35</v>
      </c>
      <c r="P848">
        <v>16</v>
      </c>
      <c r="Q848">
        <v>3.9</v>
      </c>
      <c r="R848">
        <v>33.299999999999997</v>
      </c>
      <c r="S848">
        <v>71.98</v>
      </c>
      <c r="T848">
        <v>54.6</v>
      </c>
      <c r="U848">
        <v>1</v>
      </c>
      <c r="V848">
        <v>0</v>
      </c>
      <c r="W848">
        <v>126.58</v>
      </c>
      <c r="X848">
        <v>44.8</v>
      </c>
      <c r="Y848">
        <v>101.12</v>
      </c>
      <c r="Z848">
        <v>8.8000000000000007</v>
      </c>
      <c r="AA848">
        <v>5.39</v>
      </c>
      <c r="AB848">
        <v>112.39</v>
      </c>
      <c r="AC848">
        <v>202.50450450450452</v>
      </c>
      <c r="AD848">
        <v>28.81794871794872</v>
      </c>
      <c r="AE848">
        <v>80.12</v>
      </c>
      <c r="AF848">
        <v>13.54</v>
      </c>
      <c r="AG848">
        <v>1</v>
      </c>
      <c r="AH848">
        <v>15.29</v>
      </c>
      <c r="AI848">
        <v>68.290000000000006</v>
      </c>
      <c r="AJ848">
        <v>195.36</v>
      </c>
      <c r="AK848">
        <v>75.23</v>
      </c>
      <c r="AL848" t="s">
        <v>14</v>
      </c>
      <c r="AM848" t="s">
        <v>15</v>
      </c>
      <c r="AN848" t="str">
        <f t="shared" si="52"/>
        <v>Afternoon</v>
      </c>
      <c r="AO848" t="str">
        <f t="shared" si="53"/>
        <v>Off-Peak</v>
      </c>
      <c r="AP848" t="str">
        <f t="shared" si="54"/>
        <v>Medium</v>
      </c>
      <c r="AQ848" t="str">
        <f t="shared" si="55"/>
        <v>Medium</v>
      </c>
    </row>
    <row r="849" spans="1:43" x14ac:dyDescent="0.3">
      <c r="A849">
        <v>848</v>
      </c>
      <c r="B849" t="s">
        <v>7</v>
      </c>
      <c r="C849" t="s">
        <v>8</v>
      </c>
      <c r="D849" s="1">
        <v>46045</v>
      </c>
      <c r="E849" t="s">
        <v>9</v>
      </c>
      <c r="F849">
        <v>0</v>
      </c>
      <c r="G849">
        <v>10</v>
      </c>
      <c r="H849" t="s">
        <v>49</v>
      </c>
      <c r="I849" t="s">
        <v>39</v>
      </c>
      <c r="J849">
        <v>1.05</v>
      </c>
      <c r="K849" t="s">
        <v>21</v>
      </c>
      <c r="L849">
        <v>0</v>
      </c>
      <c r="M849">
        <v>2.52</v>
      </c>
      <c r="N849">
        <v>7</v>
      </c>
      <c r="O849" t="s">
        <v>22</v>
      </c>
      <c r="P849">
        <v>4</v>
      </c>
      <c r="Q849">
        <v>1</v>
      </c>
      <c r="R849">
        <v>21.2</v>
      </c>
      <c r="S849">
        <v>64.03</v>
      </c>
      <c r="T849">
        <v>25.39</v>
      </c>
      <c r="U849">
        <v>1</v>
      </c>
      <c r="V849">
        <v>0</v>
      </c>
      <c r="W849">
        <v>89.42</v>
      </c>
      <c r="X849">
        <v>48.4</v>
      </c>
      <c r="Y849">
        <v>103.69</v>
      </c>
      <c r="Z849">
        <v>2.14</v>
      </c>
      <c r="AA849">
        <v>8.0399999999999991</v>
      </c>
      <c r="AB849">
        <v>79.239999999999995</v>
      </c>
      <c r="AC849">
        <v>224.2641509433962</v>
      </c>
      <c r="AD849">
        <v>79.239999999999995</v>
      </c>
      <c r="AE849">
        <v>56.59</v>
      </c>
      <c r="AF849">
        <v>11.25</v>
      </c>
      <c r="AG849">
        <v>0</v>
      </c>
      <c r="AH849">
        <v>2.74</v>
      </c>
      <c r="AI849">
        <v>9.74</v>
      </c>
      <c r="AJ849">
        <v>237.29</v>
      </c>
      <c r="AK849">
        <v>63.84</v>
      </c>
      <c r="AL849" t="s">
        <v>14</v>
      </c>
      <c r="AM849" t="s">
        <v>15</v>
      </c>
      <c r="AN849" t="str">
        <f t="shared" si="52"/>
        <v>Morning</v>
      </c>
      <c r="AO849" t="str">
        <f t="shared" si="53"/>
        <v>Peak</v>
      </c>
      <c r="AP849" t="str">
        <f t="shared" si="54"/>
        <v>Medium</v>
      </c>
      <c r="AQ849" t="str">
        <f t="shared" si="55"/>
        <v>Low</v>
      </c>
    </row>
    <row r="850" spans="1:43" x14ac:dyDescent="0.3">
      <c r="A850">
        <v>849</v>
      </c>
      <c r="B850" t="s">
        <v>16</v>
      </c>
      <c r="C850" t="s">
        <v>17</v>
      </c>
      <c r="D850" s="1">
        <v>46059</v>
      </c>
      <c r="E850" t="s">
        <v>9</v>
      </c>
      <c r="F850">
        <v>0</v>
      </c>
      <c r="G850">
        <v>15</v>
      </c>
      <c r="H850" t="s">
        <v>19</v>
      </c>
      <c r="I850" t="s">
        <v>33</v>
      </c>
      <c r="J850">
        <v>1</v>
      </c>
      <c r="K850" t="s">
        <v>34</v>
      </c>
      <c r="L850">
        <v>1</v>
      </c>
      <c r="M850">
        <v>1.75</v>
      </c>
      <c r="N850">
        <v>31</v>
      </c>
      <c r="O850" t="s">
        <v>22</v>
      </c>
      <c r="P850">
        <v>4</v>
      </c>
      <c r="Q850">
        <v>3.07</v>
      </c>
      <c r="R850">
        <v>33.200000000000003</v>
      </c>
      <c r="S850">
        <v>92.57</v>
      </c>
      <c r="T850">
        <v>21.5</v>
      </c>
      <c r="U850">
        <v>1.1299999999999999</v>
      </c>
      <c r="V850">
        <v>12.03</v>
      </c>
      <c r="W850">
        <v>126.1</v>
      </c>
      <c r="X850">
        <v>42.9</v>
      </c>
      <c r="Y850">
        <v>105.17</v>
      </c>
      <c r="Z850">
        <v>7.52</v>
      </c>
      <c r="AA850">
        <v>3.02</v>
      </c>
      <c r="AB850">
        <v>115.56</v>
      </c>
      <c r="AC850">
        <v>208.84337349397592</v>
      </c>
      <c r="AD850">
        <v>37.641693811074923</v>
      </c>
      <c r="AE850">
        <v>77.400000000000006</v>
      </c>
      <c r="AF850">
        <v>12.89</v>
      </c>
      <c r="AG850">
        <v>0</v>
      </c>
      <c r="AH850">
        <v>23.26</v>
      </c>
      <c r="AI850">
        <v>54.26</v>
      </c>
      <c r="AJ850">
        <v>206.32</v>
      </c>
      <c r="AK850">
        <v>65.099999999999994</v>
      </c>
      <c r="AL850" t="s">
        <v>23</v>
      </c>
      <c r="AM850" t="s">
        <v>24</v>
      </c>
      <c r="AN850" t="str">
        <f t="shared" si="52"/>
        <v>Evening</v>
      </c>
      <c r="AO850" t="str">
        <f t="shared" si="53"/>
        <v>Off-Peak</v>
      </c>
      <c r="AP850" t="str">
        <f t="shared" si="54"/>
        <v>Medium</v>
      </c>
      <c r="AQ850" t="str">
        <f t="shared" si="55"/>
        <v>Low</v>
      </c>
    </row>
    <row r="851" spans="1:43" x14ac:dyDescent="0.3">
      <c r="A851">
        <v>850</v>
      </c>
      <c r="B851" t="s">
        <v>25</v>
      </c>
      <c r="C851" t="s">
        <v>17</v>
      </c>
      <c r="D851" s="1">
        <v>46124</v>
      </c>
      <c r="E851" t="s">
        <v>26</v>
      </c>
      <c r="F851">
        <v>1</v>
      </c>
      <c r="G851">
        <v>21</v>
      </c>
      <c r="H851" t="s">
        <v>19</v>
      </c>
      <c r="I851" t="s">
        <v>37</v>
      </c>
      <c r="J851">
        <v>1.02</v>
      </c>
      <c r="K851" t="s">
        <v>12</v>
      </c>
      <c r="L851">
        <v>0</v>
      </c>
      <c r="M851">
        <v>4.87</v>
      </c>
      <c r="N851">
        <v>94</v>
      </c>
      <c r="O851" t="s">
        <v>13</v>
      </c>
      <c r="P851">
        <v>19</v>
      </c>
      <c r="Q851">
        <v>1</v>
      </c>
      <c r="R851">
        <v>29.3</v>
      </c>
      <c r="S851">
        <v>76.13</v>
      </c>
      <c r="T851">
        <v>100</v>
      </c>
      <c r="U851">
        <v>1.31</v>
      </c>
      <c r="V851">
        <v>23.6</v>
      </c>
      <c r="W851">
        <v>199.73</v>
      </c>
      <c r="X851">
        <v>43</v>
      </c>
      <c r="Y851">
        <v>109.2</v>
      </c>
      <c r="Z851">
        <v>2.54</v>
      </c>
      <c r="AA851">
        <v>2.94</v>
      </c>
      <c r="AB851">
        <v>194.25</v>
      </c>
      <c r="AC851">
        <v>397.78156996587029</v>
      </c>
      <c r="AD851">
        <v>194.25</v>
      </c>
      <c r="AE851">
        <v>83.96</v>
      </c>
      <c r="AF851">
        <v>15.58</v>
      </c>
      <c r="AG851">
        <v>1</v>
      </c>
      <c r="AH851">
        <v>-3.45</v>
      </c>
      <c r="AI851">
        <v>90.55</v>
      </c>
      <c r="AJ851">
        <v>374.43</v>
      </c>
      <c r="AK851">
        <v>76.58</v>
      </c>
      <c r="AL851" t="s">
        <v>14</v>
      </c>
      <c r="AM851" t="s">
        <v>15</v>
      </c>
      <c r="AN851" t="str">
        <f t="shared" si="52"/>
        <v>Night</v>
      </c>
      <c r="AO851" t="str">
        <f t="shared" si="53"/>
        <v>Off-Peak</v>
      </c>
      <c r="AP851" t="str">
        <f t="shared" si="54"/>
        <v>High</v>
      </c>
      <c r="AQ851" t="str">
        <f t="shared" si="55"/>
        <v>High</v>
      </c>
    </row>
    <row r="852" spans="1:43" x14ac:dyDescent="0.3">
      <c r="A852">
        <v>851</v>
      </c>
      <c r="B852" t="s">
        <v>23</v>
      </c>
      <c r="C852" t="s">
        <v>17</v>
      </c>
      <c r="D852" s="1">
        <v>46110</v>
      </c>
      <c r="E852" t="s">
        <v>26</v>
      </c>
      <c r="F852">
        <v>1</v>
      </c>
      <c r="G852">
        <v>20</v>
      </c>
      <c r="H852" t="s">
        <v>40</v>
      </c>
      <c r="I852" t="s">
        <v>46</v>
      </c>
      <c r="J852">
        <v>1.1499999999999999</v>
      </c>
      <c r="K852" t="s">
        <v>34</v>
      </c>
      <c r="L852">
        <v>1</v>
      </c>
      <c r="M852">
        <v>4.96</v>
      </c>
      <c r="N852">
        <v>124</v>
      </c>
      <c r="O852" t="s">
        <v>13</v>
      </c>
      <c r="P852">
        <v>21</v>
      </c>
      <c r="Q852">
        <v>2.64</v>
      </c>
      <c r="R852">
        <v>29.9</v>
      </c>
      <c r="S852">
        <v>82.78</v>
      </c>
      <c r="T852">
        <v>100</v>
      </c>
      <c r="U852">
        <v>1.41</v>
      </c>
      <c r="V852">
        <v>33.94</v>
      </c>
      <c r="W852">
        <v>216.72</v>
      </c>
      <c r="X852">
        <v>39.799999999999997</v>
      </c>
      <c r="Y852">
        <v>108.17</v>
      </c>
      <c r="Z852">
        <v>7.18</v>
      </c>
      <c r="AA852">
        <v>2.71</v>
      </c>
      <c r="AB852">
        <v>206.83</v>
      </c>
      <c r="AC852">
        <v>415.04347826086962</v>
      </c>
      <c r="AD852">
        <v>78.344696969696969</v>
      </c>
      <c r="AE852">
        <v>91.94</v>
      </c>
      <c r="AF852">
        <v>11</v>
      </c>
      <c r="AG852">
        <v>1</v>
      </c>
      <c r="AH852">
        <v>-21.07</v>
      </c>
      <c r="AI852">
        <v>102.93</v>
      </c>
      <c r="AJ852">
        <v>400</v>
      </c>
      <c r="AK852">
        <v>76.040000000000006</v>
      </c>
      <c r="AL852" t="s">
        <v>23</v>
      </c>
      <c r="AM852" t="s">
        <v>24</v>
      </c>
      <c r="AN852" t="str">
        <f t="shared" si="52"/>
        <v>Night</v>
      </c>
      <c r="AO852" t="str">
        <f t="shared" si="53"/>
        <v>Peak</v>
      </c>
      <c r="AP852" t="str">
        <f t="shared" si="54"/>
        <v>High</v>
      </c>
      <c r="AQ852" t="str">
        <f t="shared" si="55"/>
        <v>High</v>
      </c>
    </row>
    <row r="853" spans="1:43" x14ac:dyDescent="0.3">
      <c r="A853">
        <v>852</v>
      </c>
      <c r="B853" t="s">
        <v>16</v>
      </c>
      <c r="C853" t="s">
        <v>17</v>
      </c>
      <c r="D853" s="1">
        <v>46215</v>
      </c>
      <c r="E853" t="s">
        <v>26</v>
      </c>
      <c r="F853">
        <v>1</v>
      </c>
      <c r="G853">
        <v>11</v>
      </c>
      <c r="H853" t="s">
        <v>19</v>
      </c>
      <c r="I853" t="s">
        <v>50</v>
      </c>
      <c r="J853">
        <v>1.2</v>
      </c>
      <c r="K853" t="s">
        <v>12</v>
      </c>
      <c r="L853">
        <v>0</v>
      </c>
      <c r="M853">
        <v>2.86</v>
      </c>
      <c r="N853">
        <v>32</v>
      </c>
      <c r="O853" t="s">
        <v>22</v>
      </c>
      <c r="P853">
        <v>5</v>
      </c>
      <c r="Q853">
        <v>3.76</v>
      </c>
      <c r="R853">
        <v>29.8</v>
      </c>
      <c r="S853">
        <v>112.31</v>
      </c>
      <c r="T853">
        <v>44.25</v>
      </c>
      <c r="U853">
        <v>1</v>
      </c>
      <c r="V853">
        <v>0</v>
      </c>
      <c r="W853">
        <v>156.56</v>
      </c>
      <c r="X853">
        <v>47</v>
      </c>
      <c r="Y853">
        <v>103.86</v>
      </c>
      <c r="Z853">
        <v>8.31</v>
      </c>
      <c r="AA853">
        <v>11.27</v>
      </c>
      <c r="AB853">
        <v>136.97999999999999</v>
      </c>
      <c r="AC853">
        <v>275.79865771812075</v>
      </c>
      <c r="AD853">
        <v>36.430851063829785</v>
      </c>
      <c r="AE853">
        <v>86</v>
      </c>
      <c r="AF853">
        <v>15.26</v>
      </c>
      <c r="AG853">
        <v>1</v>
      </c>
      <c r="AH853">
        <v>6.56</v>
      </c>
      <c r="AI853">
        <v>38.56</v>
      </c>
      <c r="AJ853">
        <v>286.89999999999998</v>
      </c>
      <c r="AK853">
        <v>68.680000000000007</v>
      </c>
      <c r="AL853" t="s">
        <v>23</v>
      </c>
      <c r="AM853" t="s">
        <v>24</v>
      </c>
      <c r="AN853" t="str">
        <f t="shared" si="52"/>
        <v>Afternoon</v>
      </c>
      <c r="AO853" t="str">
        <f t="shared" si="53"/>
        <v>Off-Peak</v>
      </c>
      <c r="AP853" t="str">
        <f t="shared" si="54"/>
        <v>High</v>
      </c>
      <c r="AQ853" t="str">
        <f t="shared" si="55"/>
        <v>Low</v>
      </c>
    </row>
    <row r="854" spans="1:43" x14ac:dyDescent="0.3">
      <c r="A854">
        <v>853</v>
      </c>
      <c r="B854" t="s">
        <v>23</v>
      </c>
      <c r="C854" t="s">
        <v>17</v>
      </c>
      <c r="D854" s="1">
        <v>46063</v>
      </c>
      <c r="E854" t="s">
        <v>44</v>
      </c>
      <c r="F854">
        <v>0</v>
      </c>
      <c r="G854">
        <v>14</v>
      </c>
      <c r="H854" t="s">
        <v>19</v>
      </c>
      <c r="I854" t="s">
        <v>50</v>
      </c>
      <c r="J854">
        <v>1.2</v>
      </c>
      <c r="K854" t="s">
        <v>12</v>
      </c>
      <c r="L854">
        <v>0</v>
      </c>
      <c r="M854">
        <v>2.89</v>
      </c>
      <c r="N854">
        <v>25</v>
      </c>
      <c r="O854" t="s">
        <v>22</v>
      </c>
      <c r="P854">
        <v>5</v>
      </c>
      <c r="Q854">
        <v>6.16</v>
      </c>
      <c r="R854">
        <v>47.3</v>
      </c>
      <c r="S854">
        <v>131.76</v>
      </c>
      <c r="T854">
        <v>20.18</v>
      </c>
      <c r="U854">
        <v>1.07</v>
      </c>
      <c r="V854">
        <v>9.2200000000000006</v>
      </c>
      <c r="W854">
        <v>161.16</v>
      </c>
      <c r="X854">
        <v>36.700000000000003</v>
      </c>
      <c r="Y854">
        <v>108.86</v>
      </c>
      <c r="Z854">
        <v>18.3</v>
      </c>
      <c r="AA854">
        <v>3.52</v>
      </c>
      <c r="AB854">
        <v>139.34</v>
      </c>
      <c r="AC854">
        <v>176.75264270613107</v>
      </c>
      <c r="AD854">
        <v>22.620129870129869</v>
      </c>
      <c r="AE854">
        <v>81.28</v>
      </c>
      <c r="AF854">
        <v>13.31</v>
      </c>
      <c r="AG854">
        <v>0</v>
      </c>
      <c r="AH854">
        <v>-0.79</v>
      </c>
      <c r="AI854">
        <v>24.21</v>
      </c>
      <c r="AJ854">
        <v>168.21</v>
      </c>
      <c r="AK854">
        <v>83.36</v>
      </c>
      <c r="AL854" t="s">
        <v>14</v>
      </c>
      <c r="AM854" t="s">
        <v>15</v>
      </c>
      <c r="AN854" t="str">
        <f t="shared" si="52"/>
        <v>Afternoon</v>
      </c>
      <c r="AO854" t="str">
        <f t="shared" si="53"/>
        <v>Off-Peak</v>
      </c>
      <c r="AP854" t="str">
        <f t="shared" si="54"/>
        <v>Medium</v>
      </c>
      <c r="AQ854" t="str">
        <f t="shared" si="55"/>
        <v>Low</v>
      </c>
    </row>
    <row r="855" spans="1:43" x14ac:dyDescent="0.3">
      <c r="A855">
        <v>854</v>
      </c>
      <c r="B855" t="s">
        <v>14</v>
      </c>
      <c r="C855" t="s">
        <v>8</v>
      </c>
      <c r="D855" s="1">
        <v>46118</v>
      </c>
      <c r="E855" t="s">
        <v>38</v>
      </c>
      <c r="F855">
        <v>0</v>
      </c>
      <c r="G855">
        <v>18</v>
      </c>
      <c r="H855" t="s">
        <v>51</v>
      </c>
      <c r="I855" t="s">
        <v>28</v>
      </c>
      <c r="J855">
        <v>1.03</v>
      </c>
      <c r="K855" t="s">
        <v>12</v>
      </c>
      <c r="L855">
        <v>0</v>
      </c>
      <c r="M855">
        <v>4.6900000000000004</v>
      </c>
      <c r="N855">
        <v>70</v>
      </c>
      <c r="O855" t="s">
        <v>35</v>
      </c>
      <c r="P855">
        <v>37</v>
      </c>
      <c r="Q855">
        <v>4.63</v>
      </c>
      <c r="R855">
        <v>38.299999999999997</v>
      </c>
      <c r="S855">
        <v>85.36</v>
      </c>
      <c r="T855">
        <v>76.48</v>
      </c>
      <c r="U855">
        <v>1</v>
      </c>
      <c r="V855">
        <v>0</v>
      </c>
      <c r="W855">
        <v>161.84</v>
      </c>
      <c r="X855">
        <v>39.5</v>
      </c>
      <c r="Y855">
        <v>103.78</v>
      </c>
      <c r="Z855">
        <v>12.16</v>
      </c>
      <c r="AA855">
        <v>6.82</v>
      </c>
      <c r="AB855">
        <v>142.86000000000001</v>
      </c>
      <c r="AC855">
        <v>223.80156657963448</v>
      </c>
      <c r="AD855">
        <v>30.855291576673871</v>
      </c>
      <c r="AE855">
        <v>72.900000000000006</v>
      </c>
      <c r="AF855">
        <v>17.88</v>
      </c>
      <c r="AG855">
        <v>1</v>
      </c>
      <c r="AH855">
        <v>-24.29</v>
      </c>
      <c r="AI855">
        <v>45.71</v>
      </c>
      <c r="AJ855">
        <v>249.93</v>
      </c>
      <c r="AK855">
        <v>68.73</v>
      </c>
      <c r="AL855" t="s">
        <v>14</v>
      </c>
      <c r="AM855" t="s">
        <v>15</v>
      </c>
      <c r="AN855" t="str">
        <f t="shared" si="52"/>
        <v>Night</v>
      </c>
      <c r="AO855" t="str">
        <f t="shared" si="53"/>
        <v>Peak</v>
      </c>
      <c r="AP855" t="str">
        <f t="shared" si="54"/>
        <v>Medium</v>
      </c>
      <c r="AQ855" t="str">
        <f t="shared" si="55"/>
        <v>Medium</v>
      </c>
    </row>
    <row r="856" spans="1:43" x14ac:dyDescent="0.3">
      <c r="A856">
        <v>855</v>
      </c>
      <c r="B856" t="s">
        <v>48</v>
      </c>
      <c r="C856" t="s">
        <v>30</v>
      </c>
      <c r="D856" s="1">
        <v>46084</v>
      </c>
      <c r="E856" t="s">
        <v>44</v>
      </c>
      <c r="F856">
        <v>0</v>
      </c>
      <c r="G856">
        <v>16</v>
      </c>
      <c r="H856" t="s">
        <v>32</v>
      </c>
      <c r="I856" t="s">
        <v>33</v>
      </c>
      <c r="J856">
        <v>1</v>
      </c>
      <c r="K856" t="s">
        <v>12</v>
      </c>
      <c r="L856">
        <v>0</v>
      </c>
      <c r="M856">
        <v>1.76</v>
      </c>
      <c r="N856">
        <v>32</v>
      </c>
      <c r="O856" t="s">
        <v>22</v>
      </c>
      <c r="P856">
        <v>10</v>
      </c>
      <c r="Q856">
        <v>6.98</v>
      </c>
      <c r="R856">
        <v>44.9</v>
      </c>
      <c r="S856">
        <v>102.58</v>
      </c>
      <c r="T856">
        <v>33.74</v>
      </c>
      <c r="U856">
        <v>1</v>
      </c>
      <c r="V856">
        <v>0</v>
      </c>
      <c r="W856">
        <v>136.32</v>
      </c>
      <c r="X856">
        <v>36.5</v>
      </c>
      <c r="Y856">
        <v>102.71</v>
      </c>
      <c r="Z856">
        <v>19.670000000000002</v>
      </c>
      <c r="AA856">
        <v>6.33</v>
      </c>
      <c r="AB856">
        <v>110.32</v>
      </c>
      <c r="AC856">
        <v>147.42093541202672</v>
      </c>
      <c r="AD856">
        <v>15.805157593123207</v>
      </c>
      <c r="AE856">
        <v>66.33</v>
      </c>
      <c r="AF856">
        <v>13.02</v>
      </c>
      <c r="AG856">
        <v>0</v>
      </c>
      <c r="AH856">
        <v>-12.83</v>
      </c>
      <c r="AI856">
        <v>19.170000000000002</v>
      </c>
      <c r="AJ856">
        <v>134.5</v>
      </c>
      <c r="AK856">
        <v>64.38</v>
      </c>
      <c r="AL856" t="s">
        <v>14</v>
      </c>
      <c r="AM856" t="s">
        <v>15</v>
      </c>
      <c r="AN856" t="str">
        <f t="shared" si="52"/>
        <v>Evening</v>
      </c>
      <c r="AO856" t="str">
        <f t="shared" si="53"/>
        <v>Off-Peak</v>
      </c>
      <c r="AP856" t="str">
        <f t="shared" si="54"/>
        <v>Low</v>
      </c>
      <c r="AQ856" t="str">
        <f t="shared" si="55"/>
        <v>Low</v>
      </c>
    </row>
    <row r="857" spans="1:43" x14ac:dyDescent="0.3">
      <c r="A857">
        <v>856</v>
      </c>
      <c r="B857" t="s">
        <v>16</v>
      </c>
      <c r="C857" t="s">
        <v>17</v>
      </c>
      <c r="D857" s="1">
        <v>46071</v>
      </c>
      <c r="E857" t="s">
        <v>18</v>
      </c>
      <c r="F857">
        <v>0</v>
      </c>
      <c r="G857">
        <v>8</v>
      </c>
      <c r="H857" t="s">
        <v>27</v>
      </c>
      <c r="I857" t="s">
        <v>50</v>
      </c>
      <c r="J857">
        <v>1.2</v>
      </c>
      <c r="K857" t="s">
        <v>21</v>
      </c>
      <c r="L857">
        <v>0</v>
      </c>
      <c r="M857">
        <v>3.63</v>
      </c>
      <c r="N857">
        <v>67</v>
      </c>
      <c r="O857" t="s">
        <v>35</v>
      </c>
      <c r="P857">
        <v>13</v>
      </c>
      <c r="Q857">
        <v>1.94</v>
      </c>
      <c r="R857">
        <v>24.3</v>
      </c>
      <c r="S857">
        <v>80.930000000000007</v>
      </c>
      <c r="T857">
        <v>72.09</v>
      </c>
      <c r="U857">
        <v>1.21</v>
      </c>
      <c r="V857">
        <v>17</v>
      </c>
      <c r="W857">
        <v>170.02</v>
      </c>
      <c r="X857">
        <v>38.200000000000003</v>
      </c>
      <c r="Y857">
        <v>106.1</v>
      </c>
      <c r="Z857">
        <v>5.39</v>
      </c>
      <c r="AA857">
        <v>5.25</v>
      </c>
      <c r="AB857">
        <v>159.38</v>
      </c>
      <c r="AC857">
        <v>393.53086419753083</v>
      </c>
      <c r="AD857">
        <v>82.154639175257728</v>
      </c>
      <c r="AE857">
        <v>81.63</v>
      </c>
      <c r="AF857">
        <v>19.02</v>
      </c>
      <c r="AG857">
        <v>1</v>
      </c>
      <c r="AH857">
        <v>-8.06</v>
      </c>
      <c r="AI857">
        <v>58.94</v>
      </c>
      <c r="AJ857">
        <v>400</v>
      </c>
      <c r="AK857">
        <v>73.05</v>
      </c>
      <c r="AL857" t="s">
        <v>23</v>
      </c>
      <c r="AM857" t="s">
        <v>24</v>
      </c>
      <c r="AN857" t="str">
        <f t="shared" si="52"/>
        <v>Morning</v>
      </c>
      <c r="AO857" t="str">
        <f t="shared" si="53"/>
        <v>Peak</v>
      </c>
      <c r="AP857" t="str">
        <f t="shared" si="54"/>
        <v>High</v>
      </c>
      <c r="AQ857" t="str">
        <f t="shared" si="55"/>
        <v>Medium</v>
      </c>
    </row>
    <row r="858" spans="1:43" x14ac:dyDescent="0.3">
      <c r="A858">
        <v>857</v>
      </c>
      <c r="B858" t="s">
        <v>14</v>
      </c>
      <c r="C858" t="s">
        <v>8</v>
      </c>
      <c r="D858" s="1">
        <v>46067</v>
      </c>
      <c r="E858" t="s">
        <v>31</v>
      </c>
      <c r="F858">
        <v>1</v>
      </c>
      <c r="G858">
        <v>16</v>
      </c>
      <c r="H858" t="s">
        <v>32</v>
      </c>
      <c r="I858" t="s">
        <v>33</v>
      </c>
      <c r="J858">
        <v>1</v>
      </c>
      <c r="K858" t="s">
        <v>12</v>
      </c>
      <c r="L858">
        <v>0</v>
      </c>
      <c r="M858">
        <v>2.09</v>
      </c>
      <c r="N858">
        <v>23</v>
      </c>
      <c r="O858" t="s">
        <v>22</v>
      </c>
      <c r="P858">
        <v>9</v>
      </c>
      <c r="Q858">
        <v>8.69</v>
      </c>
      <c r="R858">
        <v>63.6</v>
      </c>
      <c r="S858">
        <v>123.48</v>
      </c>
      <c r="T858">
        <v>37.01</v>
      </c>
      <c r="U858">
        <v>1</v>
      </c>
      <c r="V858">
        <v>0</v>
      </c>
      <c r="W858">
        <v>160.49</v>
      </c>
      <c r="X858">
        <v>43.8</v>
      </c>
      <c r="Y858">
        <v>103.56</v>
      </c>
      <c r="Z858">
        <v>20.54</v>
      </c>
      <c r="AA858">
        <v>7.38</v>
      </c>
      <c r="AB858">
        <v>132.57</v>
      </c>
      <c r="AC858">
        <v>125.06603773584905</v>
      </c>
      <c r="AD858">
        <v>15.255466052934407</v>
      </c>
      <c r="AE858">
        <v>67.5</v>
      </c>
      <c r="AF858">
        <v>13.82</v>
      </c>
      <c r="AG858">
        <v>1</v>
      </c>
      <c r="AH858">
        <v>26.33</v>
      </c>
      <c r="AI858">
        <v>49.33</v>
      </c>
      <c r="AJ858">
        <v>151.13999999999999</v>
      </c>
      <c r="AK858">
        <v>60</v>
      </c>
      <c r="AL858" t="s">
        <v>14</v>
      </c>
      <c r="AM858" t="s">
        <v>15</v>
      </c>
      <c r="AN858" t="str">
        <f t="shared" si="52"/>
        <v>Evening</v>
      </c>
      <c r="AO858" t="str">
        <f t="shared" si="53"/>
        <v>Off-Peak</v>
      </c>
      <c r="AP858" t="str">
        <f t="shared" si="54"/>
        <v>Low</v>
      </c>
      <c r="AQ858" t="str">
        <f t="shared" si="55"/>
        <v>Low</v>
      </c>
    </row>
    <row r="859" spans="1:43" x14ac:dyDescent="0.3">
      <c r="A859">
        <v>858</v>
      </c>
      <c r="B859" t="s">
        <v>7</v>
      </c>
      <c r="C859" t="s">
        <v>8</v>
      </c>
      <c r="D859" s="1">
        <v>46073</v>
      </c>
      <c r="E859" t="s">
        <v>9</v>
      </c>
      <c r="F859">
        <v>0</v>
      </c>
      <c r="G859">
        <v>7</v>
      </c>
      <c r="H859" t="s">
        <v>49</v>
      </c>
      <c r="I859" t="s">
        <v>33</v>
      </c>
      <c r="J859">
        <v>1</v>
      </c>
      <c r="K859" t="s">
        <v>12</v>
      </c>
      <c r="L859">
        <v>0</v>
      </c>
      <c r="M859">
        <v>4.42</v>
      </c>
      <c r="N859">
        <v>29</v>
      </c>
      <c r="O859" t="s">
        <v>22</v>
      </c>
      <c r="P859">
        <v>15</v>
      </c>
      <c r="Q859">
        <v>9.4499999999999993</v>
      </c>
      <c r="R859">
        <v>79</v>
      </c>
      <c r="S859">
        <v>124.92</v>
      </c>
      <c r="T859">
        <v>35.67</v>
      </c>
      <c r="U859">
        <v>1</v>
      </c>
      <c r="V859">
        <v>0</v>
      </c>
      <c r="W859">
        <v>160.59</v>
      </c>
      <c r="X859">
        <v>36.9</v>
      </c>
      <c r="Y859">
        <v>106.22</v>
      </c>
      <c r="Z859">
        <v>27.21</v>
      </c>
      <c r="AA859">
        <v>2.0299999999999998</v>
      </c>
      <c r="AB859">
        <v>131.35</v>
      </c>
      <c r="AC859">
        <v>99.759493670886073</v>
      </c>
      <c r="AD859">
        <v>13.8994708994709</v>
      </c>
      <c r="AE859">
        <v>86.12</v>
      </c>
      <c r="AF859">
        <v>18.47</v>
      </c>
      <c r="AG859">
        <v>0</v>
      </c>
      <c r="AH859">
        <v>13.61</v>
      </c>
      <c r="AI859">
        <v>42.61</v>
      </c>
      <c r="AJ859">
        <v>100.28</v>
      </c>
      <c r="AK859">
        <v>66.25</v>
      </c>
      <c r="AL859" t="s">
        <v>14</v>
      </c>
      <c r="AM859" t="s">
        <v>15</v>
      </c>
      <c r="AN859" t="str">
        <f t="shared" si="52"/>
        <v>Morning</v>
      </c>
      <c r="AO859" t="str">
        <f t="shared" si="53"/>
        <v>Peak</v>
      </c>
      <c r="AP859" t="str">
        <f t="shared" si="54"/>
        <v>Low</v>
      </c>
      <c r="AQ859" t="str">
        <f t="shared" si="55"/>
        <v>Low</v>
      </c>
    </row>
    <row r="860" spans="1:43" x14ac:dyDescent="0.3">
      <c r="A860">
        <v>859</v>
      </c>
      <c r="B860" t="s">
        <v>25</v>
      </c>
      <c r="C860" t="s">
        <v>17</v>
      </c>
      <c r="D860" s="1">
        <v>46168</v>
      </c>
      <c r="E860" t="s">
        <v>44</v>
      </c>
      <c r="F860">
        <v>0</v>
      </c>
      <c r="G860">
        <v>8</v>
      </c>
      <c r="H860" t="s">
        <v>27</v>
      </c>
      <c r="I860" t="s">
        <v>50</v>
      </c>
      <c r="J860">
        <v>1.2</v>
      </c>
      <c r="K860" t="s">
        <v>12</v>
      </c>
      <c r="L860">
        <v>0</v>
      </c>
      <c r="M860">
        <v>4.8</v>
      </c>
      <c r="N860">
        <v>85</v>
      </c>
      <c r="O860" t="s">
        <v>13</v>
      </c>
      <c r="P860">
        <v>17</v>
      </c>
      <c r="Q860">
        <v>1</v>
      </c>
      <c r="R860">
        <v>26.4</v>
      </c>
      <c r="S860">
        <v>76.760000000000005</v>
      </c>
      <c r="T860">
        <v>100</v>
      </c>
      <c r="U860">
        <v>1.28</v>
      </c>
      <c r="V860">
        <v>21.49</v>
      </c>
      <c r="W860">
        <v>198.25</v>
      </c>
      <c r="X860">
        <v>36.5</v>
      </c>
      <c r="Y860">
        <v>104.1</v>
      </c>
      <c r="Z860">
        <v>2.85</v>
      </c>
      <c r="AA860">
        <v>5.8</v>
      </c>
      <c r="AB860">
        <v>189.6</v>
      </c>
      <c r="AC860">
        <v>430.90909090909088</v>
      </c>
      <c r="AD860">
        <v>189.6</v>
      </c>
      <c r="AE860">
        <v>65.16</v>
      </c>
      <c r="AF860">
        <v>15.8</v>
      </c>
      <c r="AG860">
        <v>1</v>
      </c>
      <c r="AH860">
        <v>-2.2200000000000002</v>
      </c>
      <c r="AI860">
        <v>82.78</v>
      </c>
      <c r="AJ860">
        <v>400</v>
      </c>
      <c r="AK860">
        <v>87.27</v>
      </c>
      <c r="AL860" t="s">
        <v>23</v>
      </c>
      <c r="AM860" t="s">
        <v>24</v>
      </c>
      <c r="AN860" t="str">
        <f t="shared" si="52"/>
        <v>Morning</v>
      </c>
      <c r="AO860" t="str">
        <f t="shared" si="53"/>
        <v>Peak</v>
      </c>
      <c r="AP860" t="str">
        <f t="shared" si="54"/>
        <v>High</v>
      </c>
      <c r="AQ860" t="str">
        <f t="shared" si="55"/>
        <v>High</v>
      </c>
    </row>
    <row r="861" spans="1:43" x14ac:dyDescent="0.3">
      <c r="A861">
        <v>860</v>
      </c>
      <c r="B861" t="s">
        <v>16</v>
      </c>
      <c r="C861" t="s">
        <v>17</v>
      </c>
      <c r="D861" s="1">
        <v>46128</v>
      </c>
      <c r="E861" t="s">
        <v>41</v>
      </c>
      <c r="F861">
        <v>0</v>
      </c>
      <c r="G861">
        <v>17</v>
      </c>
      <c r="H861" t="s">
        <v>40</v>
      </c>
      <c r="I861" t="s">
        <v>20</v>
      </c>
      <c r="J861">
        <v>1.25</v>
      </c>
      <c r="K861" t="s">
        <v>12</v>
      </c>
      <c r="L861">
        <v>0</v>
      </c>
      <c r="M861">
        <v>2.34</v>
      </c>
      <c r="N861">
        <v>72</v>
      </c>
      <c r="O861" t="s">
        <v>13</v>
      </c>
      <c r="P861">
        <v>14</v>
      </c>
      <c r="Q861">
        <v>1</v>
      </c>
      <c r="R861">
        <v>23.1</v>
      </c>
      <c r="S861">
        <v>74.48</v>
      </c>
      <c r="T861">
        <v>84.58</v>
      </c>
      <c r="U861">
        <v>1.2</v>
      </c>
      <c r="V861">
        <v>14.9</v>
      </c>
      <c r="W861">
        <v>173.96</v>
      </c>
      <c r="X861">
        <v>47.4</v>
      </c>
      <c r="Y861">
        <v>107.96</v>
      </c>
      <c r="Z861">
        <v>2.2799999999999998</v>
      </c>
      <c r="AA861">
        <v>6.79</v>
      </c>
      <c r="AB861">
        <v>164.89</v>
      </c>
      <c r="AC861">
        <v>428.28571428571422</v>
      </c>
      <c r="AD861">
        <v>164.89</v>
      </c>
      <c r="AE861">
        <v>82.3</v>
      </c>
      <c r="AF861">
        <v>9.74</v>
      </c>
      <c r="AG861">
        <v>1</v>
      </c>
      <c r="AH861">
        <v>10.06</v>
      </c>
      <c r="AI861">
        <v>82.06</v>
      </c>
      <c r="AJ861">
        <v>400</v>
      </c>
      <c r="AK861">
        <v>76.12</v>
      </c>
      <c r="AL861" t="s">
        <v>23</v>
      </c>
      <c r="AM861" t="s">
        <v>24</v>
      </c>
      <c r="AN861" t="str">
        <f t="shared" si="52"/>
        <v>Evening</v>
      </c>
      <c r="AO861" t="str">
        <f t="shared" si="53"/>
        <v>Peak</v>
      </c>
      <c r="AP861" t="str">
        <f t="shared" si="54"/>
        <v>High</v>
      </c>
      <c r="AQ861" t="str">
        <f t="shared" si="55"/>
        <v>High</v>
      </c>
    </row>
    <row r="862" spans="1:43" x14ac:dyDescent="0.3">
      <c r="A862">
        <v>861</v>
      </c>
      <c r="B862" t="s">
        <v>23</v>
      </c>
      <c r="C862" t="s">
        <v>17</v>
      </c>
      <c r="D862" s="1">
        <v>46135</v>
      </c>
      <c r="E862" t="s">
        <v>41</v>
      </c>
      <c r="F862">
        <v>0</v>
      </c>
      <c r="G862">
        <v>8</v>
      </c>
      <c r="H862" t="s">
        <v>27</v>
      </c>
      <c r="I862" t="s">
        <v>11</v>
      </c>
      <c r="J862">
        <v>1.18</v>
      </c>
      <c r="K862" t="s">
        <v>12</v>
      </c>
      <c r="L862">
        <v>0</v>
      </c>
      <c r="M862">
        <v>2.89</v>
      </c>
      <c r="N862">
        <v>76</v>
      </c>
      <c r="O862" t="s">
        <v>13</v>
      </c>
      <c r="P862">
        <v>16</v>
      </c>
      <c r="Q862">
        <v>3.7</v>
      </c>
      <c r="R862">
        <v>31.4</v>
      </c>
      <c r="S862">
        <v>103.98</v>
      </c>
      <c r="T862">
        <v>66.28</v>
      </c>
      <c r="U862">
        <v>1.28</v>
      </c>
      <c r="V862">
        <v>29.11</v>
      </c>
      <c r="W862">
        <v>199.37</v>
      </c>
      <c r="X862">
        <v>36.799999999999997</v>
      </c>
      <c r="Y862">
        <v>109.54</v>
      </c>
      <c r="Z862">
        <v>11.01</v>
      </c>
      <c r="AA862">
        <v>10.029999999999999</v>
      </c>
      <c r="AB862">
        <v>178.33</v>
      </c>
      <c r="AC862">
        <v>340.7579617834395</v>
      </c>
      <c r="AD862">
        <v>48.197297297297297</v>
      </c>
      <c r="AE862">
        <v>80.64</v>
      </c>
      <c r="AF862">
        <v>13.26</v>
      </c>
      <c r="AG862">
        <v>1</v>
      </c>
      <c r="AH862">
        <v>-27.59</v>
      </c>
      <c r="AI862">
        <v>48.41</v>
      </c>
      <c r="AJ862">
        <v>373.27</v>
      </c>
      <c r="AK862">
        <v>71.98</v>
      </c>
      <c r="AL862" t="s">
        <v>23</v>
      </c>
      <c r="AM862" t="s">
        <v>24</v>
      </c>
      <c r="AN862" t="str">
        <f t="shared" si="52"/>
        <v>Morning</v>
      </c>
      <c r="AO862" t="str">
        <f t="shared" si="53"/>
        <v>Peak</v>
      </c>
      <c r="AP862" t="str">
        <f t="shared" si="54"/>
        <v>High</v>
      </c>
      <c r="AQ862" t="str">
        <f t="shared" si="55"/>
        <v>High</v>
      </c>
    </row>
    <row r="863" spans="1:43" x14ac:dyDescent="0.3">
      <c r="A863">
        <v>862</v>
      </c>
      <c r="B863" t="s">
        <v>23</v>
      </c>
      <c r="C863" t="s">
        <v>17</v>
      </c>
      <c r="D863" s="1">
        <v>46146</v>
      </c>
      <c r="E863" t="s">
        <v>38</v>
      </c>
      <c r="F863">
        <v>0</v>
      </c>
      <c r="G863">
        <v>12</v>
      </c>
      <c r="H863" t="s">
        <v>19</v>
      </c>
      <c r="I863" t="s">
        <v>39</v>
      </c>
      <c r="J863">
        <v>1.05</v>
      </c>
      <c r="K863" t="s">
        <v>21</v>
      </c>
      <c r="L863">
        <v>0</v>
      </c>
      <c r="M863">
        <v>2.89</v>
      </c>
      <c r="N863">
        <v>17</v>
      </c>
      <c r="O863" t="s">
        <v>22</v>
      </c>
      <c r="P863">
        <v>3</v>
      </c>
      <c r="Q863">
        <v>2.4900000000000002</v>
      </c>
      <c r="R863">
        <v>29.2</v>
      </c>
      <c r="S863">
        <v>85.11</v>
      </c>
      <c r="T863">
        <v>31.93</v>
      </c>
      <c r="U863">
        <v>1</v>
      </c>
      <c r="V863">
        <v>0</v>
      </c>
      <c r="W863">
        <v>117.04</v>
      </c>
      <c r="X863">
        <v>44.1</v>
      </c>
      <c r="Y863">
        <v>102.7</v>
      </c>
      <c r="Z863">
        <v>5.8</v>
      </c>
      <c r="AA863">
        <v>9.01</v>
      </c>
      <c r="AB863">
        <v>102.23</v>
      </c>
      <c r="AC863">
        <v>210.06164383561645</v>
      </c>
      <c r="AD863">
        <v>41.056224899598391</v>
      </c>
      <c r="AE863">
        <v>71.709999999999994</v>
      </c>
      <c r="AF863">
        <v>17.25</v>
      </c>
      <c r="AG863">
        <v>0</v>
      </c>
      <c r="AH863">
        <v>-5.47</v>
      </c>
      <c r="AI863">
        <v>11.53</v>
      </c>
      <c r="AJ863">
        <v>215.81</v>
      </c>
      <c r="AK863">
        <v>64.72</v>
      </c>
      <c r="AL863" t="s">
        <v>14</v>
      </c>
      <c r="AM863" t="s">
        <v>15</v>
      </c>
      <c r="AN863" t="str">
        <f t="shared" si="52"/>
        <v>Afternoon</v>
      </c>
      <c r="AO863" t="str">
        <f t="shared" si="53"/>
        <v>Off-Peak</v>
      </c>
      <c r="AP863" t="str">
        <f t="shared" si="54"/>
        <v>Medium</v>
      </c>
      <c r="AQ863" t="str">
        <f t="shared" si="55"/>
        <v>Low</v>
      </c>
    </row>
    <row r="864" spans="1:43" x14ac:dyDescent="0.3">
      <c r="A864">
        <v>863</v>
      </c>
      <c r="B864" t="s">
        <v>7</v>
      </c>
      <c r="C864" t="s">
        <v>8</v>
      </c>
      <c r="D864" s="1">
        <v>46214</v>
      </c>
      <c r="E864" t="s">
        <v>31</v>
      </c>
      <c r="F864">
        <v>1</v>
      </c>
      <c r="G864">
        <v>16</v>
      </c>
      <c r="H864" t="s">
        <v>32</v>
      </c>
      <c r="I864" t="s">
        <v>46</v>
      </c>
      <c r="J864">
        <v>1.1499999999999999</v>
      </c>
      <c r="K864" t="s">
        <v>12</v>
      </c>
      <c r="L864">
        <v>0</v>
      </c>
      <c r="M864">
        <v>2.62</v>
      </c>
      <c r="N864">
        <v>35</v>
      </c>
      <c r="O864" t="s">
        <v>22</v>
      </c>
      <c r="P864">
        <v>9</v>
      </c>
      <c r="Q864">
        <v>2.8</v>
      </c>
      <c r="R864">
        <v>40.1</v>
      </c>
      <c r="S864">
        <v>73.55</v>
      </c>
      <c r="T864">
        <v>42.46</v>
      </c>
      <c r="U864">
        <v>1</v>
      </c>
      <c r="V864">
        <v>0</v>
      </c>
      <c r="W864">
        <v>116.01</v>
      </c>
      <c r="X864">
        <v>40.299999999999997</v>
      </c>
      <c r="Y864">
        <v>105.1</v>
      </c>
      <c r="Z864">
        <v>7.3</v>
      </c>
      <c r="AA864">
        <v>10.5</v>
      </c>
      <c r="AB864">
        <v>98.21</v>
      </c>
      <c r="AC864">
        <v>146.94763092269326</v>
      </c>
      <c r="AD864">
        <v>35.075000000000003</v>
      </c>
      <c r="AE864">
        <v>67.400000000000006</v>
      </c>
      <c r="AF864">
        <v>15.91</v>
      </c>
      <c r="AG864">
        <v>1</v>
      </c>
      <c r="AH864">
        <v>9.01</v>
      </c>
      <c r="AI864">
        <v>44.01</v>
      </c>
      <c r="AJ864">
        <v>179.09</v>
      </c>
      <c r="AK864">
        <v>68.83</v>
      </c>
      <c r="AL864" t="s">
        <v>14</v>
      </c>
      <c r="AM864" t="s">
        <v>15</v>
      </c>
      <c r="AN864" t="str">
        <f t="shared" si="52"/>
        <v>Evening</v>
      </c>
      <c r="AO864" t="str">
        <f t="shared" si="53"/>
        <v>Off-Peak</v>
      </c>
      <c r="AP864" t="str">
        <f t="shared" si="54"/>
        <v>Low</v>
      </c>
      <c r="AQ864" t="str">
        <f t="shared" si="55"/>
        <v>Low</v>
      </c>
    </row>
    <row r="865" spans="1:43" x14ac:dyDescent="0.3">
      <c r="A865">
        <v>864</v>
      </c>
      <c r="B865" t="s">
        <v>16</v>
      </c>
      <c r="C865" t="s">
        <v>17</v>
      </c>
      <c r="D865" s="1">
        <v>46245</v>
      </c>
      <c r="E865" t="s">
        <v>44</v>
      </c>
      <c r="F865">
        <v>0</v>
      </c>
      <c r="G865">
        <v>17</v>
      </c>
      <c r="H865" t="s">
        <v>40</v>
      </c>
      <c r="I865" t="s">
        <v>33</v>
      </c>
      <c r="J865">
        <v>1</v>
      </c>
      <c r="K865" t="s">
        <v>12</v>
      </c>
      <c r="L865">
        <v>0</v>
      </c>
      <c r="M865">
        <v>3.04</v>
      </c>
      <c r="N865">
        <v>79</v>
      </c>
      <c r="O865" t="s">
        <v>13</v>
      </c>
      <c r="P865">
        <v>19</v>
      </c>
      <c r="Q865">
        <v>4.5999999999999996</v>
      </c>
      <c r="R865">
        <v>38.5</v>
      </c>
      <c r="S865">
        <v>105.71</v>
      </c>
      <c r="T865">
        <v>100</v>
      </c>
      <c r="U865">
        <v>1.24</v>
      </c>
      <c r="V865">
        <v>25.37</v>
      </c>
      <c r="W865">
        <v>231.08</v>
      </c>
      <c r="X865">
        <v>48.4</v>
      </c>
      <c r="Y865">
        <v>107.24</v>
      </c>
      <c r="Z865">
        <v>10.19</v>
      </c>
      <c r="AA865">
        <v>5.76</v>
      </c>
      <c r="AB865">
        <v>215.13</v>
      </c>
      <c r="AC865">
        <v>335.26753246753242</v>
      </c>
      <c r="AD865">
        <v>46.767391304347832</v>
      </c>
      <c r="AE865">
        <v>61.83</v>
      </c>
      <c r="AF865">
        <v>13.21</v>
      </c>
      <c r="AG865">
        <v>1</v>
      </c>
      <c r="AH865">
        <v>5.48</v>
      </c>
      <c r="AI865">
        <v>84.48</v>
      </c>
      <c r="AJ865">
        <v>347.16</v>
      </c>
      <c r="AK865">
        <v>78.47</v>
      </c>
      <c r="AL865" t="s">
        <v>23</v>
      </c>
      <c r="AM865" t="s">
        <v>24</v>
      </c>
      <c r="AN865" t="str">
        <f t="shared" si="52"/>
        <v>Evening</v>
      </c>
      <c r="AO865" t="str">
        <f t="shared" si="53"/>
        <v>Peak</v>
      </c>
      <c r="AP865" t="str">
        <f t="shared" si="54"/>
        <v>High</v>
      </c>
      <c r="AQ865" t="str">
        <f t="shared" si="55"/>
        <v>High</v>
      </c>
    </row>
    <row r="866" spans="1:43" x14ac:dyDescent="0.3">
      <c r="A866">
        <v>865</v>
      </c>
      <c r="B866" t="s">
        <v>16</v>
      </c>
      <c r="C866" t="s">
        <v>17</v>
      </c>
      <c r="D866" s="1">
        <v>46158</v>
      </c>
      <c r="E866" t="s">
        <v>31</v>
      </c>
      <c r="F866">
        <v>1</v>
      </c>
      <c r="G866">
        <v>14</v>
      </c>
      <c r="H866" t="s">
        <v>19</v>
      </c>
      <c r="I866" t="s">
        <v>39</v>
      </c>
      <c r="J866">
        <v>1.05</v>
      </c>
      <c r="K866" t="s">
        <v>12</v>
      </c>
      <c r="L866">
        <v>0</v>
      </c>
      <c r="M866">
        <v>4.5599999999999996</v>
      </c>
      <c r="N866">
        <v>48</v>
      </c>
      <c r="O866" t="s">
        <v>35</v>
      </c>
      <c r="P866">
        <v>10</v>
      </c>
      <c r="Q866">
        <v>7.16</v>
      </c>
      <c r="R866">
        <v>57</v>
      </c>
      <c r="S866">
        <v>158.66999999999999</v>
      </c>
      <c r="T866">
        <v>70.91</v>
      </c>
      <c r="U866">
        <v>1.1100000000000001</v>
      </c>
      <c r="V866">
        <v>17.45</v>
      </c>
      <c r="W866">
        <v>247.03</v>
      </c>
      <c r="X866">
        <v>45.6</v>
      </c>
      <c r="Y866">
        <v>101.59</v>
      </c>
      <c r="Z866">
        <v>15.95</v>
      </c>
      <c r="AA866">
        <v>3.41</v>
      </c>
      <c r="AB866">
        <v>227.67</v>
      </c>
      <c r="AC866">
        <v>239.65263157894736</v>
      </c>
      <c r="AD866">
        <v>31.797486033519551</v>
      </c>
      <c r="AE866">
        <v>71.59</v>
      </c>
      <c r="AF866">
        <v>14.24</v>
      </c>
      <c r="AG866">
        <v>1</v>
      </c>
      <c r="AH866">
        <v>-5.09</v>
      </c>
      <c r="AI866">
        <v>42.91</v>
      </c>
      <c r="AJ866">
        <v>229.72</v>
      </c>
      <c r="AK866">
        <v>70.260000000000005</v>
      </c>
      <c r="AL866" t="s">
        <v>14</v>
      </c>
      <c r="AM866" t="s">
        <v>15</v>
      </c>
      <c r="AN866" t="str">
        <f t="shared" si="52"/>
        <v>Afternoon</v>
      </c>
      <c r="AO866" t="str">
        <f t="shared" si="53"/>
        <v>Off-Peak</v>
      </c>
      <c r="AP866" t="str">
        <f t="shared" si="54"/>
        <v>Medium</v>
      </c>
      <c r="AQ866" t="str">
        <f t="shared" si="55"/>
        <v>Medium</v>
      </c>
    </row>
    <row r="867" spans="1:43" x14ac:dyDescent="0.3">
      <c r="A867">
        <v>866</v>
      </c>
      <c r="B867" t="s">
        <v>25</v>
      </c>
      <c r="C867" t="s">
        <v>17</v>
      </c>
      <c r="D867" s="1">
        <v>46188</v>
      </c>
      <c r="E867" t="s">
        <v>38</v>
      </c>
      <c r="F867">
        <v>0</v>
      </c>
      <c r="G867">
        <v>8</v>
      </c>
      <c r="H867" t="s">
        <v>27</v>
      </c>
      <c r="I867" t="s">
        <v>39</v>
      </c>
      <c r="J867">
        <v>1.05</v>
      </c>
      <c r="K867" t="s">
        <v>12</v>
      </c>
      <c r="L867">
        <v>0</v>
      </c>
      <c r="M867">
        <v>4.3499999999999996</v>
      </c>
      <c r="N867">
        <v>74</v>
      </c>
      <c r="O867" t="s">
        <v>13</v>
      </c>
      <c r="P867">
        <v>11</v>
      </c>
      <c r="Q867">
        <v>1.86</v>
      </c>
      <c r="R867">
        <v>29</v>
      </c>
      <c r="S867">
        <v>83.45</v>
      </c>
      <c r="T867">
        <v>78.55</v>
      </c>
      <c r="U867">
        <v>1.25</v>
      </c>
      <c r="V867">
        <v>20.86</v>
      </c>
      <c r="W867">
        <v>182.86</v>
      </c>
      <c r="X867">
        <v>35.9</v>
      </c>
      <c r="Y867">
        <v>107.96</v>
      </c>
      <c r="Z867">
        <v>5.59</v>
      </c>
      <c r="AA867">
        <v>6.01</v>
      </c>
      <c r="AB867">
        <v>171.26</v>
      </c>
      <c r="AC867">
        <v>354.33103448275858</v>
      </c>
      <c r="AD867">
        <v>92.075268817204289</v>
      </c>
      <c r="AE867">
        <v>73.81</v>
      </c>
      <c r="AF867">
        <v>17.22</v>
      </c>
      <c r="AG867">
        <v>1</v>
      </c>
      <c r="AH867">
        <v>2.4300000000000002</v>
      </c>
      <c r="AI867">
        <v>76.430000000000007</v>
      </c>
      <c r="AJ867">
        <v>353</v>
      </c>
      <c r="AK867">
        <v>79.73</v>
      </c>
      <c r="AL867" t="s">
        <v>23</v>
      </c>
      <c r="AM867" t="s">
        <v>24</v>
      </c>
      <c r="AN867" t="str">
        <f t="shared" si="52"/>
        <v>Morning</v>
      </c>
      <c r="AO867" t="str">
        <f t="shared" si="53"/>
        <v>Peak</v>
      </c>
      <c r="AP867" t="str">
        <f t="shared" si="54"/>
        <v>High</v>
      </c>
      <c r="AQ867" t="str">
        <f t="shared" si="55"/>
        <v>High</v>
      </c>
    </row>
    <row r="868" spans="1:43" x14ac:dyDescent="0.3">
      <c r="A868">
        <v>867</v>
      </c>
      <c r="B868" t="s">
        <v>16</v>
      </c>
      <c r="C868" t="s">
        <v>17</v>
      </c>
      <c r="D868" s="1">
        <v>46213</v>
      </c>
      <c r="E868" t="s">
        <v>9</v>
      </c>
      <c r="F868">
        <v>0</v>
      </c>
      <c r="G868">
        <v>19</v>
      </c>
      <c r="H868" t="s">
        <v>40</v>
      </c>
      <c r="I868" t="s">
        <v>33</v>
      </c>
      <c r="J868">
        <v>1</v>
      </c>
      <c r="K868" t="s">
        <v>12</v>
      </c>
      <c r="L868">
        <v>0</v>
      </c>
      <c r="M868">
        <v>4.4800000000000004</v>
      </c>
      <c r="N868">
        <v>85</v>
      </c>
      <c r="O868" t="s">
        <v>13</v>
      </c>
      <c r="P868">
        <v>14</v>
      </c>
      <c r="Q868">
        <v>7.95</v>
      </c>
      <c r="R868">
        <v>67.400000000000006</v>
      </c>
      <c r="S868">
        <v>150.91</v>
      </c>
      <c r="T868">
        <v>100</v>
      </c>
      <c r="U868">
        <v>1.29</v>
      </c>
      <c r="V868">
        <v>43.76</v>
      </c>
      <c r="W868">
        <v>294.67</v>
      </c>
      <c r="X868">
        <v>48.4</v>
      </c>
      <c r="Y868">
        <v>105.83</v>
      </c>
      <c r="Z868">
        <v>17.38</v>
      </c>
      <c r="AA868">
        <v>11.63</v>
      </c>
      <c r="AB868">
        <v>265.66000000000003</v>
      </c>
      <c r="AC868">
        <v>236.49258160237386</v>
      </c>
      <c r="AD868">
        <v>33.416352201257865</v>
      </c>
      <c r="AE868">
        <v>87.69</v>
      </c>
      <c r="AF868">
        <v>16.579999999999998</v>
      </c>
      <c r="AG868">
        <v>1</v>
      </c>
      <c r="AH868">
        <v>8.07</v>
      </c>
      <c r="AI868">
        <v>93.07</v>
      </c>
      <c r="AJ868">
        <v>245.28</v>
      </c>
      <c r="AK868">
        <v>79.98</v>
      </c>
      <c r="AL868" t="s">
        <v>23</v>
      </c>
      <c r="AM868" t="s">
        <v>24</v>
      </c>
      <c r="AN868" t="str">
        <f t="shared" si="52"/>
        <v>Night</v>
      </c>
      <c r="AO868" t="str">
        <f t="shared" si="53"/>
        <v>Peak</v>
      </c>
      <c r="AP868" t="str">
        <f t="shared" si="54"/>
        <v>Medium</v>
      </c>
      <c r="AQ868" t="str">
        <f t="shared" si="55"/>
        <v>High</v>
      </c>
    </row>
    <row r="869" spans="1:43" x14ac:dyDescent="0.3">
      <c r="A869">
        <v>868</v>
      </c>
      <c r="B869" t="s">
        <v>16</v>
      </c>
      <c r="C869" t="s">
        <v>17</v>
      </c>
      <c r="D869" s="1">
        <v>46201</v>
      </c>
      <c r="E869" t="s">
        <v>26</v>
      </c>
      <c r="F869">
        <v>1</v>
      </c>
      <c r="G869">
        <v>22</v>
      </c>
      <c r="H869" t="s">
        <v>19</v>
      </c>
      <c r="I869" t="s">
        <v>28</v>
      </c>
      <c r="J869">
        <v>1.03</v>
      </c>
      <c r="K869" t="s">
        <v>21</v>
      </c>
      <c r="L869">
        <v>0</v>
      </c>
      <c r="M869">
        <v>2.4500000000000002</v>
      </c>
      <c r="N869">
        <v>30</v>
      </c>
      <c r="O869" t="s">
        <v>22</v>
      </c>
      <c r="P869">
        <v>8</v>
      </c>
      <c r="Q869">
        <v>2.19</v>
      </c>
      <c r="R869">
        <v>11.3</v>
      </c>
      <c r="S869">
        <v>90.04</v>
      </c>
      <c r="T869">
        <v>34.06</v>
      </c>
      <c r="U869">
        <v>1.1100000000000001</v>
      </c>
      <c r="V869">
        <v>9.9</v>
      </c>
      <c r="W869">
        <v>134</v>
      </c>
      <c r="X869">
        <v>41.2</v>
      </c>
      <c r="Y869">
        <v>101.5</v>
      </c>
      <c r="Z869">
        <v>5.39</v>
      </c>
      <c r="AA869">
        <v>4.1399999999999997</v>
      </c>
      <c r="AB869">
        <v>124.47</v>
      </c>
      <c r="AC869">
        <v>660.90265486725662</v>
      </c>
      <c r="AD869">
        <v>56.835616438356162</v>
      </c>
      <c r="AE869">
        <v>68.14</v>
      </c>
      <c r="AF869">
        <v>16.309999999999999</v>
      </c>
      <c r="AG869">
        <v>1</v>
      </c>
      <c r="AH869">
        <v>2.86</v>
      </c>
      <c r="AI869">
        <v>32.86</v>
      </c>
      <c r="AJ869">
        <v>400</v>
      </c>
      <c r="AK869">
        <v>73.53</v>
      </c>
      <c r="AL869" t="s">
        <v>23</v>
      </c>
      <c r="AM869" t="s">
        <v>24</v>
      </c>
      <c r="AN869" t="str">
        <f t="shared" si="52"/>
        <v>Night</v>
      </c>
      <c r="AO869" t="str">
        <f t="shared" si="53"/>
        <v>Off-Peak</v>
      </c>
      <c r="AP869" t="str">
        <f t="shared" si="54"/>
        <v>High</v>
      </c>
      <c r="AQ869" t="str">
        <f t="shared" si="55"/>
        <v>Low</v>
      </c>
    </row>
    <row r="870" spans="1:43" x14ac:dyDescent="0.3">
      <c r="A870">
        <v>869</v>
      </c>
      <c r="B870" t="s">
        <v>29</v>
      </c>
      <c r="C870" t="s">
        <v>30</v>
      </c>
      <c r="D870" s="1">
        <v>46057</v>
      </c>
      <c r="E870" t="s">
        <v>18</v>
      </c>
      <c r="F870">
        <v>0</v>
      </c>
      <c r="G870">
        <v>21</v>
      </c>
      <c r="H870" t="s">
        <v>36</v>
      </c>
      <c r="I870" t="s">
        <v>50</v>
      </c>
      <c r="J870">
        <v>1.2</v>
      </c>
      <c r="K870" t="s">
        <v>34</v>
      </c>
      <c r="L870">
        <v>1</v>
      </c>
      <c r="M870">
        <v>4.08</v>
      </c>
      <c r="N870">
        <v>38</v>
      </c>
      <c r="O870" t="s">
        <v>35</v>
      </c>
      <c r="P870">
        <v>11</v>
      </c>
      <c r="Q870">
        <v>14.12</v>
      </c>
      <c r="R870">
        <v>85.6</v>
      </c>
      <c r="S870">
        <v>162.1</v>
      </c>
      <c r="T870">
        <v>39.229999999999997</v>
      </c>
      <c r="U870">
        <v>1</v>
      </c>
      <c r="V870">
        <v>0</v>
      </c>
      <c r="W870">
        <v>201.33</v>
      </c>
      <c r="X870">
        <v>39.5</v>
      </c>
      <c r="Y870">
        <v>108.68</v>
      </c>
      <c r="Z870">
        <v>38.880000000000003</v>
      </c>
      <c r="AA870">
        <v>3.75</v>
      </c>
      <c r="AB870">
        <v>158.69999999999999</v>
      </c>
      <c r="AC870">
        <v>111.23831775700936</v>
      </c>
      <c r="AD870">
        <v>11.239376770538243</v>
      </c>
      <c r="AE870">
        <v>78.66</v>
      </c>
      <c r="AF870">
        <v>16.239999999999998</v>
      </c>
      <c r="AG870">
        <v>0</v>
      </c>
      <c r="AH870">
        <v>15.92</v>
      </c>
      <c r="AI870">
        <v>53.92</v>
      </c>
      <c r="AJ870">
        <v>109.06</v>
      </c>
      <c r="AK870">
        <v>66.73</v>
      </c>
      <c r="AL870" t="s">
        <v>14</v>
      </c>
      <c r="AM870" t="s">
        <v>15</v>
      </c>
      <c r="AN870" t="str">
        <f t="shared" si="52"/>
        <v>Night</v>
      </c>
      <c r="AO870" t="str">
        <f t="shared" si="53"/>
        <v>Off-Peak</v>
      </c>
      <c r="AP870" t="str">
        <f t="shared" si="54"/>
        <v>Low</v>
      </c>
      <c r="AQ870" t="str">
        <f t="shared" si="55"/>
        <v>Medium</v>
      </c>
    </row>
    <row r="871" spans="1:43" x14ac:dyDescent="0.3">
      <c r="A871">
        <v>870</v>
      </c>
      <c r="B871" t="s">
        <v>7</v>
      </c>
      <c r="C871" t="s">
        <v>8</v>
      </c>
      <c r="D871" s="1">
        <v>46276</v>
      </c>
      <c r="E871" t="s">
        <v>9</v>
      </c>
      <c r="F871">
        <v>0</v>
      </c>
      <c r="G871">
        <v>18</v>
      </c>
      <c r="H871" t="s">
        <v>51</v>
      </c>
      <c r="I871" t="s">
        <v>20</v>
      </c>
      <c r="J871">
        <v>1.25</v>
      </c>
      <c r="K871" t="s">
        <v>12</v>
      </c>
      <c r="L871">
        <v>0</v>
      </c>
      <c r="M871">
        <v>3.8</v>
      </c>
      <c r="N871">
        <v>74</v>
      </c>
      <c r="O871" t="s">
        <v>13</v>
      </c>
      <c r="P871">
        <v>32</v>
      </c>
      <c r="Q871">
        <v>8.73</v>
      </c>
      <c r="R871">
        <v>62.2</v>
      </c>
      <c r="S871">
        <v>117.86</v>
      </c>
      <c r="T871">
        <v>90.36</v>
      </c>
      <c r="U871">
        <v>1</v>
      </c>
      <c r="V871">
        <v>0</v>
      </c>
      <c r="W871">
        <v>208.22</v>
      </c>
      <c r="X871">
        <v>45.1</v>
      </c>
      <c r="Y871">
        <v>104.27</v>
      </c>
      <c r="Z871">
        <v>20.18</v>
      </c>
      <c r="AA871">
        <v>11.44</v>
      </c>
      <c r="AB871">
        <v>176.6</v>
      </c>
      <c r="AC871">
        <v>170.35369774919613</v>
      </c>
      <c r="AD871">
        <v>20.229095074455898</v>
      </c>
      <c r="AE871">
        <v>67.58</v>
      </c>
      <c r="AF871">
        <v>11.73</v>
      </c>
      <c r="AG871">
        <v>1</v>
      </c>
      <c r="AH871">
        <v>7.78</v>
      </c>
      <c r="AI871">
        <v>81.78</v>
      </c>
      <c r="AJ871">
        <v>171.51</v>
      </c>
      <c r="AK871">
        <v>80.349999999999994</v>
      </c>
      <c r="AL871" t="s">
        <v>14</v>
      </c>
      <c r="AM871" t="s">
        <v>15</v>
      </c>
      <c r="AN871" t="str">
        <f t="shared" si="52"/>
        <v>Night</v>
      </c>
      <c r="AO871" t="str">
        <f t="shared" si="53"/>
        <v>Peak</v>
      </c>
      <c r="AP871" t="str">
        <f t="shared" si="54"/>
        <v>Medium</v>
      </c>
      <c r="AQ871" t="str">
        <f t="shared" si="55"/>
        <v>High</v>
      </c>
    </row>
    <row r="872" spans="1:43" x14ac:dyDescent="0.3">
      <c r="A872">
        <v>871</v>
      </c>
      <c r="B872" t="s">
        <v>29</v>
      </c>
      <c r="C872" t="s">
        <v>30</v>
      </c>
      <c r="D872" s="1">
        <v>46065</v>
      </c>
      <c r="E872" t="s">
        <v>41</v>
      </c>
      <c r="F872">
        <v>0</v>
      </c>
      <c r="G872">
        <v>13</v>
      </c>
      <c r="H872" t="s">
        <v>43</v>
      </c>
      <c r="I872" t="s">
        <v>46</v>
      </c>
      <c r="J872">
        <v>1.1499999999999999</v>
      </c>
      <c r="K872" t="s">
        <v>34</v>
      </c>
      <c r="L872">
        <v>1</v>
      </c>
      <c r="M872">
        <v>3.27</v>
      </c>
      <c r="N872">
        <v>37</v>
      </c>
      <c r="O872" t="s">
        <v>35</v>
      </c>
      <c r="P872">
        <v>7</v>
      </c>
      <c r="Q872">
        <v>2.37</v>
      </c>
      <c r="R872">
        <v>28.5</v>
      </c>
      <c r="S872">
        <v>70.94</v>
      </c>
      <c r="T872">
        <v>49.43</v>
      </c>
      <c r="U872">
        <v>1</v>
      </c>
      <c r="V872">
        <v>0</v>
      </c>
      <c r="W872">
        <v>120.37</v>
      </c>
      <c r="X872">
        <v>45.8</v>
      </c>
      <c r="Y872">
        <v>101.77</v>
      </c>
      <c r="Z872">
        <v>5.27</v>
      </c>
      <c r="AA872">
        <v>11.5</v>
      </c>
      <c r="AB872">
        <v>103.6</v>
      </c>
      <c r="AC872">
        <v>218.10526315789474</v>
      </c>
      <c r="AD872">
        <v>43.713080168776365</v>
      </c>
      <c r="AE872">
        <v>78.8</v>
      </c>
      <c r="AF872">
        <v>16.68</v>
      </c>
      <c r="AG872">
        <v>0</v>
      </c>
      <c r="AH872">
        <v>10.67</v>
      </c>
      <c r="AI872">
        <v>47.67</v>
      </c>
      <c r="AJ872">
        <v>227.03</v>
      </c>
      <c r="AK872">
        <v>68.25</v>
      </c>
      <c r="AL872" t="s">
        <v>14</v>
      </c>
      <c r="AM872" t="s">
        <v>15</v>
      </c>
      <c r="AN872" t="str">
        <f t="shared" si="52"/>
        <v>Afternoon</v>
      </c>
      <c r="AO872" t="str">
        <f t="shared" si="53"/>
        <v>Off-Peak</v>
      </c>
      <c r="AP872" t="str">
        <f t="shared" si="54"/>
        <v>Medium</v>
      </c>
      <c r="AQ872" t="str">
        <f t="shared" si="55"/>
        <v>Medium</v>
      </c>
    </row>
    <row r="873" spans="1:43" x14ac:dyDescent="0.3">
      <c r="A873">
        <v>872</v>
      </c>
      <c r="B873" t="s">
        <v>14</v>
      </c>
      <c r="C873" t="s">
        <v>8</v>
      </c>
      <c r="D873" s="1">
        <v>46129</v>
      </c>
      <c r="E873" t="s">
        <v>9</v>
      </c>
      <c r="F873">
        <v>0</v>
      </c>
      <c r="G873">
        <v>21</v>
      </c>
      <c r="H873" t="s">
        <v>51</v>
      </c>
      <c r="I873" t="s">
        <v>37</v>
      </c>
      <c r="J873">
        <v>1.02</v>
      </c>
      <c r="K873" t="s">
        <v>12</v>
      </c>
      <c r="L873">
        <v>0</v>
      </c>
      <c r="M873">
        <v>4.59</v>
      </c>
      <c r="N873">
        <v>77</v>
      </c>
      <c r="O873" t="s">
        <v>13</v>
      </c>
      <c r="P873">
        <v>41</v>
      </c>
      <c r="Q873">
        <v>1.21</v>
      </c>
      <c r="R873">
        <v>36.1</v>
      </c>
      <c r="S873">
        <v>53.31</v>
      </c>
      <c r="T873">
        <v>95.25</v>
      </c>
      <c r="U873">
        <v>1</v>
      </c>
      <c r="V873">
        <v>0</v>
      </c>
      <c r="W873">
        <v>148.56</v>
      </c>
      <c r="X873">
        <v>39.5</v>
      </c>
      <c r="Y873">
        <v>101.95</v>
      </c>
      <c r="Z873">
        <v>3.13</v>
      </c>
      <c r="AA873">
        <v>3.49</v>
      </c>
      <c r="AB873">
        <v>141.94</v>
      </c>
      <c r="AC873">
        <v>235.9113573407202</v>
      </c>
      <c r="AD873">
        <v>117.30578512396694</v>
      </c>
      <c r="AE873">
        <v>60.26</v>
      </c>
      <c r="AF873">
        <v>16.170000000000002</v>
      </c>
      <c r="AG873">
        <v>1</v>
      </c>
      <c r="AH873">
        <v>28.7</v>
      </c>
      <c r="AI873">
        <v>105.7</v>
      </c>
      <c r="AJ873">
        <v>272.83</v>
      </c>
      <c r="AK873">
        <v>66.67</v>
      </c>
      <c r="AL873" t="s">
        <v>14</v>
      </c>
      <c r="AM873" t="s">
        <v>15</v>
      </c>
      <c r="AN873" t="str">
        <f t="shared" si="52"/>
        <v>Night</v>
      </c>
      <c r="AO873" t="str">
        <f t="shared" si="53"/>
        <v>Off-Peak</v>
      </c>
      <c r="AP873" t="str">
        <f t="shared" si="54"/>
        <v>Medium</v>
      </c>
      <c r="AQ873" t="str">
        <f t="shared" si="55"/>
        <v>High</v>
      </c>
    </row>
    <row r="874" spans="1:43" x14ac:dyDescent="0.3">
      <c r="A874">
        <v>873</v>
      </c>
      <c r="B874" t="s">
        <v>7</v>
      </c>
      <c r="C874" t="s">
        <v>8</v>
      </c>
      <c r="D874" s="1">
        <v>46191</v>
      </c>
      <c r="E874" t="s">
        <v>41</v>
      </c>
      <c r="F874">
        <v>0</v>
      </c>
      <c r="G874">
        <v>14</v>
      </c>
      <c r="H874" t="s">
        <v>10</v>
      </c>
      <c r="I874" t="s">
        <v>20</v>
      </c>
      <c r="J874">
        <v>1.25</v>
      </c>
      <c r="K874" t="s">
        <v>21</v>
      </c>
      <c r="L874">
        <v>0</v>
      </c>
      <c r="M874">
        <v>2.8</v>
      </c>
      <c r="N874">
        <v>70</v>
      </c>
      <c r="O874" t="s">
        <v>35</v>
      </c>
      <c r="P874">
        <v>36</v>
      </c>
      <c r="Q874">
        <v>2.33</v>
      </c>
      <c r="R874">
        <v>35.700000000000003</v>
      </c>
      <c r="S874">
        <v>69.69</v>
      </c>
      <c r="T874">
        <v>80.75</v>
      </c>
      <c r="U874">
        <v>1</v>
      </c>
      <c r="V874">
        <v>0</v>
      </c>
      <c r="W874">
        <v>150.44</v>
      </c>
      <c r="X874">
        <v>40.299999999999997</v>
      </c>
      <c r="Y874">
        <v>107.86</v>
      </c>
      <c r="Z874">
        <v>6.23</v>
      </c>
      <c r="AA874">
        <v>9.69</v>
      </c>
      <c r="AB874">
        <v>134.52000000000001</v>
      </c>
      <c r="AC874">
        <v>226.08403361344537</v>
      </c>
      <c r="AD874">
        <v>57.733905579399142</v>
      </c>
      <c r="AE874">
        <v>94.36</v>
      </c>
      <c r="AF874">
        <v>16.53</v>
      </c>
      <c r="AG874">
        <v>1</v>
      </c>
      <c r="AH874">
        <v>15.41</v>
      </c>
      <c r="AI874">
        <v>85.41</v>
      </c>
      <c r="AJ874">
        <v>235.07</v>
      </c>
      <c r="AK874">
        <v>78.099999999999994</v>
      </c>
      <c r="AL874" t="s">
        <v>14</v>
      </c>
      <c r="AM874" t="s">
        <v>15</v>
      </c>
      <c r="AN874" t="str">
        <f t="shared" si="52"/>
        <v>Afternoon</v>
      </c>
      <c r="AO874" t="str">
        <f t="shared" si="53"/>
        <v>Off-Peak</v>
      </c>
      <c r="AP874" t="str">
        <f t="shared" si="54"/>
        <v>Medium</v>
      </c>
      <c r="AQ874" t="str">
        <f t="shared" si="55"/>
        <v>Medium</v>
      </c>
    </row>
    <row r="875" spans="1:43" x14ac:dyDescent="0.3">
      <c r="A875">
        <v>874</v>
      </c>
      <c r="B875" t="s">
        <v>7</v>
      </c>
      <c r="C875" t="s">
        <v>8</v>
      </c>
      <c r="D875" s="1">
        <v>46127</v>
      </c>
      <c r="E875" t="s">
        <v>18</v>
      </c>
      <c r="F875">
        <v>0</v>
      </c>
      <c r="G875">
        <v>9</v>
      </c>
      <c r="H875" t="s">
        <v>49</v>
      </c>
      <c r="I875" t="s">
        <v>50</v>
      </c>
      <c r="J875">
        <v>1.2</v>
      </c>
      <c r="K875" t="s">
        <v>21</v>
      </c>
      <c r="L875">
        <v>0</v>
      </c>
      <c r="M875">
        <v>4.28</v>
      </c>
      <c r="N875">
        <v>14</v>
      </c>
      <c r="O875" t="s">
        <v>22</v>
      </c>
      <c r="P875">
        <v>6</v>
      </c>
      <c r="Q875">
        <v>2.08</v>
      </c>
      <c r="R875">
        <v>27.4</v>
      </c>
      <c r="S875">
        <v>53.1</v>
      </c>
      <c r="T875">
        <v>42.43</v>
      </c>
      <c r="U875">
        <v>1</v>
      </c>
      <c r="V875">
        <v>0</v>
      </c>
      <c r="W875">
        <v>95.53</v>
      </c>
      <c r="X875">
        <v>37.299999999999997</v>
      </c>
      <c r="Y875">
        <v>109.36</v>
      </c>
      <c r="Z875">
        <v>6.09</v>
      </c>
      <c r="AA875">
        <v>6.3</v>
      </c>
      <c r="AB875">
        <v>83.14</v>
      </c>
      <c r="AC875">
        <v>182.05839416058393</v>
      </c>
      <c r="AD875">
        <v>39.971153846153847</v>
      </c>
      <c r="AE875">
        <v>71.989999999999995</v>
      </c>
      <c r="AF875">
        <v>17.98</v>
      </c>
      <c r="AG875">
        <v>0</v>
      </c>
      <c r="AH875">
        <v>29.11</v>
      </c>
      <c r="AI875">
        <v>43.11</v>
      </c>
      <c r="AJ875">
        <v>153.13999999999999</v>
      </c>
      <c r="AK875">
        <v>60</v>
      </c>
      <c r="AL875" t="s">
        <v>14</v>
      </c>
      <c r="AM875" t="s">
        <v>15</v>
      </c>
      <c r="AN875" t="str">
        <f t="shared" si="52"/>
        <v>Morning</v>
      </c>
      <c r="AO875" t="str">
        <f t="shared" si="53"/>
        <v>Peak</v>
      </c>
      <c r="AP875" t="str">
        <f t="shared" si="54"/>
        <v>Medium</v>
      </c>
      <c r="AQ875" t="str">
        <f t="shared" si="55"/>
        <v>Low</v>
      </c>
    </row>
    <row r="876" spans="1:43" x14ac:dyDescent="0.3">
      <c r="A876">
        <v>875</v>
      </c>
      <c r="B876" t="s">
        <v>25</v>
      </c>
      <c r="C876" t="s">
        <v>17</v>
      </c>
      <c r="D876" s="1">
        <v>46085</v>
      </c>
      <c r="E876" t="s">
        <v>18</v>
      </c>
      <c r="F876">
        <v>0</v>
      </c>
      <c r="G876">
        <v>20</v>
      </c>
      <c r="H876" t="s">
        <v>40</v>
      </c>
      <c r="I876" t="s">
        <v>37</v>
      </c>
      <c r="J876">
        <v>1.02</v>
      </c>
      <c r="K876" t="s">
        <v>21</v>
      </c>
      <c r="L876">
        <v>0</v>
      </c>
      <c r="M876">
        <v>4.25</v>
      </c>
      <c r="N876">
        <v>68</v>
      </c>
      <c r="O876" t="s">
        <v>35</v>
      </c>
      <c r="P876">
        <v>11</v>
      </c>
      <c r="Q876">
        <v>5.66</v>
      </c>
      <c r="R876">
        <v>60.9</v>
      </c>
      <c r="S876">
        <v>139.53</v>
      </c>
      <c r="T876">
        <v>74.55</v>
      </c>
      <c r="U876">
        <v>1.36</v>
      </c>
      <c r="V876">
        <v>50.23</v>
      </c>
      <c r="W876">
        <v>264.31</v>
      </c>
      <c r="X876">
        <v>43.9</v>
      </c>
      <c r="Y876">
        <v>103.78</v>
      </c>
      <c r="Z876">
        <v>13.38</v>
      </c>
      <c r="AA876">
        <v>6.92</v>
      </c>
      <c r="AB876">
        <v>244.01</v>
      </c>
      <c r="AC876">
        <v>240.40394088669953</v>
      </c>
      <c r="AD876">
        <v>43.111307420494697</v>
      </c>
      <c r="AE876">
        <v>55.08</v>
      </c>
      <c r="AF876">
        <v>15.9</v>
      </c>
      <c r="AG876">
        <v>1</v>
      </c>
      <c r="AH876">
        <v>-7.08</v>
      </c>
      <c r="AI876">
        <v>60.92</v>
      </c>
      <c r="AJ876">
        <v>234.61</v>
      </c>
      <c r="AK876">
        <v>68.56</v>
      </c>
      <c r="AL876" t="s">
        <v>23</v>
      </c>
      <c r="AM876" t="s">
        <v>24</v>
      </c>
      <c r="AN876" t="str">
        <f t="shared" si="52"/>
        <v>Night</v>
      </c>
      <c r="AO876" t="str">
        <f t="shared" si="53"/>
        <v>Peak</v>
      </c>
      <c r="AP876" t="str">
        <f t="shared" si="54"/>
        <v>Medium</v>
      </c>
      <c r="AQ876" t="str">
        <f t="shared" si="55"/>
        <v>Medium</v>
      </c>
    </row>
    <row r="877" spans="1:43" x14ac:dyDescent="0.3">
      <c r="A877">
        <v>876</v>
      </c>
      <c r="B877" t="s">
        <v>29</v>
      </c>
      <c r="C877" t="s">
        <v>30</v>
      </c>
      <c r="D877" s="1">
        <v>46261</v>
      </c>
      <c r="E877" t="s">
        <v>41</v>
      </c>
      <c r="F877">
        <v>0</v>
      </c>
      <c r="G877">
        <v>12</v>
      </c>
      <c r="H877" t="s">
        <v>43</v>
      </c>
      <c r="I877" t="s">
        <v>20</v>
      </c>
      <c r="J877">
        <v>1.25</v>
      </c>
      <c r="K877" t="s">
        <v>21</v>
      </c>
      <c r="L877">
        <v>0</v>
      </c>
      <c r="M877">
        <v>4.0199999999999996</v>
      </c>
      <c r="N877">
        <v>30</v>
      </c>
      <c r="O877" t="s">
        <v>22</v>
      </c>
      <c r="P877">
        <v>9</v>
      </c>
      <c r="Q877">
        <v>1</v>
      </c>
      <c r="R877">
        <v>21.5</v>
      </c>
      <c r="S877">
        <v>65.55</v>
      </c>
      <c r="T877">
        <v>15.93</v>
      </c>
      <c r="U877">
        <v>1</v>
      </c>
      <c r="V877">
        <v>0</v>
      </c>
      <c r="W877">
        <v>81.48</v>
      </c>
      <c r="X877">
        <v>49.4</v>
      </c>
      <c r="Y877">
        <v>100.79</v>
      </c>
      <c r="Z877">
        <v>2.04</v>
      </c>
      <c r="AA877">
        <v>6.99</v>
      </c>
      <c r="AB877">
        <v>72.45</v>
      </c>
      <c r="AC877">
        <v>202.18604651162792</v>
      </c>
      <c r="AD877">
        <v>72.45</v>
      </c>
      <c r="AE877">
        <v>68.66</v>
      </c>
      <c r="AF877">
        <v>17.82</v>
      </c>
      <c r="AG877">
        <v>0</v>
      </c>
      <c r="AH877">
        <v>-20.89</v>
      </c>
      <c r="AI877">
        <v>9.11</v>
      </c>
      <c r="AJ877">
        <v>206.28</v>
      </c>
      <c r="AK877">
        <v>60.67</v>
      </c>
      <c r="AL877" t="s">
        <v>14</v>
      </c>
      <c r="AM877" t="s">
        <v>15</v>
      </c>
      <c r="AN877" t="str">
        <f t="shared" si="52"/>
        <v>Afternoon</v>
      </c>
      <c r="AO877" t="str">
        <f t="shared" si="53"/>
        <v>Off-Peak</v>
      </c>
      <c r="AP877" t="str">
        <f t="shared" si="54"/>
        <v>Medium</v>
      </c>
      <c r="AQ877" t="str">
        <f t="shared" si="55"/>
        <v>Low</v>
      </c>
    </row>
    <row r="878" spans="1:43" x14ac:dyDescent="0.3">
      <c r="A878">
        <v>877</v>
      </c>
      <c r="B878" t="s">
        <v>29</v>
      </c>
      <c r="C878" t="s">
        <v>30</v>
      </c>
      <c r="D878" s="1">
        <v>46041</v>
      </c>
      <c r="E878" t="s">
        <v>38</v>
      </c>
      <c r="F878">
        <v>0</v>
      </c>
      <c r="G878">
        <v>22</v>
      </c>
      <c r="H878" t="s">
        <v>36</v>
      </c>
      <c r="I878" t="s">
        <v>20</v>
      </c>
      <c r="J878">
        <v>1.25</v>
      </c>
      <c r="K878" t="s">
        <v>12</v>
      </c>
      <c r="L878">
        <v>0</v>
      </c>
      <c r="M878">
        <v>2.14</v>
      </c>
      <c r="N878">
        <v>39</v>
      </c>
      <c r="O878" t="s">
        <v>35</v>
      </c>
      <c r="P878">
        <v>13</v>
      </c>
      <c r="Q878">
        <v>1</v>
      </c>
      <c r="R878">
        <v>27.5</v>
      </c>
      <c r="S878">
        <v>64.47</v>
      </c>
      <c r="T878">
        <v>25.95</v>
      </c>
      <c r="U878">
        <v>1</v>
      </c>
      <c r="V878">
        <v>0</v>
      </c>
      <c r="W878">
        <v>90.42</v>
      </c>
      <c r="X878">
        <v>41.2</v>
      </c>
      <c r="Y878">
        <v>101.01</v>
      </c>
      <c r="Z878">
        <v>2.4500000000000002</v>
      </c>
      <c r="AA878">
        <v>11.68</v>
      </c>
      <c r="AB878">
        <v>76.290000000000006</v>
      </c>
      <c r="AC878">
        <v>166.45090909090911</v>
      </c>
      <c r="AD878">
        <v>76.290000000000006</v>
      </c>
      <c r="AE878">
        <v>68.11</v>
      </c>
      <c r="AF878">
        <v>12.65</v>
      </c>
      <c r="AG878">
        <v>0</v>
      </c>
      <c r="AH878">
        <v>0.9</v>
      </c>
      <c r="AI878">
        <v>39.9</v>
      </c>
      <c r="AJ878">
        <v>167.83</v>
      </c>
      <c r="AK878">
        <v>75.040000000000006</v>
      </c>
      <c r="AL878" t="s">
        <v>14</v>
      </c>
      <c r="AM878" t="s">
        <v>15</v>
      </c>
      <c r="AN878" t="str">
        <f t="shared" si="52"/>
        <v>Night</v>
      </c>
      <c r="AO878" t="str">
        <f t="shared" si="53"/>
        <v>Off-Peak</v>
      </c>
      <c r="AP878" t="str">
        <f t="shared" si="54"/>
        <v>Medium</v>
      </c>
      <c r="AQ878" t="str">
        <f t="shared" si="55"/>
        <v>Medium</v>
      </c>
    </row>
    <row r="879" spans="1:43" x14ac:dyDescent="0.3">
      <c r="A879">
        <v>878</v>
      </c>
      <c r="B879" t="s">
        <v>16</v>
      </c>
      <c r="C879" t="s">
        <v>17</v>
      </c>
      <c r="D879" s="1">
        <v>46086</v>
      </c>
      <c r="E879" t="s">
        <v>41</v>
      </c>
      <c r="F879">
        <v>0</v>
      </c>
      <c r="G879">
        <v>12</v>
      </c>
      <c r="H879" t="s">
        <v>19</v>
      </c>
      <c r="I879" t="s">
        <v>20</v>
      </c>
      <c r="J879">
        <v>1.25</v>
      </c>
      <c r="K879" t="s">
        <v>12</v>
      </c>
      <c r="L879">
        <v>0</v>
      </c>
      <c r="M879">
        <v>2.2599999999999998</v>
      </c>
      <c r="N879">
        <v>32</v>
      </c>
      <c r="O879" t="s">
        <v>22</v>
      </c>
      <c r="P879">
        <v>7</v>
      </c>
      <c r="Q879">
        <v>5.55</v>
      </c>
      <c r="R879">
        <v>42.8</v>
      </c>
      <c r="S879">
        <v>110.92</v>
      </c>
      <c r="T879">
        <v>48.54</v>
      </c>
      <c r="U879">
        <v>1.01</v>
      </c>
      <c r="V879">
        <v>1.1100000000000001</v>
      </c>
      <c r="W879">
        <v>160.57</v>
      </c>
      <c r="X879">
        <v>49.9</v>
      </c>
      <c r="Y879">
        <v>106.54</v>
      </c>
      <c r="Z879">
        <v>11.84</v>
      </c>
      <c r="AA879">
        <v>3.85</v>
      </c>
      <c r="AB879">
        <v>144.88</v>
      </c>
      <c r="AC879">
        <v>203.10280373831776</v>
      </c>
      <c r="AD879">
        <v>26.104504504504504</v>
      </c>
      <c r="AE879">
        <v>69.31</v>
      </c>
      <c r="AF879">
        <v>12.98</v>
      </c>
      <c r="AG879">
        <v>0</v>
      </c>
      <c r="AH879">
        <v>-0.38</v>
      </c>
      <c r="AI879">
        <v>31.62</v>
      </c>
      <c r="AJ879">
        <v>227.57</v>
      </c>
      <c r="AK879">
        <v>77.78</v>
      </c>
      <c r="AL879" t="s">
        <v>14</v>
      </c>
      <c r="AM879" t="s">
        <v>15</v>
      </c>
      <c r="AN879" t="str">
        <f t="shared" si="52"/>
        <v>Afternoon</v>
      </c>
      <c r="AO879" t="str">
        <f t="shared" si="53"/>
        <v>Off-Peak</v>
      </c>
      <c r="AP879" t="str">
        <f t="shared" si="54"/>
        <v>Medium</v>
      </c>
      <c r="AQ879" t="str">
        <f t="shared" si="55"/>
        <v>Low</v>
      </c>
    </row>
    <row r="880" spans="1:43" x14ac:dyDescent="0.3">
      <c r="A880">
        <v>879</v>
      </c>
      <c r="B880" t="s">
        <v>29</v>
      </c>
      <c r="C880" t="s">
        <v>30</v>
      </c>
      <c r="D880" s="1">
        <v>46279</v>
      </c>
      <c r="E880" t="s">
        <v>38</v>
      </c>
      <c r="F880">
        <v>0</v>
      </c>
      <c r="G880">
        <v>20</v>
      </c>
      <c r="H880" t="s">
        <v>32</v>
      </c>
      <c r="I880" t="s">
        <v>42</v>
      </c>
      <c r="J880">
        <v>1.08</v>
      </c>
      <c r="K880" t="s">
        <v>12</v>
      </c>
      <c r="L880">
        <v>0</v>
      </c>
      <c r="M880">
        <v>3.17</v>
      </c>
      <c r="N880">
        <v>74</v>
      </c>
      <c r="O880" t="s">
        <v>13</v>
      </c>
      <c r="P880">
        <v>27</v>
      </c>
      <c r="Q880">
        <v>2.0099999999999998</v>
      </c>
      <c r="R880">
        <v>27.2</v>
      </c>
      <c r="S880">
        <v>62.52</v>
      </c>
      <c r="T880">
        <v>82.83</v>
      </c>
      <c r="U880">
        <v>1</v>
      </c>
      <c r="V880">
        <v>0</v>
      </c>
      <c r="W880">
        <v>145.35</v>
      </c>
      <c r="X880">
        <v>37.6</v>
      </c>
      <c r="Y880">
        <v>103.71</v>
      </c>
      <c r="Z880">
        <v>5.53</v>
      </c>
      <c r="AA880">
        <v>9.73</v>
      </c>
      <c r="AB880">
        <v>130.09</v>
      </c>
      <c r="AC880">
        <v>286.96323529411768</v>
      </c>
      <c r="AD880">
        <v>64.72139303482588</v>
      </c>
      <c r="AE880">
        <v>75</v>
      </c>
      <c r="AF880">
        <v>13.97</v>
      </c>
      <c r="AG880">
        <v>1</v>
      </c>
      <c r="AH880">
        <v>24.89</v>
      </c>
      <c r="AI880">
        <v>98.89</v>
      </c>
      <c r="AJ880">
        <v>309.33</v>
      </c>
      <c r="AK880">
        <v>66.5</v>
      </c>
      <c r="AL880" t="s">
        <v>14</v>
      </c>
      <c r="AM880" t="s">
        <v>15</v>
      </c>
      <c r="AN880" t="str">
        <f t="shared" si="52"/>
        <v>Night</v>
      </c>
      <c r="AO880" t="str">
        <f t="shared" si="53"/>
        <v>Peak</v>
      </c>
      <c r="AP880" t="str">
        <f t="shared" si="54"/>
        <v>High</v>
      </c>
      <c r="AQ880" t="str">
        <f t="shared" si="55"/>
        <v>High</v>
      </c>
    </row>
    <row r="881" spans="1:43" x14ac:dyDescent="0.3">
      <c r="A881">
        <v>880</v>
      </c>
      <c r="B881" t="s">
        <v>25</v>
      </c>
      <c r="C881" t="s">
        <v>17</v>
      </c>
      <c r="D881" s="1">
        <v>46211</v>
      </c>
      <c r="E881" t="s">
        <v>18</v>
      </c>
      <c r="F881">
        <v>0</v>
      </c>
      <c r="G881">
        <v>15</v>
      </c>
      <c r="H881" t="s">
        <v>19</v>
      </c>
      <c r="I881" t="s">
        <v>46</v>
      </c>
      <c r="J881">
        <v>1.1499999999999999</v>
      </c>
      <c r="K881" t="s">
        <v>12</v>
      </c>
      <c r="L881">
        <v>0</v>
      </c>
      <c r="M881">
        <v>3.2</v>
      </c>
      <c r="N881">
        <v>29</v>
      </c>
      <c r="O881" t="s">
        <v>22</v>
      </c>
      <c r="P881">
        <v>6</v>
      </c>
      <c r="Q881">
        <v>2.67</v>
      </c>
      <c r="R881">
        <v>30.8</v>
      </c>
      <c r="S881">
        <v>104.07</v>
      </c>
      <c r="T881">
        <v>32.69</v>
      </c>
      <c r="U881">
        <v>1.05</v>
      </c>
      <c r="V881">
        <v>5.2</v>
      </c>
      <c r="W881">
        <v>141.96</v>
      </c>
      <c r="X881">
        <v>46.9</v>
      </c>
      <c r="Y881">
        <v>104.26</v>
      </c>
      <c r="Z881">
        <v>5.93</v>
      </c>
      <c r="AA881">
        <v>2.06</v>
      </c>
      <c r="AB881">
        <v>133.97</v>
      </c>
      <c r="AC881">
        <v>260.98051948051949</v>
      </c>
      <c r="AD881">
        <v>50.176029962546821</v>
      </c>
      <c r="AE881">
        <v>69.02</v>
      </c>
      <c r="AF881">
        <v>13.94</v>
      </c>
      <c r="AG881">
        <v>0</v>
      </c>
      <c r="AH881">
        <v>-13.95</v>
      </c>
      <c r="AI881">
        <v>15.05</v>
      </c>
      <c r="AJ881">
        <v>275.27999999999997</v>
      </c>
      <c r="AK881">
        <v>74.03</v>
      </c>
      <c r="AL881" t="s">
        <v>23</v>
      </c>
      <c r="AM881" t="s">
        <v>24</v>
      </c>
      <c r="AN881" t="str">
        <f t="shared" si="52"/>
        <v>Evening</v>
      </c>
      <c r="AO881" t="str">
        <f t="shared" si="53"/>
        <v>Off-Peak</v>
      </c>
      <c r="AP881" t="str">
        <f t="shared" si="54"/>
        <v>High</v>
      </c>
      <c r="AQ881" t="str">
        <f t="shared" si="55"/>
        <v>Low</v>
      </c>
    </row>
    <row r="882" spans="1:43" x14ac:dyDescent="0.3">
      <c r="A882">
        <v>881</v>
      </c>
      <c r="B882" t="s">
        <v>7</v>
      </c>
      <c r="C882" t="s">
        <v>8</v>
      </c>
      <c r="D882" s="1">
        <v>46045</v>
      </c>
      <c r="E882" t="s">
        <v>9</v>
      </c>
      <c r="F882">
        <v>0</v>
      </c>
      <c r="G882">
        <v>14</v>
      </c>
      <c r="H882" t="s">
        <v>10</v>
      </c>
      <c r="I882" t="s">
        <v>11</v>
      </c>
      <c r="J882">
        <v>1.18</v>
      </c>
      <c r="K882" t="s">
        <v>21</v>
      </c>
      <c r="L882">
        <v>0</v>
      </c>
      <c r="M882">
        <v>4.1500000000000004</v>
      </c>
      <c r="N882">
        <v>69</v>
      </c>
      <c r="O882" t="s">
        <v>35</v>
      </c>
      <c r="P882">
        <v>24</v>
      </c>
      <c r="Q882">
        <v>6.48</v>
      </c>
      <c r="R882">
        <v>53.6</v>
      </c>
      <c r="S882">
        <v>128.94</v>
      </c>
      <c r="T882">
        <v>73.67</v>
      </c>
      <c r="U882">
        <v>1</v>
      </c>
      <c r="V882">
        <v>0</v>
      </c>
      <c r="W882">
        <v>202.61</v>
      </c>
      <c r="X882">
        <v>48.9</v>
      </c>
      <c r="Y882">
        <v>103.37</v>
      </c>
      <c r="Z882">
        <v>13.7</v>
      </c>
      <c r="AA882">
        <v>8.2899999999999991</v>
      </c>
      <c r="AB882">
        <v>180.62</v>
      </c>
      <c r="AC882">
        <v>202.18656716417911</v>
      </c>
      <c r="AD882">
        <v>27.873456790123456</v>
      </c>
      <c r="AE882">
        <v>70.989999999999995</v>
      </c>
      <c r="AF882">
        <v>15.36</v>
      </c>
      <c r="AG882">
        <v>1</v>
      </c>
      <c r="AH882">
        <v>1.82</v>
      </c>
      <c r="AI882">
        <v>70.819999999999993</v>
      </c>
      <c r="AJ882">
        <v>206.83</v>
      </c>
      <c r="AK882">
        <v>77.73</v>
      </c>
      <c r="AL882" t="s">
        <v>14</v>
      </c>
      <c r="AM882" t="s">
        <v>15</v>
      </c>
      <c r="AN882" t="str">
        <f t="shared" si="52"/>
        <v>Afternoon</v>
      </c>
      <c r="AO882" t="str">
        <f t="shared" si="53"/>
        <v>Off-Peak</v>
      </c>
      <c r="AP882" t="str">
        <f t="shared" si="54"/>
        <v>Medium</v>
      </c>
      <c r="AQ882" t="str">
        <f t="shared" si="55"/>
        <v>Medium</v>
      </c>
    </row>
    <row r="883" spans="1:43" x14ac:dyDescent="0.3">
      <c r="A883">
        <v>882</v>
      </c>
      <c r="B883" t="s">
        <v>16</v>
      </c>
      <c r="C883" t="s">
        <v>17</v>
      </c>
      <c r="D883" s="1">
        <v>46217</v>
      </c>
      <c r="E883" t="s">
        <v>44</v>
      </c>
      <c r="F883">
        <v>0</v>
      </c>
      <c r="G883">
        <v>11</v>
      </c>
      <c r="H883" t="s">
        <v>19</v>
      </c>
      <c r="I883" t="s">
        <v>45</v>
      </c>
      <c r="J883">
        <v>1</v>
      </c>
      <c r="K883" t="s">
        <v>12</v>
      </c>
      <c r="L883">
        <v>0</v>
      </c>
      <c r="M883">
        <v>2.63</v>
      </c>
      <c r="N883">
        <v>13</v>
      </c>
      <c r="O883" t="s">
        <v>22</v>
      </c>
      <c r="P883">
        <v>2</v>
      </c>
      <c r="Q883">
        <v>7.37</v>
      </c>
      <c r="R883">
        <v>52.7</v>
      </c>
      <c r="S883">
        <v>151.47999999999999</v>
      </c>
      <c r="T883">
        <v>12.17</v>
      </c>
      <c r="U883">
        <v>1.1299999999999999</v>
      </c>
      <c r="V883">
        <v>19.690000000000001</v>
      </c>
      <c r="W883">
        <v>183.34</v>
      </c>
      <c r="X883">
        <v>45.3</v>
      </c>
      <c r="Y883">
        <v>104.66</v>
      </c>
      <c r="Z883">
        <v>17.03</v>
      </c>
      <c r="AA883">
        <v>8.5299999999999994</v>
      </c>
      <c r="AB883">
        <v>157.78</v>
      </c>
      <c r="AC883">
        <v>179.63567362428842</v>
      </c>
      <c r="AD883">
        <v>21.408412483039349</v>
      </c>
      <c r="AE883">
        <v>63.77</v>
      </c>
      <c r="AF883">
        <v>19.37</v>
      </c>
      <c r="AG883">
        <v>0</v>
      </c>
      <c r="AH883">
        <v>9.08</v>
      </c>
      <c r="AI883">
        <v>22.08</v>
      </c>
      <c r="AJ883">
        <v>195.99</v>
      </c>
      <c r="AK883">
        <v>65.86</v>
      </c>
      <c r="AL883" t="s">
        <v>23</v>
      </c>
      <c r="AM883" t="s">
        <v>24</v>
      </c>
      <c r="AN883" t="str">
        <f t="shared" si="52"/>
        <v>Afternoon</v>
      </c>
      <c r="AO883" t="str">
        <f t="shared" si="53"/>
        <v>Off-Peak</v>
      </c>
      <c r="AP883" t="str">
        <f t="shared" si="54"/>
        <v>Medium</v>
      </c>
      <c r="AQ883" t="str">
        <f t="shared" si="55"/>
        <v>Low</v>
      </c>
    </row>
    <row r="884" spans="1:43" x14ac:dyDescent="0.3">
      <c r="A884">
        <v>883</v>
      </c>
      <c r="B884" t="s">
        <v>29</v>
      </c>
      <c r="C884" t="s">
        <v>30</v>
      </c>
      <c r="D884" s="1">
        <v>46273</v>
      </c>
      <c r="E884" t="s">
        <v>44</v>
      </c>
      <c r="F884">
        <v>0</v>
      </c>
      <c r="G884">
        <v>20</v>
      </c>
      <c r="H884" t="s">
        <v>32</v>
      </c>
      <c r="I884" t="s">
        <v>50</v>
      </c>
      <c r="J884">
        <v>1.2</v>
      </c>
      <c r="K884" t="s">
        <v>12</v>
      </c>
      <c r="L884">
        <v>0</v>
      </c>
      <c r="M884">
        <v>3.29</v>
      </c>
      <c r="N884">
        <v>75</v>
      </c>
      <c r="O884" t="s">
        <v>13</v>
      </c>
      <c r="P884">
        <v>25</v>
      </c>
      <c r="Q884">
        <v>8.4600000000000009</v>
      </c>
      <c r="R884">
        <v>54.6</v>
      </c>
      <c r="S884">
        <v>126.91</v>
      </c>
      <c r="T884">
        <v>76.63</v>
      </c>
      <c r="U884">
        <v>1</v>
      </c>
      <c r="V884">
        <v>0</v>
      </c>
      <c r="W884">
        <v>203.54</v>
      </c>
      <c r="X884">
        <v>36.6</v>
      </c>
      <c r="Y884">
        <v>106.44</v>
      </c>
      <c r="Z884">
        <v>24.56</v>
      </c>
      <c r="AA884">
        <v>9.5399999999999991</v>
      </c>
      <c r="AB884">
        <v>169.44</v>
      </c>
      <c r="AC884">
        <v>186.19780219780219</v>
      </c>
      <c r="AD884">
        <v>20.028368794326237</v>
      </c>
      <c r="AE884">
        <v>84.57</v>
      </c>
      <c r="AF884">
        <v>16.39</v>
      </c>
      <c r="AG884">
        <v>1</v>
      </c>
      <c r="AH884">
        <v>4.5</v>
      </c>
      <c r="AI884">
        <v>79.5</v>
      </c>
      <c r="AJ884">
        <v>180.74</v>
      </c>
      <c r="AK884">
        <v>74.05</v>
      </c>
      <c r="AL884" t="s">
        <v>14</v>
      </c>
      <c r="AM884" t="s">
        <v>15</v>
      </c>
      <c r="AN884" t="str">
        <f t="shared" si="52"/>
        <v>Night</v>
      </c>
      <c r="AO884" t="str">
        <f t="shared" si="53"/>
        <v>Peak</v>
      </c>
      <c r="AP884" t="str">
        <f t="shared" si="54"/>
        <v>Medium</v>
      </c>
      <c r="AQ884" t="str">
        <f t="shared" si="55"/>
        <v>High</v>
      </c>
    </row>
    <row r="885" spans="1:43" x14ac:dyDescent="0.3">
      <c r="A885">
        <v>884</v>
      </c>
      <c r="B885" t="s">
        <v>14</v>
      </c>
      <c r="C885" t="s">
        <v>8</v>
      </c>
      <c r="D885" s="1">
        <v>46048</v>
      </c>
      <c r="E885" t="s">
        <v>38</v>
      </c>
      <c r="F885">
        <v>0</v>
      </c>
      <c r="G885">
        <v>7</v>
      </c>
      <c r="H885" t="s">
        <v>49</v>
      </c>
      <c r="I885" t="s">
        <v>37</v>
      </c>
      <c r="J885">
        <v>1.02</v>
      </c>
      <c r="K885" t="s">
        <v>12</v>
      </c>
      <c r="L885">
        <v>0</v>
      </c>
      <c r="M885">
        <v>1.99</v>
      </c>
      <c r="N885">
        <v>18</v>
      </c>
      <c r="O885" t="s">
        <v>22</v>
      </c>
      <c r="P885">
        <v>6</v>
      </c>
      <c r="Q885">
        <v>6.13</v>
      </c>
      <c r="R885">
        <v>42.4</v>
      </c>
      <c r="S885">
        <v>102.7</v>
      </c>
      <c r="T885">
        <v>25.91</v>
      </c>
      <c r="U885">
        <v>1</v>
      </c>
      <c r="V885">
        <v>0</v>
      </c>
      <c r="W885">
        <v>128.61000000000001</v>
      </c>
      <c r="X885">
        <v>39.9</v>
      </c>
      <c r="Y885">
        <v>105.41</v>
      </c>
      <c r="Z885">
        <v>16.190000000000001</v>
      </c>
      <c r="AA885">
        <v>11.26</v>
      </c>
      <c r="AB885">
        <v>101.16</v>
      </c>
      <c r="AC885">
        <v>143.15094339622641</v>
      </c>
      <c r="AD885">
        <v>16.502446982055464</v>
      </c>
      <c r="AE885">
        <v>83.05</v>
      </c>
      <c r="AF885">
        <v>14.97</v>
      </c>
      <c r="AG885">
        <v>0</v>
      </c>
      <c r="AH885">
        <v>0.43</v>
      </c>
      <c r="AI885">
        <v>18.43</v>
      </c>
      <c r="AJ885">
        <v>157.83000000000001</v>
      </c>
      <c r="AK885">
        <v>78.33</v>
      </c>
      <c r="AL885" t="s">
        <v>14</v>
      </c>
      <c r="AM885" t="s">
        <v>15</v>
      </c>
      <c r="AN885" t="str">
        <f t="shared" si="52"/>
        <v>Morning</v>
      </c>
      <c r="AO885" t="str">
        <f t="shared" si="53"/>
        <v>Peak</v>
      </c>
      <c r="AP885" t="str">
        <f t="shared" si="54"/>
        <v>Low</v>
      </c>
      <c r="AQ885" t="str">
        <f t="shared" si="55"/>
        <v>Low</v>
      </c>
    </row>
    <row r="886" spans="1:43" x14ac:dyDescent="0.3">
      <c r="A886">
        <v>885</v>
      </c>
      <c r="B886" t="s">
        <v>16</v>
      </c>
      <c r="C886" t="s">
        <v>17</v>
      </c>
      <c r="D886" s="1">
        <v>46129</v>
      </c>
      <c r="E886" t="s">
        <v>9</v>
      </c>
      <c r="F886">
        <v>0</v>
      </c>
      <c r="G886">
        <v>14</v>
      </c>
      <c r="H886" t="s">
        <v>19</v>
      </c>
      <c r="I886" t="s">
        <v>46</v>
      </c>
      <c r="J886">
        <v>1.1499999999999999</v>
      </c>
      <c r="K886" t="s">
        <v>12</v>
      </c>
      <c r="L886">
        <v>0</v>
      </c>
      <c r="M886">
        <v>2.96</v>
      </c>
      <c r="N886">
        <v>46</v>
      </c>
      <c r="O886" t="s">
        <v>35</v>
      </c>
      <c r="P886">
        <v>7</v>
      </c>
      <c r="Q886">
        <v>3.27</v>
      </c>
      <c r="R886">
        <v>30.7</v>
      </c>
      <c r="S886">
        <v>92.01</v>
      </c>
      <c r="T886">
        <v>45.43</v>
      </c>
      <c r="U886">
        <v>1</v>
      </c>
      <c r="V886">
        <v>0</v>
      </c>
      <c r="W886">
        <v>137.44</v>
      </c>
      <c r="X886">
        <v>36.299999999999997</v>
      </c>
      <c r="Y886">
        <v>101.64</v>
      </c>
      <c r="Z886">
        <v>9.15</v>
      </c>
      <c r="AA886">
        <v>9.5399999999999991</v>
      </c>
      <c r="AB886">
        <v>118.75</v>
      </c>
      <c r="AC886">
        <v>232.08469055374596</v>
      </c>
      <c r="AD886">
        <v>36.314984709480122</v>
      </c>
      <c r="AE886">
        <v>73.64</v>
      </c>
      <c r="AF886">
        <v>17.940000000000001</v>
      </c>
      <c r="AG886">
        <v>0</v>
      </c>
      <c r="AH886">
        <v>8.3800000000000008</v>
      </c>
      <c r="AI886">
        <v>54.38</v>
      </c>
      <c r="AJ886">
        <v>227.87</v>
      </c>
      <c r="AK886">
        <v>70.95</v>
      </c>
      <c r="AL886" t="s">
        <v>14</v>
      </c>
      <c r="AM886" t="s">
        <v>15</v>
      </c>
      <c r="AN886" t="str">
        <f t="shared" si="52"/>
        <v>Afternoon</v>
      </c>
      <c r="AO886" t="str">
        <f t="shared" si="53"/>
        <v>Off-Peak</v>
      </c>
      <c r="AP886" t="str">
        <f t="shared" si="54"/>
        <v>Medium</v>
      </c>
      <c r="AQ886" t="str">
        <f t="shared" si="55"/>
        <v>Medium</v>
      </c>
    </row>
    <row r="887" spans="1:43" x14ac:dyDescent="0.3">
      <c r="A887">
        <v>886</v>
      </c>
      <c r="B887" t="s">
        <v>16</v>
      </c>
      <c r="C887" t="s">
        <v>17</v>
      </c>
      <c r="D887" s="1">
        <v>46143</v>
      </c>
      <c r="E887" t="s">
        <v>9</v>
      </c>
      <c r="F887">
        <v>0</v>
      </c>
      <c r="G887">
        <v>12</v>
      </c>
      <c r="H887" t="s">
        <v>19</v>
      </c>
      <c r="I887" t="s">
        <v>37</v>
      </c>
      <c r="J887">
        <v>1.02</v>
      </c>
      <c r="K887" t="s">
        <v>21</v>
      </c>
      <c r="L887">
        <v>0</v>
      </c>
      <c r="M887">
        <v>2.63</v>
      </c>
      <c r="N887">
        <v>39</v>
      </c>
      <c r="O887" t="s">
        <v>35</v>
      </c>
      <c r="P887">
        <v>9</v>
      </c>
      <c r="Q887">
        <v>3.07</v>
      </c>
      <c r="R887">
        <v>26.2</v>
      </c>
      <c r="S887">
        <v>102.73</v>
      </c>
      <c r="T887">
        <v>44.45</v>
      </c>
      <c r="U887">
        <v>1</v>
      </c>
      <c r="V887">
        <v>0</v>
      </c>
      <c r="W887">
        <v>147.18</v>
      </c>
      <c r="X887">
        <v>44</v>
      </c>
      <c r="Y887">
        <v>104.91</v>
      </c>
      <c r="Z887">
        <v>7.31</v>
      </c>
      <c r="AA887">
        <v>9.32</v>
      </c>
      <c r="AB887">
        <v>130.55000000000001</v>
      </c>
      <c r="AC887">
        <v>298.96946564885502</v>
      </c>
      <c r="AD887">
        <v>42.524429967426713</v>
      </c>
      <c r="AE887">
        <v>74.98</v>
      </c>
      <c r="AF887">
        <v>12.93</v>
      </c>
      <c r="AG887">
        <v>0</v>
      </c>
      <c r="AH887">
        <v>19.190000000000001</v>
      </c>
      <c r="AI887">
        <v>58.19</v>
      </c>
      <c r="AJ887">
        <v>276.73</v>
      </c>
      <c r="AK887">
        <v>60.85</v>
      </c>
      <c r="AL887" t="s">
        <v>14</v>
      </c>
      <c r="AM887" t="s">
        <v>15</v>
      </c>
      <c r="AN887" t="str">
        <f t="shared" si="52"/>
        <v>Afternoon</v>
      </c>
      <c r="AO887" t="str">
        <f t="shared" si="53"/>
        <v>Off-Peak</v>
      </c>
      <c r="AP887" t="str">
        <f t="shared" si="54"/>
        <v>High</v>
      </c>
      <c r="AQ887" t="str">
        <f t="shared" si="55"/>
        <v>Medium</v>
      </c>
    </row>
    <row r="888" spans="1:43" x14ac:dyDescent="0.3">
      <c r="A888">
        <v>887</v>
      </c>
      <c r="B888" t="s">
        <v>7</v>
      </c>
      <c r="C888" t="s">
        <v>8</v>
      </c>
      <c r="D888" s="1">
        <v>46056</v>
      </c>
      <c r="E888" t="s">
        <v>44</v>
      </c>
      <c r="F888">
        <v>0</v>
      </c>
      <c r="G888">
        <v>15</v>
      </c>
      <c r="H888" t="s">
        <v>32</v>
      </c>
      <c r="I888" t="s">
        <v>33</v>
      </c>
      <c r="J888">
        <v>1</v>
      </c>
      <c r="K888" t="s">
        <v>21</v>
      </c>
      <c r="L888">
        <v>0</v>
      </c>
      <c r="M888">
        <v>2.4500000000000002</v>
      </c>
      <c r="N888">
        <v>30</v>
      </c>
      <c r="O888" t="s">
        <v>22</v>
      </c>
      <c r="P888">
        <v>11</v>
      </c>
      <c r="Q888">
        <v>2.81</v>
      </c>
      <c r="R888">
        <v>26.3</v>
      </c>
      <c r="S888">
        <v>62.75</v>
      </c>
      <c r="T888">
        <v>35.39</v>
      </c>
      <c r="U888">
        <v>1</v>
      </c>
      <c r="V888">
        <v>0</v>
      </c>
      <c r="W888">
        <v>98.14</v>
      </c>
      <c r="X888">
        <v>50</v>
      </c>
      <c r="Y888">
        <v>104.61</v>
      </c>
      <c r="Z888">
        <v>5.88</v>
      </c>
      <c r="AA888">
        <v>4.54</v>
      </c>
      <c r="AB888">
        <v>87.72</v>
      </c>
      <c r="AC888">
        <v>200.12167300380227</v>
      </c>
      <c r="AD888">
        <v>31.217081850533805</v>
      </c>
      <c r="AE888">
        <v>65.39</v>
      </c>
      <c r="AF888">
        <v>19.61</v>
      </c>
      <c r="AG888">
        <v>0</v>
      </c>
      <c r="AH888">
        <v>26.04</v>
      </c>
      <c r="AI888">
        <v>56.04</v>
      </c>
      <c r="AJ888">
        <v>208.64</v>
      </c>
      <c r="AK888">
        <v>71.91</v>
      </c>
      <c r="AL888" t="s">
        <v>14</v>
      </c>
      <c r="AM888" t="s">
        <v>15</v>
      </c>
      <c r="AN888" t="str">
        <f t="shared" si="52"/>
        <v>Evening</v>
      </c>
      <c r="AO888" t="str">
        <f t="shared" si="53"/>
        <v>Off-Peak</v>
      </c>
      <c r="AP888" t="str">
        <f t="shared" si="54"/>
        <v>Medium</v>
      </c>
      <c r="AQ888" t="str">
        <f t="shared" si="55"/>
        <v>Low</v>
      </c>
    </row>
    <row r="889" spans="1:43" x14ac:dyDescent="0.3">
      <c r="A889">
        <v>888</v>
      </c>
      <c r="B889" t="s">
        <v>14</v>
      </c>
      <c r="C889" t="s">
        <v>8</v>
      </c>
      <c r="D889" s="1">
        <v>46074</v>
      </c>
      <c r="E889" t="s">
        <v>31</v>
      </c>
      <c r="F889">
        <v>1</v>
      </c>
      <c r="G889">
        <v>11</v>
      </c>
      <c r="H889" t="s">
        <v>10</v>
      </c>
      <c r="I889" t="s">
        <v>37</v>
      </c>
      <c r="J889">
        <v>1.02</v>
      </c>
      <c r="K889" t="s">
        <v>12</v>
      </c>
      <c r="L889">
        <v>0</v>
      </c>
      <c r="M889">
        <v>4.24</v>
      </c>
      <c r="N889">
        <v>47</v>
      </c>
      <c r="O889" t="s">
        <v>35</v>
      </c>
      <c r="P889">
        <v>23</v>
      </c>
      <c r="Q889">
        <v>1.38</v>
      </c>
      <c r="R889">
        <v>25.4</v>
      </c>
      <c r="S889">
        <v>52.58</v>
      </c>
      <c r="T889">
        <v>51.04</v>
      </c>
      <c r="U889">
        <v>1</v>
      </c>
      <c r="V889">
        <v>0</v>
      </c>
      <c r="W889">
        <v>103.62</v>
      </c>
      <c r="X889">
        <v>40.6</v>
      </c>
      <c r="Y889">
        <v>105.46</v>
      </c>
      <c r="Z889">
        <v>3.59</v>
      </c>
      <c r="AA889">
        <v>11.93</v>
      </c>
      <c r="AB889">
        <v>88.1</v>
      </c>
      <c r="AC889">
        <v>208.11023622047244</v>
      </c>
      <c r="AD889">
        <v>63.840579710144929</v>
      </c>
      <c r="AE889">
        <v>76.33</v>
      </c>
      <c r="AF889">
        <v>15.79</v>
      </c>
      <c r="AG889">
        <v>1</v>
      </c>
      <c r="AH889">
        <v>3.49</v>
      </c>
      <c r="AI889">
        <v>50.49</v>
      </c>
      <c r="AJ889">
        <v>228.9</v>
      </c>
      <c r="AK889">
        <v>75.23</v>
      </c>
      <c r="AL889" t="s">
        <v>14</v>
      </c>
      <c r="AM889" t="s">
        <v>15</v>
      </c>
      <c r="AN889" t="str">
        <f t="shared" si="52"/>
        <v>Afternoon</v>
      </c>
      <c r="AO889" t="str">
        <f t="shared" si="53"/>
        <v>Off-Peak</v>
      </c>
      <c r="AP889" t="str">
        <f t="shared" si="54"/>
        <v>Medium</v>
      </c>
      <c r="AQ889" t="str">
        <f t="shared" si="55"/>
        <v>Medium</v>
      </c>
    </row>
    <row r="890" spans="1:43" x14ac:dyDescent="0.3">
      <c r="A890">
        <v>889</v>
      </c>
      <c r="B890" t="s">
        <v>7</v>
      </c>
      <c r="C890" t="s">
        <v>8</v>
      </c>
      <c r="D890" s="1">
        <v>46067</v>
      </c>
      <c r="E890" t="s">
        <v>31</v>
      </c>
      <c r="F890">
        <v>1</v>
      </c>
      <c r="G890">
        <v>17</v>
      </c>
      <c r="H890" t="s">
        <v>32</v>
      </c>
      <c r="I890" t="s">
        <v>50</v>
      </c>
      <c r="J890">
        <v>1.2</v>
      </c>
      <c r="K890" t="s">
        <v>12</v>
      </c>
      <c r="L890">
        <v>0</v>
      </c>
      <c r="M890">
        <v>2.93</v>
      </c>
      <c r="N890">
        <v>45</v>
      </c>
      <c r="O890" t="s">
        <v>35</v>
      </c>
      <c r="P890">
        <v>13</v>
      </c>
      <c r="Q890">
        <v>1.8</v>
      </c>
      <c r="R890">
        <v>25.7</v>
      </c>
      <c r="S890">
        <v>53.45</v>
      </c>
      <c r="T890">
        <v>38.909999999999997</v>
      </c>
      <c r="U890">
        <v>1</v>
      </c>
      <c r="V890">
        <v>0</v>
      </c>
      <c r="W890">
        <v>92.36</v>
      </c>
      <c r="X890">
        <v>37.4</v>
      </c>
      <c r="Y890">
        <v>101.11</v>
      </c>
      <c r="Z890">
        <v>4.8499999999999996</v>
      </c>
      <c r="AA890">
        <v>6.68</v>
      </c>
      <c r="AB890">
        <v>80.83</v>
      </c>
      <c r="AC890">
        <v>188.70817120622567</v>
      </c>
      <c r="AD890">
        <v>44.905555555555551</v>
      </c>
      <c r="AE890">
        <v>77.44</v>
      </c>
      <c r="AF890">
        <v>18.829999999999998</v>
      </c>
      <c r="AG890">
        <v>1</v>
      </c>
      <c r="AH890">
        <v>-9.24</v>
      </c>
      <c r="AI890">
        <v>35.76</v>
      </c>
      <c r="AJ890">
        <v>182.49</v>
      </c>
      <c r="AK890">
        <v>74.25</v>
      </c>
      <c r="AL890" t="s">
        <v>14</v>
      </c>
      <c r="AM890" t="s">
        <v>15</v>
      </c>
      <c r="AN890" t="str">
        <f t="shared" si="52"/>
        <v>Evening</v>
      </c>
      <c r="AO890" t="str">
        <f t="shared" si="53"/>
        <v>Peak</v>
      </c>
      <c r="AP890" t="str">
        <f t="shared" si="54"/>
        <v>Medium</v>
      </c>
      <c r="AQ890" t="str">
        <f t="shared" si="55"/>
        <v>Medium</v>
      </c>
    </row>
    <row r="891" spans="1:43" x14ac:dyDescent="0.3">
      <c r="A891">
        <v>890</v>
      </c>
      <c r="B891" t="s">
        <v>14</v>
      </c>
      <c r="C891" t="s">
        <v>8</v>
      </c>
      <c r="D891" s="1">
        <v>46070</v>
      </c>
      <c r="E891" t="s">
        <v>44</v>
      </c>
      <c r="F891">
        <v>0</v>
      </c>
      <c r="G891">
        <v>13</v>
      </c>
      <c r="H891" t="s">
        <v>10</v>
      </c>
      <c r="I891" t="s">
        <v>45</v>
      </c>
      <c r="J891">
        <v>1</v>
      </c>
      <c r="K891" t="s">
        <v>12</v>
      </c>
      <c r="L891">
        <v>0</v>
      </c>
      <c r="M891">
        <v>5</v>
      </c>
      <c r="N891">
        <v>52</v>
      </c>
      <c r="O891" t="s">
        <v>35</v>
      </c>
      <c r="P891">
        <v>18</v>
      </c>
      <c r="Q891">
        <v>7.75</v>
      </c>
      <c r="R891">
        <v>65</v>
      </c>
      <c r="S891">
        <v>118.83</v>
      </c>
      <c r="T891">
        <v>48.34</v>
      </c>
      <c r="U891">
        <v>1</v>
      </c>
      <c r="V891">
        <v>0</v>
      </c>
      <c r="W891">
        <v>167.17</v>
      </c>
      <c r="X891">
        <v>39</v>
      </c>
      <c r="Y891">
        <v>101.54</v>
      </c>
      <c r="Z891">
        <v>20.16</v>
      </c>
      <c r="AA891">
        <v>6.17</v>
      </c>
      <c r="AB891">
        <v>140.84</v>
      </c>
      <c r="AC891">
        <v>130.00615384615386</v>
      </c>
      <c r="AD891">
        <v>18.172903225806451</v>
      </c>
      <c r="AE891">
        <v>74.400000000000006</v>
      </c>
      <c r="AF891">
        <v>20</v>
      </c>
      <c r="AG891">
        <v>1</v>
      </c>
      <c r="AH891">
        <v>26.02</v>
      </c>
      <c r="AI891">
        <v>78.02</v>
      </c>
      <c r="AJ891">
        <v>161.37</v>
      </c>
      <c r="AK891">
        <v>72.12</v>
      </c>
      <c r="AL891" t="s">
        <v>14</v>
      </c>
      <c r="AM891" t="s">
        <v>15</v>
      </c>
      <c r="AN891" t="str">
        <f t="shared" si="52"/>
        <v>Afternoon</v>
      </c>
      <c r="AO891" t="str">
        <f t="shared" si="53"/>
        <v>Off-Peak</v>
      </c>
      <c r="AP891" t="str">
        <f t="shared" si="54"/>
        <v>Low</v>
      </c>
      <c r="AQ891" t="str">
        <f t="shared" si="55"/>
        <v>Medium</v>
      </c>
    </row>
    <row r="892" spans="1:43" x14ac:dyDescent="0.3">
      <c r="A892">
        <v>891</v>
      </c>
      <c r="B892" t="s">
        <v>7</v>
      </c>
      <c r="C892" t="s">
        <v>8</v>
      </c>
      <c r="D892" s="1">
        <v>46127</v>
      </c>
      <c r="E892" t="s">
        <v>18</v>
      </c>
      <c r="F892">
        <v>0</v>
      </c>
      <c r="G892">
        <v>10</v>
      </c>
      <c r="H892" t="s">
        <v>49</v>
      </c>
      <c r="I892" t="s">
        <v>11</v>
      </c>
      <c r="J892">
        <v>1.18</v>
      </c>
      <c r="K892" t="s">
        <v>12</v>
      </c>
      <c r="L892">
        <v>0</v>
      </c>
      <c r="M892">
        <v>2.57</v>
      </c>
      <c r="N892">
        <v>23</v>
      </c>
      <c r="O892" t="s">
        <v>22</v>
      </c>
      <c r="P892">
        <v>8</v>
      </c>
      <c r="Q892">
        <v>2.1800000000000002</v>
      </c>
      <c r="R892">
        <v>28.7</v>
      </c>
      <c r="S892">
        <v>65.010000000000005</v>
      </c>
      <c r="T892">
        <v>55.97</v>
      </c>
      <c r="U892">
        <v>1</v>
      </c>
      <c r="V892">
        <v>0</v>
      </c>
      <c r="W892">
        <v>120.98</v>
      </c>
      <c r="X892">
        <v>43.6</v>
      </c>
      <c r="Y892">
        <v>105.3</v>
      </c>
      <c r="Z892">
        <v>5.26</v>
      </c>
      <c r="AA892">
        <v>7.02</v>
      </c>
      <c r="AB892">
        <v>108.7</v>
      </c>
      <c r="AC892">
        <v>227.2473867595819</v>
      </c>
      <c r="AD892">
        <v>49.862385321100916</v>
      </c>
      <c r="AE892">
        <v>77.010000000000005</v>
      </c>
      <c r="AF892">
        <v>11.55</v>
      </c>
      <c r="AG892">
        <v>0</v>
      </c>
      <c r="AH892">
        <v>-13.16</v>
      </c>
      <c r="AI892">
        <v>9.84</v>
      </c>
      <c r="AJ892">
        <v>202.48</v>
      </c>
      <c r="AK892">
        <v>68.64</v>
      </c>
      <c r="AL892" t="s">
        <v>14</v>
      </c>
      <c r="AM892" t="s">
        <v>15</v>
      </c>
      <c r="AN892" t="str">
        <f t="shared" si="52"/>
        <v>Morning</v>
      </c>
      <c r="AO892" t="str">
        <f t="shared" si="53"/>
        <v>Peak</v>
      </c>
      <c r="AP892" t="str">
        <f t="shared" si="54"/>
        <v>Medium</v>
      </c>
      <c r="AQ892" t="str">
        <f t="shared" si="55"/>
        <v>Low</v>
      </c>
    </row>
    <row r="893" spans="1:43" x14ac:dyDescent="0.3">
      <c r="A893">
        <v>892</v>
      </c>
      <c r="B893" t="s">
        <v>25</v>
      </c>
      <c r="C893" t="s">
        <v>17</v>
      </c>
      <c r="D893" s="1">
        <v>46142</v>
      </c>
      <c r="E893" t="s">
        <v>41</v>
      </c>
      <c r="F893">
        <v>0</v>
      </c>
      <c r="G893">
        <v>10</v>
      </c>
      <c r="H893" t="s">
        <v>19</v>
      </c>
      <c r="I893" t="s">
        <v>50</v>
      </c>
      <c r="J893">
        <v>1.2</v>
      </c>
      <c r="K893" t="s">
        <v>21</v>
      </c>
      <c r="L893">
        <v>0</v>
      </c>
      <c r="M893">
        <v>3.2</v>
      </c>
      <c r="N893">
        <v>28</v>
      </c>
      <c r="O893" t="s">
        <v>22</v>
      </c>
      <c r="P893">
        <v>6</v>
      </c>
      <c r="Q893">
        <v>1.39</v>
      </c>
      <c r="R893">
        <v>36.9</v>
      </c>
      <c r="S893">
        <v>81</v>
      </c>
      <c r="T893">
        <v>44.98</v>
      </c>
      <c r="U893">
        <v>1.0900000000000001</v>
      </c>
      <c r="V893">
        <v>7.29</v>
      </c>
      <c r="W893">
        <v>133.27000000000001</v>
      </c>
      <c r="X893">
        <v>43.5</v>
      </c>
      <c r="Y893">
        <v>102.75</v>
      </c>
      <c r="Z893">
        <v>3.28</v>
      </c>
      <c r="AA893">
        <v>5.94</v>
      </c>
      <c r="AB893">
        <v>124.05</v>
      </c>
      <c r="AC893">
        <v>201.70731707317074</v>
      </c>
      <c r="AD893">
        <v>89.24460431654677</v>
      </c>
      <c r="AE893">
        <v>76.709999999999994</v>
      </c>
      <c r="AF893">
        <v>18.75</v>
      </c>
      <c r="AG893">
        <v>0</v>
      </c>
      <c r="AH893">
        <v>29.86</v>
      </c>
      <c r="AI893">
        <v>57.86</v>
      </c>
      <c r="AJ893">
        <v>183.7</v>
      </c>
      <c r="AK893">
        <v>64.16</v>
      </c>
      <c r="AL893" t="s">
        <v>23</v>
      </c>
      <c r="AM893" t="s">
        <v>24</v>
      </c>
      <c r="AN893" t="str">
        <f t="shared" si="52"/>
        <v>Morning</v>
      </c>
      <c r="AO893" t="str">
        <f t="shared" si="53"/>
        <v>Peak</v>
      </c>
      <c r="AP893" t="str">
        <f t="shared" si="54"/>
        <v>Medium</v>
      </c>
      <c r="AQ893" t="str">
        <f t="shared" si="55"/>
        <v>Low</v>
      </c>
    </row>
    <row r="894" spans="1:43" x14ac:dyDescent="0.3">
      <c r="A894">
        <v>893</v>
      </c>
      <c r="B894" t="s">
        <v>29</v>
      </c>
      <c r="C894" t="s">
        <v>30</v>
      </c>
      <c r="D894" s="1">
        <v>46084</v>
      </c>
      <c r="E894" t="s">
        <v>44</v>
      </c>
      <c r="F894">
        <v>0</v>
      </c>
      <c r="G894">
        <v>18</v>
      </c>
      <c r="H894" t="s">
        <v>32</v>
      </c>
      <c r="I894" t="s">
        <v>11</v>
      </c>
      <c r="J894">
        <v>1.18</v>
      </c>
      <c r="K894" t="s">
        <v>12</v>
      </c>
      <c r="L894">
        <v>0</v>
      </c>
      <c r="M894">
        <v>4.0599999999999996</v>
      </c>
      <c r="N894">
        <v>74</v>
      </c>
      <c r="O894" t="s">
        <v>13</v>
      </c>
      <c r="P894">
        <v>23</v>
      </c>
      <c r="Q894">
        <v>8.17</v>
      </c>
      <c r="R894">
        <v>49.9</v>
      </c>
      <c r="S894">
        <v>117.27</v>
      </c>
      <c r="T894">
        <v>97</v>
      </c>
      <c r="U894">
        <v>1</v>
      </c>
      <c r="V894">
        <v>0</v>
      </c>
      <c r="W894">
        <v>214.27</v>
      </c>
      <c r="X894">
        <v>38.4</v>
      </c>
      <c r="Y894">
        <v>106.29</v>
      </c>
      <c r="Z894">
        <v>22.59</v>
      </c>
      <c r="AA894">
        <v>7.94</v>
      </c>
      <c r="AB894">
        <v>183.74</v>
      </c>
      <c r="AC894">
        <v>220.92985971943889</v>
      </c>
      <c r="AD894">
        <v>22.489596083231337</v>
      </c>
      <c r="AE894">
        <v>69.489999999999995</v>
      </c>
      <c r="AF894">
        <v>14.93</v>
      </c>
      <c r="AG894">
        <v>1</v>
      </c>
      <c r="AH894">
        <v>23.16</v>
      </c>
      <c r="AI894">
        <v>97.16</v>
      </c>
      <c r="AJ894">
        <v>226.52</v>
      </c>
      <c r="AK894">
        <v>70.05</v>
      </c>
      <c r="AL894" t="s">
        <v>14</v>
      </c>
      <c r="AM894" t="s">
        <v>15</v>
      </c>
      <c r="AN894" t="str">
        <f t="shared" si="52"/>
        <v>Night</v>
      </c>
      <c r="AO894" t="str">
        <f t="shared" si="53"/>
        <v>Peak</v>
      </c>
      <c r="AP894" t="str">
        <f t="shared" si="54"/>
        <v>Medium</v>
      </c>
      <c r="AQ894" t="str">
        <f t="shared" si="55"/>
        <v>High</v>
      </c>
    </row>
    <row r="895" spans="1:43" x14ac:dyDescent="0.3">
      <c r="A895">
        <v>894</v>
      </c>
      <c r="B895" t="s">
        <v>23</v>
      </c>
      <c r="C895" t="s">
        <v>17</v>
      </c>
      <c r="D895" s="1">
        <v>46097</v>
      </c>
      <c r="E895" t="s">
        <v>38</v>
      </c>
      <c r="F895">
        <v>0</v>
      </c>
      <c r="G895">
        <v>11</v>
      </c>
      <c r="H895" t="s">
        <v>19</v>
      </c>
      <c r="I895" t="s">
        <v>46</v>
      </c>
      <c r="J895">
        <v>1.1499999999999999</v>
      </c>
      <c r="K895" t="s">
        <v>12</v>
      </c>
      <c r="L895">
        <v>0</v>
      </c>
      <c r="M895">
        <v>1.64</v>
      </c>
      <c r="N895">
        <v>31</v>
      </c>
      <c r="O895" t="s">
        <v>22</v>
      </c>
      <c r="P895">
        <v>6</v>
      </c>
      <c r="Q895">
        <v>4.41</v>
      </c>
      <c r="R895">
        <v>36.700000000000003</v>
      </c>
      <c r="S895">
        <v>98.6</v>
      </c>
      <c r="T895">
        <v>26.15</v>
      </c>
      <c r="U895">
        <v>1.06</v>
      </c>
      <c r="V895">
        <v>5.92</v>
      </c>
      <c r="W895">
        <v>130.66999999999999</v>
      </c>
      <c r="X895">
        <v>46.3</v>
      </c>
      <c r="Y895">
        <v>103.73</v>
      </c>
      <c r="Z895">
        <v>9.8800000000000008</v>
      </c>
      <c r="AA895">
        <v>5.5</v>
      </c>
      <c r="AB895">
        <v>115.29</v>
      </c>
      <c r="AC895">
        <v>188.4850136239782</v>
      </c>
      <c r="AD895">
        <v>26.142857142857142</v>
      </c>
      <c r="AE895">
        <v>84.02</v>
      </c>
      <c r="AF895">
        <v>12.24</v>
      </c>
      <c r="AG895">
        <v>0</v>
      </c>
      <c r="AH895">
        <v>25.34</v>
      </c>
      <c r="AI895">
        <v>56.34</v>
      </c>
      <c r="AJ895">
        <v>182.68</v>
      </c>
      <c r="AK895">
        <v>65.45</v>
      </c>
      <c r="AL895" t="s">
        <v>23</v>
      </c>
      <c r="AM895" t="s">
        <v>24</v>
      </c>
      <c r="AN895" t="str">
        <f t="shared" si="52"/>
        <v>Afternoon</v>
      </c>
      <c r="AO895" t="str">
        <f t="shared" si="53"/>
        <v>Off-Peak</v>
      </c>
      <c r="AP895" t="str">
        <f t="shared" si="54"/>
        <v>Medium</v>
      </c>
      <c r="AQ895" t="str">
        <f t="shared" si="55"/>
        <v>Low</v>
      </c>
    </row>
    <row r="896" spans="1:43" x14ac:dyDescent="0.3">
      <c r="A896">
        <v>895</v>
      </c>
      <c r="B896" t="s">
        <v>16</v>
      </c>
      <c r="C896" t="s">
        <v>17</v>
      </c>
      <c r="D896" s="1">
        <v>46072</v>
      </c>
      <c r="E896" t="s">
        <v>41</v>
      </c>
      <c r="F896">
        <v>0</v>
      </c>
      <c r="G896">
        <v>11</v>
      </c>
      <c r="H896" t="s">
        <v>19</v>
      </c>
      <c r="I896" t="s">
        <v>46</v>
      </c>
      <c r="J896">
        <v>1.1499999999999999</v>
      </c>
      <c r="K896" t="s">
        <v>12</v>
      </c>
      <c r="L896">
        <v>0</v>
      </c>
      <c r="M896">
        <v>4.1399999999999997</v>
      </c>
      <c r="N896">
        <v>36</v>
      </c>
      <c r="O896" t="s">
        <v>35</v>
      </c>
      <c r="P896">
        <v>7</v>
      </c>
      <c r="Q896">
        <v>10.8</v>
      </c>
      <c r="R896">
        <v>73.2</v>
      </c>
      <c r="S896">
        <v>176.1</v>
      </c>
      <c r="T896">
        <v>37.5</v>
      </c>
      <c r="U896">
        <v>1.06</v>
      </c>
      <c r="V896">
        <v>10.57</v>
      </c>
      <c r="W896">
        <v>224.17</v>
      </c>
      <c r="X896">
        <v>36.299999999999997</v>
      </c>
      <c r="Y896">
        <v>102.21</v>
      </c>
      <c r="Z896">
        <v>30.39</v>
      </c>
      <c r="AA896">
        <v>4.4000000000000004</v>
      </c>
      <c r="AB896">
        <v>189.38</v>
      </c>
      <c r="AC896">
        <v>155.2295081967213</v>
      </c>
      <c r="AD896">
        <v>17.535185185185185</v>
      </c>
      <c r="AE896">
        <v>73.22</v>
      </c>
      <c r="AF896">
        <v>18</v>
      </c>
      <c r="AG896">
        <v>0</v>
      </c>
      <c r="AH896">
        <v>13.28</v>
      </c>
      <c r="AI896">
        <v>49.28</v>
      </c>
      <c r="AJ896">
        <v>145.22</v>
      </c>
      <c r="AK896">
        <v>67.95</v>
      </c>
      <c r="AL896" t="s">
        <v>23</v>
      </c>
      <c r="AM896" t="s">
        <v>24</v>
      </c>
      <c r="AN896" t="str">
        <f t="shared" si="52"/>
        <v>Afternoon</v>
      </c>
      <c r="AO896" t="str">
        <f t="shared" si="53"/>
        <v>Off-Peak</v>
      </c>
      <c r="AP896" t="str">
        <f t="shared" si="54"/>
        <v>Medium</v>
      </c>
      <c r="AQ896" t="str">
        <f t="shared" si="55"/>
        <v>Medium</v>
      </c>
    </row>
    <row r="897" spans="1:43" x14ac:dyDescent="0.3">
      <c r="A897">
        <v>896</v>
      </c>
      <c r="B897" t="s">
        <v>25</v>
      </c>
      <c r="C897" t="s">
        <v>17</v>
      </c>
      <c r="D897" s="1">
        <v>46228</v>
      </c>
      <c r="E897" t="s">
        <v>31</v>
      </c>
      <c r="F897">
        <v>1</v>
      </c>
      <c r="G897">
        <v>17</v>
      </c>
      <c r="H897" t="s">
        <v>40</v>
      </c>
      <c r="I897" t="s">
        <v>33</v>
      </c>
      <c r="J897">
        <v>1</v>
      </c>
      <c r="K897" t="s">
        <v>34</v>
      </c>
      <c r="L897">
        <v>1</v>
      </c>
      <c r="M897">
        <v>4.49</v>
      </c>
      <c r="N897">
        <v>97</v>
      </c>
      <c r="O897" t="s">
        <v>13</v>
      </c>
      <c r="P897">
        <v>13</v>
      </c>
      <c r="Q897">
        <v>10.07</v>
      </c>
      <c r="R897">
        <v>75.400000000000006</v>
      </c>
      <c r="S897">
        <v>171.45</v>
      </c>
      <c r="T897">
        <v>100</v>
      </c>
      <c r="U897">
        <v>1.41</v>
      </c>
      <c r="V897">
        <v>70.290000000000006</v>
      </c>
      <c r="W897">
        <v>341.74</v>
      </c>
      <c r="X897">
        <v>44.3</v>
      </c>
      <c r="Y897">
        <v>106.56</v>
      </c>
      <c r="Z897">
        <v>24.2</v>
      </c>
      <c r="AA897">
        <v>11.28</v>
      </c>
      <c r="AB897">
        <v>306.26</v>
      </c>
      <c r="AC897">
        <v>243.70822281167105</v>
      </c>
      <c r="AD897">
        <v>30.413108242303871</v>
      </c>
      <c r="AE897">
        <v>93.16</v>
      </c>
      <c r="AF897">
        <v>13.33</v>
      </c>
      <c r="AG897">
        <v>1</v>
      </c>
      <c r="AH897">
        <v>-28.69</v>
      </c>
      <c r="AI897">
        <v>68.31</v>
      </c>
      <c r="AJ897">
        <v>258.81</v>
      </c>
      <c r="AK897">
        <v>70.989999999999995</v>
      </c>
      <c r="AL897" t="s">
        <v>23</v>
      </c>
      <c r="AM897" t="s">
        <v>24</v>
      </c>
      <c r="AN897" t="str">
        <f t="shared" si="52"/>
        <v>Evening</v>
      </c>
      <c r="AO897" t="str">
        <f t="shared" si="53"/>
        <v>Peak</v>
      </c>
      <c r="AP897" t="str">
        <f t="shared" si="54"/>
        <v>Medium</v>
      </c>
      <c r="AQ897" t="str">
        <f t="shared" si="55"/>
        <v>High</v>
      </c>
    </row>
    <row r="898" spans="1:43" x14ac:dyDescent="0.3">
      <c r="A898">
        <v>897</v>
      </c>
      <c r="B898" t="s">
        <v>29</v>
      </c>
      <c r="C898" t="s">
        <v>30</v>
      </c>
      <c r="D898" s="1">
        <v>46077</v>
      </c>
      <c r="E898" t="s">
        <v>44</v>
      </c>
      <c r="F898">
        <v>0</v>
      </c>
      <c r="G898">
        <v>12</v>
      </c>
      <c r="H898" t="s">
        <v>43</v>
      </c>
      <c r="I898" t="s">
        <v>28</v>
      </c>
      <c r="J898">
        <v>1.03</v>
      </c>
      <c r="K898" t="s">
        <v>21</v>
      </c>
      <c r="L898">
        <v>0</v>
      </c>
      <c r="M898">
        <v>3.6</v>
      </c>
      <c r="N898">
        <v>14</v>
      </c>
      <c r="O898" t="s">
        <v>22</v>
      </c>
      <c r="P898">
        <v>4</v>
      </c>
      <c r="Q898">
        <v>1.5</v>
      </c>
      <c r="R898">
        <v>32.700000000000003</v>
      </c>
      <c r="S898">
        <v>54.16</v>
      </c>
      <c r="T898">
        <v>4.4800000000000004</v>
      </c>
      <c r="U898">
        <v>1</v>
      </c>
      <c r="V898">
        <v>0</v>
      </c>
      <c r="W898">
        <v>58.64</v>
      </c>
      <c r="X898">
        <v>41.4</v>
      </c>
      <c r="Y898">
        <v>103.94</v>
      </c>
      <c r="Z898">
        <v>3.77</v>
      </c>
      <c r="AA898">
        <v>11.28</v>
      </c>
      <c r="AB898">
        <v>43.59</v>
      </c>
      <c r="AC898">
        <v>79.981651376146786</v>
      </c>
      <c r="AD898">
        <v>29.060000000000002</v>
      </c>
      <c r="AE898">
        <v>76.48</v>
      </c>
      <c r="AF898">
        <v>17.91</v>
      </c>
      <c r="AG898">
        <v>0</v>
      </c>
      <c r="AH898">
        <v>-12.59</v>
      </c>
      <c r="AI898">
        <v>5</v>
      </c>
      <c r="AJ898">
        <v>72</v>
      </c>
      <c r="AK898">
        <v>65.540000000000006</v>
      </c>
      <c r="AL898" t="s">
        <v>14</v>
      </c>
      <c r="AM898" t="s">
        <v>15</v>
      </c>
      <c r="AN898" t="str">
        <f t="shared" si="52"/>
        <v>Afternoon</v>
      </c>
      <c r="AO898" t="str">
        <f t="shared" si="53"/>
        <v>Off-Peak</v>
      </c>
      <c r="AP898" t="str">
        <f t="shared" si="54"/>
        <v>Low</v>
      </c>
      <c r="AQ898" t="str">
        <f t="shared" si="55"/>
        <v>Low</v>
      </c>
    </row>
    <row r="899" spans="1:43" x14ac:dyDescent="0.3">
      <c r="A899">
        <v>898</v>
      </c>
      <c r="B899" t="s">
        <v>7</v>
      </c>
      <c r="C899" t="s">
        <v>8</v>
      </c>
      <c r="D899" s="1">
        <v>46257</v>
      </c>
      <c r="E899" t="s">
        <v>26</v>
      </c>
      <c r="F899">
        <v>1</v>
      </c>
      <c r="G899">
        <v>13</v>
      </c>
      <c r="H899" t="s">
        <v>10</v>
      </c>
      <c r="I899" t="s">
        <v>11</v>
      </c>
      <c r="J899">
        <v>1.18</v>
      </c>
      <c r="K899" t="s">
        <v>12</v>
      </c>
      <c r="L899">
        <v>0</v>
      </c>
      <c r="M899">
        <v>3.5</v>
      </c>
      <c r="N899">
        <v>108</v>
      </c>
      <c r="O899" t="s">
        <v>13</v>
      </c>
      <c r="P899">
        <v>59</v>
      </c>
      <c r="Q899">
        <v>3.52</v>
      </c>
      <c r="R899">
        <v>37</v>
      </c>
      <c r="S899">
        <v>72.650000000000006</v>
      </c>
      <c r="T899">
        <v>100</v>
      </c>
      <c r="U899">
        <v>1</v>
      </c>
      <c r="V899">
        <v>0</v>
      </c>
      <c r="W899">
        <v>172.65</v>
      </c>
      <c r="X899">
        <v>36.9</v>
      </c>
      <c r="Y899">
        <v>101.58</v>
      </c>
      <c r="Z899">
        <v>9.69</v>
      </c>
      <c r="AA899">
        <v>6.96</v>
      </c>
      <c r="AB899">
        <v>156</v>
      </c>
      <c r="AC899">
        <v>252.97297297297297</v>
      </c>
      <c r="AD899">
        <v>44.31818181818182</v>
      </c>
      <c r="AE899">
        <v>96.41</v>
      </c>
      <c r="AF899">
        <v>11.59</v>
      </c>
      <c r="AG899">
        <v>1</v>
      </c>
      <c r="AH899">
        <v>7.6</v>
      </c>
      <c r="AI899">
        <v>115.6</v>
      </c>
      <c r="AJ899">
        <v>255.46</v>
      </c>
      <c r="AK899">
        <v>79.569999999999993</v>
      </c>
      <c r="AL899" t="s">
        <v>14</v>
      </c>
      <c r="AM899" t="s">
        <v>15</v>
      </c>
      <c r="AN899" t="str">
        <f t="shared" ref="AN899:AN962" si="56">IF(G899&lt;11,"Morning",IF(G899&lt;15,"Afternoon",IF(G899&lt;18,"Evening","Night")))</f>
        <v>Afternoon</v>
      </c>
      <c r="AO899" t="str">
        <f t="shared" ref="AO899:AO962" si="57">IF(OR(AND(G899&gt;=7,G899&lt;=10),AND(G899&gt;=17,G899&lt;=20)),"Peak","Off-Peak")</f>
        <v>Off-Peak</v>
      </c>
      <c r="AP899" t="str">
        <f t="shared" ref="AP899:AP962" si="58">IF(AC899&lt;150,"Low",IF(AC899&lt;=250,"Medium","High"))</f>
        <v>High</v>
      </c>
      <c r="AQ899" t="str">
        <f t="shared" ref="AQ899:AQ962" si="59">IF(N899&lt;=35,"Low",IF(N899&lt;=70,"Medium","High"))</f>
        <v>High</v>
      </c>
    </row>
    <row r="900" spans="1:43" x14ac:dyDescent="0.3">
      <c r="A900">
        <v>899</v>
      </c>
      <c r="B900" t="s">
        <v>7</v>
      </c>
      <c r="C900" t="s">
        <v>8</v>
      </c>
      <c r="D900" s="1">
        <v>46162</v>
      </c>
      <c r="E900" t="s">
        <v>18</v>
      </c>
      <c r="F900">
        <v>0</v>
      </c>
      <c r="G900">
        <v>10</v>
      </c>
      <c r="H900" t="s">
        <v>49</v>
      </c>
      <c r="I900" t="s">
        <v>33</v>
      </c>
      <c r="J900">
        <v>1</v>
      </c>
      <c r="K900" t="s">
        <v>12</v>
      </c>
      <c r="L900">
        <v>0</v>
      </c>
      <c r="M900">
        <v>2.87</v>
      </c>
      <c r="N900">
        <v>31</v>
      </c>
      <c r="O900" t="s">
        <v>22</v>
      </c>
      <c r="P900">
        <v>15</v>
      </c>
      <c r="Q900">
        <v>1.68</v>
      </c>
      <c r="R900">
        <v>27.9</v>
      </c>
      <c r="S900">
        <v>53.91</v>
      </c>
      <c r="T900">
        <v>46.16</v>
      </c>
      <c r="U900">
        <v>1</v>
      </c>
      <c r="V900">
        <v>0</v>
      </c>
      <c r="W900">
        <v>100.07</v>
      </c>
      <c r="X900">
        <v>44.5</v>
      </c>
      <c r="Y900">
        <v>108.09</v>
      </c>
      <c r="Z900">
        <v>4.09</v>
      </c>
      <c r="AA900">
        <v>11.62</v>
      </c>
      <c r="AB900">
        <v>84.36</v>
      </c>
      <c r="AC900">
        <v>181.41935483870969</v>
      </c>
      <c r="AD900">
        <v>50.214285714285715</v>
      </c>
      <c r="AE900">
        <v>83.88</v>
      </c>
      <c r="AF900">
        <v>15.57</v>
      </c>
      <c r="AG900">
        <v>0</v>
      </c>
      <c r="AH900">
        <v>-7.13</v>
      </c>
      <c r="AI900">
        <v>23.87</v>
      </c>
      <c r="AJ900">
        <v>185.5</v>
      </c>
      <c r="AK900">
        <v>71.819999999999993</v>
      </c>
      <c r="AL900" t="s">
        <v>14</v>
      </c>
      <c r="AM900" t="s">
        <v>15</v>
      </c>
      <c r="AN900" t="str">
        <f t="shared" si="56"/>
        <v>Morning</v>
      </c>
      <c r="AO900" t="str">
        <f t="shared" si="57"/>
        <v>Peak</v>
      </c>
      <c r="AP900" t="str">
        <f t="shared" si="58"/>
        <v>Medium</v>
      </c>
      <c r="AQ900" t="str">
        <f t="shared" si="59"/>
        <v>Low</v>
      </c>
    </row>
    <row r="901" spans="1:43" x14ac:dyDescent="0.3">
      <c r="A901">
        <v>900</v>
      </c>
      <c r="B901" t="s">
        <v>25</v>
      </c>
      <c r="C901" t="s">
        <v>17</v>
      </c>
      <c r="D901" s="1">
        <v>46230</v>
      </c>
      <c r="E901" t="s">
        <v>38</v>
      </c>
      <c r="F901">
        <v>0</v>
      </c>
      <c r="G901">
        <v>12</v>
      </c>
      <c r="H901" t="s">
        <v>19</v>
      </c>
      <c r="I901" t="s">
        <v>42</v>
      </c>
      <c r="J901">
        <v>1.08</v>
      </c>
      <c r="K901" t="s">
        <v>12</v>
      </c>
      <c r="L901">
        <v>0</v>
      </c>
      <c r="M901">
        <v>2.31</v>
      </c>
      <c r="N901">
        <v>19</v>
      </c>
      <c r="O901" t="s">
        <v>22</v>
      </c>
      <c r="P901">
        <v>3</v>
      </c>
      <c r="Q901">
        <v>1.67</v>
      </c>
      <c r="R901">
        <v>21</v>
      </c>
      <c r="S901">
        <v>87.44</v>
      </c>
      <c r="T901">
        <v>30.51</v>
      </c>
      <c r="U901">
        <v>1.07</v>
      </c>
      <c r="V901">
        <v>6.12</v>
      </c>
      <c r="W901">
        <v>124.07</v>
      </c>
      <c r="X901">
        <v>45.1</v>
      </c>
      <c r="Y901">
        <v>104.32</v>
      </c>
      <c r="Z901">
        <v>3.87</v>
      </c>
      <c r="AA901">
        <v>6.16</v>
      </c>
      <c r="AB901">
        <v>114.04</v>
      </c>
      <c r="AC901">
        <v>325.82857142857148</v>
      </c>
      <c r="AD901">
        <v>68.28742514970061</v>
      </c>
      <c r="AE901">
        <v>75.34</v>
      </c>
      <c r="AF901">
        <v>17.47</v>
      </c>
      <c r="AG901">
        <v>0</v>
      </c>
      <c r="AH901">
        <v>-1.73</v>
      </c>
      <c r="AI901">
        <v>17.27</v>
      </c>
      <c r="AJ901">
        <v>315.36</v>
      </c>
      <c r="AK901">
        <v>72.17</v>
      </c>
      <c r="AL901" t="s">
        <v>14</v>
      </c>
      <c r="AM901" t="s">
        <v>15</v>
      </c>
      <c r="AN901" t="str">
        <f t="shared" si="56"/>
        <v>Afternoon</v>
      </c>
      <c r="AO901" t="str">
        <f t="shared" si="57"/>
        <v>Off-Peak</v>
      </c>
      <c r="AP901" t="str">
        <f t="shared" si="58"/>
        <v>High</v>
      </c>
      <c r="AQ901" t="str">
        <f t="shared" si="59"/>
        <v>Low</v>
      </c>
    </row>
    <row r="902" spans="1:43" x14ac:dyDescent="0.3">
      <c r="A902">
        <v>901</v>
      </c>
      <c r="B902" t="s">
        <v>7</v>
      </c>
      <c r="C902" t="s">
        <v>8</v>
      </c>
      <c r="D902" s="1">
        <v>46187</v>
      </c>
      <c r="E902" t="s">
        <v>26</v>
      </c>
      <c r="F902">
        <v>1</v>
      </c>
      <c r="G902">
        <v>18</v>
      </c>
      <c r="H902" t="s">
        <v>51</v>
      </c>
      <c r="I902" t="s">
        <v>28</v>
      </c>
      <c r="J902">
        <v>1.03</v>
      </c>
      <c r="K902" t="s">
        <v>34</v>
      </c>
      <c r="L902">
        <v>1</v>
      </c>
      <c r="M902">
        <v>5</v>
      </c>
      <c r="N902">
        <v>104</v>
      </c>
      <c r="O902" t="s">
        <v>13</v>
      </c>
      <c r="P902">
        <v>45</v>
      </c>
      <c r="Q902">
        <v>2.74</v>
      </c>
      <c r="R902">
        <v>43.4</v>
      </c>
      <c r="S902">
        <v>74.59</v>
      </c>
      <c r="T902">
        <v>100</v>
      </c>
      <c r="U902">
        <v>1</v>
      </c>
      <c r="V902">
        <v>0</v>
      </c>
      <c r="W902">
        <v>174.59</v>
      </c>
      <c r="X902">
        <v>41.6</v>
      </c>
      <c r="Y902">
        <v>109.15</v>
      </c>
      <c r="Z902">
        <v>7.2</v>
      </c>
      <c r="AA902">
        <v>5.87</v>
      </c>
      <c r="AB902">
        <v>161.52000000000001</v>
      </c>
      <c r="AC902">
        <v>223.29953917050693</v>
      </c>
      <c r="AD902">
        <v>58.948905109489047</v>
      </c>
      <c r="AE902">
        <v>74.540000000000006</v>
      </c>
      <c r="AF902">
        <v>16.63</v>
      </c>
      <c r="AG902">
        <v>1</v>
      </c>
      <c r="AH902">
        <v>12.19</v>
      </c>
      <c r="AI902">
        <v>116.19</v>
      </c>
      <c r="AJ902">
        <v>234.6</v>
      </c>
      <c r="AK902">
        <v>82</v>
      </c>
      <c r="AL902" t="s">
        <v>14</v>
      </c>
      <c r="AM902" t="s">
        <v>15</v>
      </c>
      <c r="AN902" t="str">
        <f t="shared" si="56"/>
        <v>Night</v>
      </c>
      <c r="AO902" t="str">
        <f t="shared" si="57"/>
        <v>Peak</v>
      </c>
      <c r="AP902" t="str">
        <f t="shared" si="58"/>
        <v>Medium</v>
      </c>
      <c r="AQ902" t="str">
        <f t="shared" si="59"/>
        <v>High</v>
      </c>
    </row>
    <row r="903" spans="1:43" x14ac:dyDescent="0.3">
      <c r="A903">
        <v>902</v>
      </c>
      <c r="B903" t="s">
        <v>7</v>
      </c>
      <c r="C903" t="s">
        <v>8</v>
      </c>
      <c r="D903" s="1">
        <v>46091</v>
      </c>
      <c r="E903" t="s">
        <v>44</v>
      </c>
      <c r="F903">
        <v>0</v>
      </c>
      <c r="G903">
        <v>15</v>
      </c>
      <c r="H903" t="s">
        <v>32</v>
      </c>
      <c r="I903" t="s">
        <v>37</v>
      </c>
      <c r="J903">
        <v>1.02</v>
      </c>
      <c r="K903" t="s">
        <v>12</v>
      </c>
      <c r="L903">
        <v>0</v>
      </c>
      <c r="M903">
        <v>3.25</v>
      </c>
      <c r="N903">
        <v>21</v>
      </c>
      <c r="O903" t="s">
        <v>22</v>
      </c>
      <c r="P903">
        <v>7</v>
      </c>
      <c r="Q903">
        <v>5.77</v>
      </c>
      <c r="R903">
        <v>37.6</v>
      </c>
      <c r="S903">
        <v>85.12</v>
      </c>
      <c r="T903">
        <v>20.75</v>
      </c>
      <c r="U903">
        <v>1</v>
      </c>
      <c r="V903">
        <v>0</v>
      </c>
      <c r="W903">
        <v>105.87</v>
      </c>
      <c r="X903">
        <v>47</v>
      </c>
      <c r="Y903">
        <v>101.93</v>
      </c>
      <c r="Z903">
        <v>12.53</v>
      </c>
      <c r="AA903">
        <v>11.17</v>
      </c>
      <c r="AB903">
        <v>82.17</v>
      </c>
      <c r="AC903">
        <v>131.12234042553192</v>
      </c>
      <c r="AD903">
        <v>14.240901213171579</v>
      </c>
      <c r="AE903">
        <v>68.069999999999993</v>
      </c>
      <c r="AF903">
        <v>15.42</v>
      </c>
      <c r="AG903">
        <v>0</v>
      </c>
      <c r="AH903">
        <v>0.45</v>
      </c>
      <c r="AI903">
        <v>21.45</v>
      </c>
      <c r="AJ903">
        <v>121.53</v>
      </c>
      <c r="AK903">
        <v>73.53</v>
      </c>
      <c r="AL903" t="s">
        <v>14</v>
      </c>
      <c r="AM903" t="s">
        <v>15</v>
      </c>
      <c r="AN903" t="str">
        <f t="shared" si="56"/>
        <v>Evening</v>
      </c>
      <c r="AO903" t="str">
        <f t="shared" si="57"/>
        <v>Off-Peak</v>
      </c>
      <c r="AP903" t="str">
        <f t="shared" si="58"/>
        <v>Low</v>
      </c>
      <c r="AQ903" t="str">
        <f t="shared" si="59"/>
        <v>Low</v>
      </c>
    </row>
    <row r="904" spans="1:43" x14ac:dyDescent="0.3">
      <c r="A904">
        <v>903</v>
      </c>
      <c r="B904" t="s">
        <v>14</v>
      </c>
      <c r="C904" t="s">
        <v>8</v>
      </c>
      <c r="D904" s="1">
        <v>46178</v>
      </c>
      <c r="E904" t="s">
        <v>9</v>
      </c>
      <c r="F904">
        <v>0</v>
      </c>
      <c r="G904">
        <v>22</v>
      </c>
      <c r="H904" t="s">
        <v>51</v>
      </c>
      <c r="I904" t="s">
        <v>46</v>
      </c>
      <c r="J904">
        <v>1.1499999999999999</v>
      </c>
      <c r="K904" t="s">
        <v>12</v>
      </c>
      <c r="L904">
        <v>0</v>
      </c>
      <c r="M904">
        <v>3.29</v>
      </c>
      <c r="N904">
        <v>26</v>
      </c>
      <c r="O904" t="s">
        <v>22</v>
      </c>
      <c r="P904">
        <v>7</v>
      </c>
      <c r="Q904">
        <v>5.8</v>
      </c>
      <c r="R904">
        <v>51.1</v>
      </c>
      <c r="S904">
        <v>94.28</v>
      </c>
      <c r="T904">
        <v>35.89</v>
      </c>
      <c r="U904">
        <v>1</v>
      </c>
      <c r="V904">
        <v>0</v>
      </c>
      <c r="W904">
        <v>130.16999999999999</v>
      </c>
      <c r="X904">
        <v>42.6</v>
      </c>
      <c r="Y904">
        <v>108.76</v>
      </c>
      <c r="Z904">
        <v>14.78</v>
      </c>
      <c r="AA904">
        <v>8.33</v>
      </c>
      <c r="AB904">
        <v>107.06</v>
      </c>
      <c r="AC904">
        <v>125.706457925636</v>
      </c>
      <c r="AD904">
        <v>18.458620689655174</v>
      </c>
      <c r="AE904">
        <v>78.34</v>
      </c>
      <c r="AF904">
        <v>17.11</v>
      </c>
      <c r="AG904">
        <v>0</v>
      </c>
      <c r="AH904">
        <v>-15.29</v>
      </c>
      <c r="AI904">
        <v>10.71</v>
      </c>
      <c r="AJ904">
        <v>107.54</v>
      </c>
      <c r="AK904">
        <v>73.78</v>
      </c>
      <c r="AL904" t="s">
        <v>14</v>
      </c>
      <c r="AM904" t="s">
        <v>15</v>
      </c>
      <c r="AN904" t="str">
        <f t="shared" si="56"/>
        <v>Night</v>
      </c>
      <c r="AO904" t="str">
        <f t="shared" si="57"/>
        <v>Off-Peak</v>
      </c>
      <c r="AP904" t="str">
        <f t="shared" si="58"/>
        <v>Low</v>
      </c>
      <c r="AQ904" t="str">
        <f t="shared" si="59"/>
        <v>Low</v>
      </c>
    </row>
    <row r="905" spans="1:43" x14ac:dyDescent="0.3">
      <c r="A905">
        <v>904</v>
      </c>
      <c r="B905" t="s">
        <v>23</v>
      </c>
      <c r="C905" t="s">
        <v>17</v>
      </c>
      <c r="D905" s="1">
        <v>46093</v>
      </c>
      <c r="E905" t="s">
        <v>41</v>
      </c>
      <c r="F905">
        <v>0</v>
      </c>
      <c r="G905">
        <v>19</v>
      </c>
      <c r="H905" t="s">
        <v>40</v>
      </c>
      <c r="I905" t="s">
        <v>46</v>
      </c>
      <c r="J905">
        <v>1.1499999999999999</v>
      </c>
      <c r="K905" t="s">
        <v>34</v>
      </c>
      <c r="L905">
        <v>1</v>
      </c>
      <c r="M905">
        <v>5</v>
      </c>
      <c r="N905">
        <v>94</v>
      </c>
      <c r="O905" t="s">
        <v>13</v>
      </c>
      <c r="P905">
        <v>14</v>
      </c>
      <c r="Q905">
        <v>5.32</v>
      </c>
      <c r="R905">
        <v>51.8</v>
      </c>
      <c r="S905">
        <v>129.51</v>
      </c>
      <c r="T905">
        <v>95.89</v>
      </c>
      <c r="U905">
        <v>1.3</v>
      </c>
      <c r="V905">
        <v>38.85</v>
      </c>
      <c r="W905">
        <v>264.25</v>
      </c>
      <c r="X905">
        <v>39.299999999999997</v>
      </c>
      <c r="Y905">
        <v>108.16</v>
      </c>
      <c r="Z905">
        <v>14.64</v>
      </c>
      <c r="AA905">
        <v>9.6300000000000008</v>
      </c>
      <c r="AB905">
        <v>239.98</v>
      </c>
      <c r="AC905">
        <v>277.96911196911196</v>
      </c>
      <c r="AD905">
        <v>45.109022556390975</v>
      </c>
      <c r="AE905">
        <v>80.67</v>
      </c>
      <c r="AF905">
        <v>13.4</v>
      </c>
      <c r="AG905">
        <v>1</v>
      </c>
      <c r="AH905">
        <v>16.28</v>
      </c>
      <c r="AI905">
        <v>110.28</v>
      </c>
      <c r="AJ905">
        <v>302.31</v>
      </c>
      <c r="AK905">
        <v>79.8</v>
      </c>
      <c r="AL905" t="s">
        <v>23</v>
      </c>
      <c r="AM905" t="s">
        <v>24</v>
      </c>
      <c r="AN905" t="str">
        <f t="shared" si="56"/>
        <v>Night</v>
      </c>
      <c r="AO905" t="str">
        <f t="shared" si="57"/>
        <v>Peak</v>
      </c>
      <c r="AP905" t="str">
        <f t="shared" si="58"/>
        <v>High</v>
      </c>
      <c r="AQ905" t="str">
        <f t="shared" si="59"/>
        <v>High</v>
      </c>
    </row>
    <row r="906" spans="1:43" x14ac:dyDescent="0.3">
      <c r="A906">
        <v>905</v>
      </c>
      <c r="B906" t="s">
        <v>29</v>
      </c>
      <c r="C906" t="s">
        <v>30</v>
      </c>
      <c r="D906" s="1">
        <v>46053</v>
      </c>
      <c r="E906" t="s">
        <v>31</v>
      </c>
      <c r="F906">
        <v>1</v>
      </c>
      <c r="G906">
        <v>7</v>
      </c>
      <c r="H906" t="s">
        <v>47</v>
      </c>
      <c r="I906" t="s">
        <v>11</v>
      </c>
      <c r="J906">
        <v>1.18</v>
      </c>
      <c r="K906" t="s">
        <v>21</v>
      </c>
      <c r="L906">
        <v>0</v>
      </c>
      <c r="M906">
        <v>3.93</v>
      </c>
      <c r="N906">
        <v>76</v>
      </c>
      <c r="O906" t="s">
        <v>13</v>
      </c>
      <c r="P906">
        <v>14</v>
      </c>
      <c r="Q906">
        <v>3.26</v>
      </c>
      <c r="R906">
        <v>35.9</v>
      </c>
      <c r="S906">
        <v>71.22</v>
      </c>
      <c r="T906">
        <v>82.2</v>
      </c>
      <c r="U906">
        <v>1</v>
      </c>
      <c r="V906">
        <v>0</v>
      </c>
      <c r="W906">
        <v>153.41999999999999</v>
      </c>
      <c r="X906">
        <v>49.3</v>
      </c>
      <c r="Y906">
        <v>101.04</v>
      </c>
      <c r="Z906">
        <v>6.68</v>
      </c>
      <c r="AA906">
        <v>6.13</v>
      </c>
      <c r="AB906">
        <v>140.61000000000001</v>
      </c>
      <c r="AC906">
        <v>235.00278551532037</v>
      </c>
      <c r="AD906">
        <v>43.131901840490805</v>
      </c>
      <c r="AE906">
        <v>73.37</v>
      </c>
      <c r="AF906">
        <v>13.55</v>
      </c>
      <c r="AG906">
        <v>1</v>
      </c>
      <c r="AH906">
        <v>10.72</v>
      </c>
      <c r="AI906">
        <v>86.72</v>
      </c>
      <c r="AJ906">
        <v>260.38</v>
      </c>
      <c r="AK906">
        <v>74.28</v>
      </c>
      <c r="AL906" t="s">
        <v>23</v>
      </c>
      <c r="AM906" t="s">
        <v>24</v>
      </c>
      <c r="AN906" t="str">
        <f t="shared" si="56"/>
        <v>Morning</v>
      </c>
      <c r="AO906" t="str">
        <f t="shared" si="57"/>
        <v>Peak</v>
      </c>
      <c r="AP906" t="str">
        <f t="shared" si="58"/>
        <v>Medium</v>
      </c>
      <c r="AQ906" t="str">
        <f t="shared" si="59"/>
        <v>High</v>
      </c>
    </row>
    <row r="907" spans="1:43" x14ac:dyDescent="0.3">
      <c r="A907">
        <v>906</v>
      </c>
      <c r="B907" t="s">
        <v>25</v>
      </c>
      <c r="C907" t="s">
        <v>17</v>
      </c>
      <c r="D907" s="1">
        <v>46088</v>
      </c>
      <c r="E907" t="s">
        <v>31</v>
      </c>
      <c r="F907">
        <v>1</v>
      </c>
      <c r="G907">
        <v>13</v>
      </c>
      <c r="H907" t="s">
        <v>19</v>
      </c>
      <c r="I907" t="s">
        <v>42</v>
      </c>
      <c r="J907">
        <v>1.08</v>
      </c>
      <c r="K907" t="s">
        <v>12</v>
      </c>
      <c r="L907">
        <v>0</v>
      </c>
      <c r="M907">
        <v>3.61</v>
      </c>
      <c r="N907">
        <v>46</v>
      </c>
      <c r="O907" t="s">
        <v>35</v>
      </c>
      <c r="P907">
        <v>7</v>
      </c>
      <c r="Q907">
        <v>6.01</v>
      </c>
      <c r="R907">
        <v>48.3</v>
      </c>
      <c r="S907">
        <v>134.04</v>
      </c>
      <c r="T907">
        <v>58.42</v>
      </c>
      <c r="U907">
        <v>1.07</v>
      </c>
      <c r="V907">
        <v>9.3800000000000008</v>
      </c>
      <c r="W907">
        <v>201.84</v>
      </c>
      <c r="X907">
        <v>49.2</v>
      </c>
      <c r="Y907">
        <v>105.32</v>
      </c>
      <c r="Z907">
        <v>12.86</v>
      </c>
      <c r="AA907">
        <v>6.07</v>
      </c>
      <c r="AB907">
        <v>182.91</v>
      </c>
      <c r="AC907">
        <v>227.21739130434784</v>
      </c>
      <c r="AD907">
        <v>30.434276206322796</v>
      </c>
      <c r="AE907">
        <v>82.34</v>
      </c>
      <c r="AF907">
        <v>14.95</v>
      </c>
      <c r="AG907">
        <v>1</v>
      </c>
      <c r="AH907">
        <v>-0.73</v>
      </c>
      <c r="AI907">
        <v>45.27</v>
      </c>
      <c r="AJ907">
        <v>243.14</v>
      </c>
      <c r="AK907">
        <v>76.42</v>
      </c>
      <c r="AL907" t="s">
        <v>14</v>
      </c>
      <c r="AM907" t="s">
        <v>15</v>
      </c>
      <c r="AN907" t="str">
        <f t="shared" si="56"/>
        <v>Afternoon</v>
      </c>
      <c r="AO907" t="str">
        <f t="shared" si="57"/>
        <v>Off-Peak</v>
      </c>
      <c r="AP907" t="str">
        <f t="shared" si="58"/>
        <v>Medium</v>
      </c>
      <c r="AQ907" t="str">
        <f t="shared" si="59"/>
        <v>Medium</v>
      </c>
    </row>
    <row r="908" spans="1:43" x14ac:dyDescent="0.3">
      <c r="A908">
        <v>907</v>
      </c>
      <c r="B908" t="s">
        <v>48</v>
      </c>
      <c r="C908" t="s">
        <v>30</v>
      </c>
      <c r="D908" s="1">
        <v>46094</v>
      </c>
      <c r="E908" t="s">
        <v>9</v>
      </c>
      <c r="F908">
        <v>0</v>
      </c>
      <c r="G908">
        <v>11</v>
      </c>
      <c r="H908" t="s">
        <v>43</v>
      </c>
      <c r="I908" t="s">
        <v>33</v>
      </c>
      <c r="J908">
        <v>1</v>
      </c>
      <c r="K908" t="s">
        <v>12</v>
      </c>
      <c r="L908">
        <v>0</v>
      </c>
      <c r="M908">
        <v>1.86</v>
      </c>
      <c r="N908">
        <v>30</v>
      </c>
      <c r="O908" t="s">
        <v>22</v>
      </c>
      <c r="P908">
        <v>10</v>
      </c>
      <c r="Q908">
        <v>1.37</v>
      </c>
      <c r="R908">
        <v>20.8</v>
      </c>
      <c r="S908">
        <v>66.709999999999994</v>
      </c>
      <c r="T908">
        <v>35.909999999999997</v>
      </c>
      <c r="U908">
        <v>1</v>
      </c>
      <c r="V908">
        <v>0</v>
      </c>
      <c r="W908">
        <v>102.62</v>
      </c>
      <c r="X908">
        <v>36.4</v>
      </c>
      <c r="Y908">
        <v>106.54</v>
      </c>
      <c r="Z908">
        <v>4.01</v>
      </c>
      <c r="AA908">
        <v>2.83</v>
      </c>
      <c r="AB908">
        <v>95.78</v>
      </c>
      <c r="AC908">
        <v>276.28846153846155</v>
      </c>
      <c r="AD908">
        <v>69.912408759124077</v>
      </c>
      <c r="AE908">
        <v>74.709999999999994</v>
      </c>
      <c r="AF908">
        <v>15.32</v>
      </c>
      <c r="AG908">
        <v>0</v>
      </c>
      <c r="AH908">
        <v>13.67</v>
      </c>
      <c r="AI908">
        <v>43.67</v>
      </c>
      <c r="AJ908">
        <v>280.92</v>
      </c>
      <c r="AK908">
        <v>72.680000000000007</v>
      </c>
      <c r="AL908" t="s">
        <v>14</v>
      </c>
      <c r="AM908" t="s">
        <v>15</v>
      </c>
      <c r="AN908" t="str">
        <f t="shared" si="56"/>
        <v>Afternoon</v>
      </c>
      <c r="AO908" t="str">
        <f t="shared" si="57"/>
        <v>Off-Peak</v>
      </c>
      <c r="AP908" t="str">
        <f t="shared" si="58"/>
        <v>High</v>
      </c>
      <c r="AQ908" t="str">
        <f t="shared" si="59"/>
        <v>Low</v>
      </c>
    </row>
    <row r="909" spans="1:43" x14ac:dyDescent="0.3">
      <c r="A909">
        <v>908</v>
      </c>
      <c r="B909" t="s">
        <v>14</v>
      </c>
      <c r="C909" t="s">
        <v>8</v>
      </c>
      <c r="D909" s="1">
        <v>46057</v>
      </c>
      <c r="E909" t="s">
        <v>18</v>
      </c>
      <c r="F909">
        <v>0</v>
      </c>
      <c r="G909">
        <v>16</v>
      </c>
      <c r="H909" t="s">
        <v>32</v>
      </c>
      <c r="I909" t="s">
        <v>46</v>
      </c>
      <c r="J909">
        <v>1.1499999999999999</v>
      </c>
      <c r="K909" t="s">
        <v>12</v>
      </c>
      <c r="L909">
        <v>0</v>
      </c>
      <c r="M909">
        <v>2.44</v>
      </c>
      <c r="N909">
        <v>5</v>
      </c>
      <c r="O909" t="s">
        <v>22</v>
      </c>
      <c r="P909">
        <v>2</v>
      </c>
      <c r="Q909">
        <v>4.46</v>
      </c>
      <c r="R909">
        <v>44.3</v>
      </c>
      <c r="S909">
        <v>93.31</v>
      </c>
      <c r="T909">
        <v>12.04</v>
      </c>
      <c r="U909">
        <v>1</v>
      </c>
      <c r="V909">
        <v>0</v>
      </c>
      <c r="W909">
        <v>105.35</v>
      </c>
      <c r="X909">
        <v>49.2</v>
      </c>
      <c r="Y909">
        <v>104.95</v>
      </c>
      <c r="Z909">
        <v>9.51</v>
      </c>
      <c r="AA909">
        <v>11.67</v>
      </c>
      <c r="AB909">
        <v>84.17</v>
      </c>
      <c r="AC909">
        <v>114.00000000000001</v>
      </c>
      <c r="AD909">
        <v>18.872197309417039</v>
      </c>
      <c r="AE909">
        <v>79.11</v>
      </c>
      <c r="AF909">
        <v>16.3</v>
      </c>
      <c r="AG909">
        <v>0</v>
      </c>
      <c r="AH909">
        <v>4.43</v>
      </c>
      <c r="AI909">
        <v>9.43</v>
      </c>
      <c r="AJ909">
        <v>104.34</v>
      </c>
      <c r="AK909">
        <v>63.18</v>
      </c>
      <c r="AL909" t="s">
        <v>14</v>
      </c>
      <c r="AM909" t="s">
        <v>15</v>
      </c>
      <c r="AN909" t="str">
        <f t="shared" si="56"/>
        <v>Evening</v>
      </c>
      <c r="AO909" t="str">
        <f t="shared" si="57"/>
        <v>Off-Peak</v>
      </c>
      <c r="AP909" t="str">
        <f t="shared" si="58"/>
        <v>Low</v>
      </c>
      <c r="AQ909" t="str">
        <f t="shared" si="59"/>
        <v>Low</v>
      </c>
    </row>
    <row r="910" spans="1:43" x14ac:dyDescent="0.3">
      <c r="A910">
        <v>909</v>
      </c>
      <c r="B910" t="s">
        <v>48</v>
      </c>
      <c r="C910" t="s">
        <v>30</v>
      </c>
      <c r="D910" s="1">
        <v>46029</v>
      </c>
      <c r="E910" t="s">
        <v>18</v>
      </c>
      <c r="F910">
        <v>0</v>
      </c>
      <c r="G910">
        <v>11</v>
      </c>
      <c r="H910" t="s">
        <v>43</v>
      </c>
      <c r="I910" t="s">
        <v>42</v>
      </c>
      <c r="J910">
        <v>1.08</v>
      </c>
      <c r="K910" t="s">
        <v>12</v>
      </c>
      <c r="L910">
        <v>0</v>
      </c>
      <c r="M910">
        <v>2.2000000000000002</v>
      </c>
      <c r="N910">
        <v>18</v>
      </c>
      <c r="O910" t="s">
        <v>22</v>
      </c>
      <c r="P910">
        <v>6</v>
      </c>
      <c r="Q910">
        <v>3.85</v>
      </c>
      <c r="R910">
        <v>50.3</v>
      </c>
      <c r="S910">
        <v>87.85</v>
      </c>
      <c r="T910">
        <v>14.66</v>
      </c>
      <c r="U910">
        <v>1</v>
      </c>
      <c r="V910">
        <v>0</v>
      </c>
      <c r="W910">
        <v>102.51</v>
      </c>
      <c r="X910">
        <v>46.6</v>
      </c>
      <c r="Y910">
        <v>103.9</v>
      </c>
      <c r="Z910">
        <v>8.57</v>
      </c>
      <c r="AA910">
        <v>4.28</v>
      </c>
      <c r="AB910">
        <v>89.66</v>
      </c>
      <c r="AC910">
        <v>106.9502982107356</v>
      </c>
      <c r="AD910">
        <v>23.288311688311687</v>
      </c>
      <c r="AE910">
        <v>65.64</v>
      </c>
      <c r="AF910">
        <v>15.74</v>
      </c>
      <c r="AG910">
        <v>0</v>
      </c>
      <c r="AH910">
        <v>22.97</v>
      </c>
      <c r="AI910">
        <v>40.97</v>
      </c>
      <c r="AJ910">
        <v>102.71</v>
      </c>
      <c r="AK910">
        <v>69.569999999999993</v>
      </c>
      <c r="AL910" t="s">
        <v>14</v>
      </c>
      <c r="AM910" t="s">
        <v>15</v>
      </c>
      <c r="AN910" t="str">
        <f t="shared" si="56"/>
        <v>Afternoon</v>
      </c>
      <c r="AO910" t="str">
        <f t="shared" si="57"/>
        <v>Off-Peak</v>
      </c>
      <c r="AP910" t="str">
        <f t="shared" si="58"/>
        <v>Low</v>
      </c>
      <c r="AQ910" t="str">
        <f t="shared" si="59"/>
        <v>Low</v>
      </c>
    </row>
    <row r="911" spans="1:43" x14ac:dyDescent="0.3">
      <c r="A911">
        <v>910</v>
      </c>
      <c r="B911" t="s">
        <v>7</v>
      </c>
      <c r="C911" t="s">
        <v>8</v>
      </c>
      <c r="D911" s="1">
        <v>46266</v>
      </c>
      <c r="E911" t="s">
        <v>44</v>
      </c>
      <c r="F911">
        <v>0</v>
      </c>
      <c r="G911">
        <v>22</v>
      </c>
      <c r="H911" t="s">
        <v>51</v>
      </c>
      <c r="I911" t="s">
        <v>42</v>
      </c>
      <c r="J911">
        <v>1.08</v>
      </c>
      <c r="K911" t="s">
        <v>12</v>
      </c>
      <c r="L911">
        <v>0</v>
      </c>
      <c r="M911">
        <v>3.58</v>
      </c>
      <c r="N911">
        <v>39</v>
      </c>
      <c r="O911" t="s">
        <v>35</v>
      </c>
      <c r="P911">
        <v>21</v>
      </c>
      <c r="Q911">
        <v>3.12</v>
      </c>
      <c r="R911">
        <v>42.5</v>
      </c>
      <c r="S911">
        <v>69.91</v>
      </c>
      <c r="T911">
        <v>34.590000000000003</v>
      </c>
      <c r="U911">
        <v>1</v>
      </c>
      <c r="V911">
        <v>0</v>
      </c>
      <c r="W911">
        <v>104.5</v>
      </c>
      <c r="X911">
        <v>36.6</v>
      </c>
      <c r="Y911">
        <v>109.44</v>
      </c>
      <c r="Z911">
        <v>9.32</v>
      </c>
      <c r="AA911">
        <v>6.94</v>
      </c>
      <c r="AB911">
        <v>88.24</v>
      </c>
      <c r="AC911">
        <v>124.57411764705881</v>
      </c>
      <c r="AD911">
        <v>28.282051282051281</v>
      </c>
      <c r="AE911">
        <v>83.12</v>
      </c>
      <c r="AF911">
        <v>15.95</v>
      </c>
      <c r="AG911">
        <v>0</v>
      </c>
      <c r="AH911">
        <v>5.27</v>
      </c>
      <c r="AI911">
        <v>44.27</v>
      </c>
      <c r="AJ911">
        <v>140.58000000000001</v>
      </c>
      <c r="AK911">
        <v>68.64</v>
      </c>
      <c r="AL911" t="s">
        <v>14</v>
      </c>
      <c r="AM911" t="s">
        <v>15</v>
      </c>
      <c r="AN911" t="str">
        <f t="shared" si="56"/>
        <v>Night</v>
      </c>
      <c r="AO911" t="str">
        <f t="shared" si="57"/>
        <v>Off-Peak</v>
      </c>
      <c r="AP911" t="str">
        <f t="shared" si="58"/>
        <v>Low</v>
      </c>
      <c r="AQ911" t="str">
        <f t="shared" si="59"/>
        <v>Medium</v>
      </c>
    </row>
    <row r="912" spans="1:43" x14ac:dyDescent="0.3">
      <c r="A912">
        <v>911</v>
      </c>
      <c r="B912" t="s">
        <v>16</v>
      </c>
      <c r="C912" t="s">
        <v>17</v>
      </c>
      <c r="D912" s="1">
        <v>46155</v>
      </c>
      <c r="E912" t="s">
        <v>18</v>
      </c>
      <c r="F912">
        <v>0</v>
      </c>
      <c r="G912">
        <v>11</v>
      </c>
      <c r="H912" t="s">
        <v>19</v>
      </c>
      <c r="I912" t="s">
        <v>42</v>
      </c>
      <c r="J912">
        <v>1.08</v>
      </c>
      <c r="K912" t="s">
        <v>34</v>
      </c>
      <c r="L912">
        <v>1</v>
      </c>
      <c r="M912">
        <v>3.64</v>
      </c>
      <c r="N912">
        <v>47</v>
      </c>
      <c r="O912" t="s">
        <v>35</v>
      </c>
      <c r="P912">
        <v>9</v>
      </c>
      <c r="Q912">
        <v>4.58</v>
      </c>
      <c r="R912">
        <v>40.299999999999997</v>
      </c>
      <c r="S912">
        <v>112.83</v>
      </c>
      <c r="T912">
        <v>35.96</v>
      </c>
      <c r="U912">
        <v>1.1399999999999999</v>
      </c>
      <c r="V912">
        <v>15.8</v>
      </c>
      <c r="W912">
        <v>164.59</v>
      </c>
      <c r="X912">
        <v>42.8</v>
      </c>
      <c r="Y912">
        <v>107.01</v>
      </c>
      <c r="Z912">
        <v>11.45</v>
      </c>
      <c r="AA912">
        <v>3.15</v>
      </c>
      <c r="AB912">
        <v>149.99</v>
      </c>
      <c r="AC912">
        <v>223.3101736972705</v>
      </c>
      <c r="AD912">
        <v>32.748908296943235</v>
      </c>
      <c r="AE912">
        <v>79.77</v>
      </c>
      <c r="AF912">
        <v>14.23</v>
      </c>
      <c r="AG912">
        <v>0</v>
      </c>
      <c r="AH912">
        <v>22.86</v>
      </c>
      <c r="AI912">
        <v>69.86</v>
      </c>
      <c r="AJ912">
        <v>193.97</v>
      </c>
      <c r="AK912">
        <v>69.510000000000005</v>
      </c>
      <c r="AL912" t="s">
        <v>23</v>
      </c>
      <c r="AM912" t="s">
        <v>24</v>
      </c>
      <c r="AN912" t="str">
        <f t="shared" si="56"/>
        <v>Afternoon</v>
      </c>
      <c r="AO912" t="str">
        <f t="shared" si="57"/>
        <v>Off-Peak</v>
      </c>
      <c r="AP912" t="str">
        <f t="shared" si="58"/>
        <v>Medium</v>
      </c>
      <c r="AQ912" t="str">
        <f t="shared" si="59"/>
        <v>Medium</v>
      </c>
    </row>
    <row r="913" spans="1:43" x14ac:dyDescent="0.3">
      <c r="A913">
        <v>912</v>
      </c>
      <c r="B913" t="s">
        <v>14</v>
      </c>
      <c r="C913" t="s">
        <v>8</v>
      </c>
      <c r="D913" s="1">
        <v>46126</v>
      </c>
      <c r="E913" t="s">
        <v>44</v>
      </c>
      <c r="F913">
        <v>0</v>
      </c>
      <c r="G913">
        <v>15</v>
      </c>
      <c r="H913" t="s">
        <v>32</v>
      </c>
      <c r="I913" t="s">
        <v>37</v>
      </c>
      <c r="J913">
        <v>1.02</v>
      </c>
      <c r="K913" t="s">
        <v>34</v>
      </c>
      <c r="L913">
        <v>1</v>
      </c>
      <c r="M913">
        <v>2.39</v>
      </c>
      <c r="N913">
        <v>5</v>
      </c>
      <c r="O913" t="s">
        <v>22</v>
      </c>
      <c r="P913">
        <v>2</v>
      </c>
      <c r="Q913">
        <v>1.71</v>
      </c>
      <c r="R913">
        <v>28.4</v>
      </c>
      <c r="S913">
        <v>64.27</v>
      </c>
      <c r="T913">
        <v>0</v>
      </c>
      <c r="U913">
        <v>1</v>
      </c>
      <c r="V913">
        <v>0</v>
      </c>
      <c r="W913">
        <v>64.27</v>
      </c>
      <c r="X913">
        <v>35.5</v>
      </c>
      <c r="Y913">
        <v>109.66</v>
      </c>
      <c r="Z913">
        <v>5.29</v>
      </c>
      <c r="AA913">
        <v>8.4700000000000006</v>
      </c>
      <c r="AB913">
        <v>50.51</v>
      </c>
      <c r="AC913">
        <v>106.71126760563379</v>
      </c>
      <c r="AD913">
        <v>29.538011695906434</v>
      </c>
      <c r="AE913">
        <v>81.98</v>
      </c>
      <c r="AF913">
        <v>18.38</v>
      </c>
      <c r="AG913">
        <v>0</v>
      </c>
      <c r="AH913">
        <v>-25.1</v>
      </c>
      <c r="AI913">
        <v>5</v>
      </c>
      <c r="AJ913">
        <v>106.24</v>
      </c>
      <c r="AK913">
        <v>60</v>
      </c>
      <c r="AL913" t="s">
        <v>14</v>
      </c>
      <c r="AM913" t="s">
        <v>15</v>
      </c>
      <c r="AN913" t="str">
        <f t="shared" si="56"/>
        <v>Evening</v>
      </c>
      <c r="AO913" t="str">
        <f t="shared" si="57"/>
        <v>Off-Peak</v>
      </c>
      <c r="AP913" t="str">
        <f t="shared" si="58"/>
        <v>Low</v>
      </c>
      <c r="AQ913" t="str">
        <f t="shared" si="59"/>
        <v>Low</v>
      </c>
    </row>
    <row r="914" spans="1:43" x14ac:dyDescent="0.3">
      <c r="A914">
        <v>913</v>
      </c>
      <c r="B914" t="s">
        <v>48</v>
      </c>
      <c r="C914" t="s">
        <v>30</v>
      </c>
      <c r="D914" s="1">
        <v>46262</v>
      </c>
      <c r="E914" t="s">
        <v>9</v>
      </c>
      <c r="F914">
        <v>0</v>
      </c>
      <c r="G914">
        <v>8</v>
      </c>
      <c r="H914" t="s">
        <v>47</v>
      </c>
      <c r="I914" t="s">
        <v>28</v>
      </c>
      <c r="J914">
        <v>1.03</v>
      </c>
      <c r="K914" t="s">
        <v>12</v>
      </c>
      <c r="L914">
        <v>0</v>
      </c>
      <c r="M914">
        <v>2.85</v>
      </c>
      <c r="N914">
        <v>31</v>
      </c>
      <c r="O914" t="s">
        <v>22</v>
      </c>
      <c r="P914">
        <v>10</v>
      </c>
      <c r="Q914">
        <v>5.46</v>
      </c>
      <c r="R914">
        <v>47.3</v>
      </c>
      <c r="S914">
        <v>98.06</v>
      </c>
      <c r="T914">
        <v>31.75</v>
      </c>
      <c r="U914">
        <v>1</v>
      </c>
      <c r="V914">
        <v>0</v>
      </c>
      <c r="W914">
        <v>129.81</v>
      </c>
      <c r="X914">
        <v>43.8</v>
      </c>
      <c r="Y914">
        <v>108.46</v>
      </c>
      <c r="Z914">
        <v>13.52</v>
      </c>
      <c r="AA914">
        <v>5.91</v>
      </c>
      <c r="AB914">
        <v>110.38</v>
      </c>
      <c r="AC914">
        <v>140.01691331923888</v>
      </c>
      <c r="AD914">
        <v>20.216117216117215</v>
      </c>
      <c r="AE914">
        <v>82.3</v>
      </c>
      <c r="AF914">
        <v>13.79</v>
      </c>
      <c r="AG914">
        <v>0</v>
      </c>
      <c r="AH914">
        <v>9.89</v>
      </c>
      <c r="AI914">
        <v>40.89</v>
      </c>
      <c r="AJ914">
        <v>150.88999999999999</v>
      </c>
      <c r="AK914">
        <v>68.489999999999995</v>
      </c>
      <c r="AL914" t="s">
        <v>23</v>
      </c>
      <c r="AM914" t="s">
        <v>24</v>
      </c>
      <c r="AN914" t="str">
        <f t="shared" si="56"/>
        <v>Morning</v>
      </c>
      <c r="AO914" t="str">
        <f t="shared" si="57"/>
        <v>Peak</v>
      </c>
      <c r="AP914" t="str">
        <f t="shared" si="58"/>
        <v>Low</v>
      </c>
      <c r="AQ914" t="str">
        <f t="shared" si="59"/>
        <v>Low</v>
      </c>
    </row>
    <row r="915" spans="1:43" x14ac:dyDescent="0.3">
      <c r="A915">
        <v>914</v>
      </c>
      <c r="B915" t="s">
        <v>23</v>
      </c>
      <c r="C915" t="s">
        <v>17</v>
      </c>
      <c r="D915" s="1">
        <v>46080</v>
      </c>
      <c r="E915" t="s">
        <v>9</v>
      </c>
      <c r="F915">
        <v>0</v>
      </c>
      <c r="G915">
        <v>21</v>
      </c>
      <c r="H915" t="s">
        <v>19</v>
      </c>
      <c r="I915" t="s">
        <v>28</v>
      </c>
      <c r="J915">
        <v>1.03</v>
      </c>
      <c r="K915" t="s">
        <v>12</v>
      </c>
      <c r="L915">
        <v>0</v>
      </c>
      <c r="M915">
        <v>2.9</v>
      </c>
      <c r="N915">
        <v>91</v>
      </c>
      <c r="O915" t="s">
        <v>13</v>
      </c>
      <c r="P915">
        <v>12</v>
      </c>
      <c r="Q915">
        <v>3.78</v>
      </c>
      <c r="R915">
        <v>32</v>
      </c>
      <c r="S915">
        <v>90.31</v>
      </c>
      <c r="T915">
        <v>100</v>
      </c>
      <c r="U915">
        <v>1.26</v>
      </c>
      <c r="V915">
        <v>23.48</v>
      </c>
      <c r="W915">
        <v>213.79</v>
      </c>
      <c r="X915">
        <v>49</v>
      </c>
      <c r="Y915">
        <v>108.17</v>
      </c>
      <c r="Z915">
        <v>8.34</v>
      </c>
      <c r="AA915">
        <v>9.68</v>
      </c>
      <c r="AB915">
        <v>195.77</v>
      </c>
      <c r="AC915">
        <v>367.06875000000002</v>
      </c>
      <c r="AD915">
        <v>51.791005291005298</v>
      </c>
      <c r="AE915">
        <v>78.599999999999994</v>
      </c>
      <c r="AF915">
        <v>14.01</v>
      </c>
      <c r="AG915">
        <v>1</v>
      </c>
      <c r="AH915">
        <v>-2.97</v>
      </c>
      <c r="AI915">
        <v>88.03</v>
      </c>
      <c r="AJ915">
        <v>358.15</v>
      </c>
      <c r="AK915">
        <v>75.25</v>
      </c>
      <c r="AL915" t="s">
        <v>14</v>
      </c>
      <c r="AM915" t="s">
        <v>15</v>
      </c>
      <c r="AN915" t="str">
        <f t="shared" si="56"/>
        <v>Night</v>
      </c>
      <c r="AO915" t="str">
        <f t="shared" si="57"/>
        <v>Off-Peak</v>
      </c>
      <c r="AP915" t="str">
        <f t="shared" si="58"/>
        <v>High</v>
      </c>
      <c r="AQ915" t="str">
        <f t="shared" si="59"/>
        <v>High</v>
      </c>
    </row>
    <row r="916" spans="1:43" x14ac:dyDescent="0.3">
      <c r="A916">
        <v>915</v>
      </c>
      <c r="B916" t="s">
        <v>25</v>
      </c>
      <c r="C916" t="s">
        <v>17</v>
      </c>
      <c r="D916" s="1">
        <v>46126</v>
      </c>
      <c r="E916" t="s">
        <v>44</v>
      </c>
      <c r="F916">
        <v>0</v>
      </c>
      <c r="G916">
        <v>21</v>
      </c>
      <c r="H916" t="s">
        <v>19</v>
      </c>
      <c r="I916" t="s">
        <v>33</v>
      </c>
      <c r="J916">
        <v>1</v>
      </c>
      <c r="K916" t="s">
        <v>12</v>
      </c>
      <c r="L916">
        <v>0</v>
      </c>
      <c r="M916">
        <v>4.0599999999999996</v>
      </c>
      <c r="N916">
        <v>43</v>
      </c>
      <c r="O916" t="s">
        <v>35</v>
      </c>
      <c r="P916">
        <v>8</v>
      </c>
      <c r="Q916">
        <v>1.01</v>
      </c>
      <c r="R916">
        <v>22.5</v>
      </c>
      <c r="S916">
        <v>84.79</v>
      </c>
      <c r="T916">
        <v>41.9</v>
      </c>
      <c r="U916">
        <v>1.29</v>
      </c>
      <c r="V916">
        <v>24.59</v>
      </c>
      <c r="W916">
        <v>151.28</v>
      </c>
      <c r="X916">
        <v>40.5</v>
      </c>
      <c r="Y916">
        <v>107.26</v>
      </c>
      <c r="Z916">
        <v>2.67</v>
      </c>
      <c r="AA916">
        <v>7.28</v>
      </c>
      <c r="AB916">
        <v>141.33000000000001</v>
      </c>
      <c r="AC916">
        <v>376.88000000000005</v>
      </c>
      <c r="AD916">
        <v>139.93069306930695</v>
      </c>
      <c r="AE916">
        <v>74.12</v>
      </c>
      <c r="AF916">
        <v>16.36</v>
      </c>
      <c r="AG916">
        <v>1</v>
      </c>
      <c r="AH916">
        <v>-9.89</v>
      </c>
      <c r="AI916">
        <v>33.11</v>
      </c>
      <c r="AJ916">
        <v>391.86</v>
      </c>
      <c r="AK916">
        <v>74.12</v>
      </c>
      <c r="AL916" t="s">
        <v>14</v>
      </c>
      <c r="AM916" t="s">
        <v>15</v>
      </c>
      <c r="AN916" t="str">
        <f t="shared" si="56"/>
        <v>Night</v>
      </c>
      <c r="AO916" t="str">
        <f t="shared" si="57"/>
        <v>Off-Peak</v>
      </c>
      <c r="AP916" t="str">
        <f t="shared" si="58"/>
        <v>High</v>
      </c>
      <c r="AQ916" t="str">
        <f t="shared" si="59"/>
        <v>Medium</v>
      </c>
    </row>
    <row r="917" spans="1:43" x14ac:dyDescent="0.3">
      <c r="A917">
        <v>916</v>
      </c>
      <c r="B917" t="s">
        <v>29</v>
      </c>
      <c r="C917" t="s">
        <v>30</v>
      </c>
      <c r="D917" s="1">
        <v>46241</v>
      </c>
      <c r="E917" t="s">
        <v>9</v>
      </c>
      <c r="F917">
        <v>0</v>
      </c>
      <c r="G917">
        <v>19</v>
      </c>
      <c r="H917" t="s">
        <v>32</v>
      </c>
      <c r="I917" t="s">
        <v>42</v>
      </c>
      <c r="J917">
        <v>1.08</v>
      </c>
      <c r="K917" t="s">
        <v>12</v>
      </c>
      <c r="L917">
        <v>0</v>
      </c>
      <c r="M917">
        <v>2.78</v>
      </c>
      <c r="N917">
        <v>87</v>
      </c>
      <c r="O917" t="s">
        <v>13</v>
      </c>
      <c r="P917">
        <v>23</v>
      </c>
      <c r="Q917">
        <v>3.71</v>
      </c>
      <c r="R917">
        <v>35.5</v>
      </c>
      <c r="S917">
        <v>89.18</v>
      </c>
      <c r="T917">
        <v>98.03</v>
      </c>
      <c r="U917">
        <v>1</v>
      </c>
      <c r="V917">
        <v>0</v>
      </c>
      <c r="W917">
        <v>187.21</v>
      </c>
      <c r="X917">
        <v>42.6</v>
      </c>
      <c r="Y917">
        <v>106.46</v>
      </c>
      <c r="Z917">
        <v>9.2799999999999994</v>
      </c>
      <c r="AA917">
        <v>3.29</v>
      </c>
      <c r="AB917">
        <v>174.64</v>
      </c>
      <c r="AC917">
        <v>295.16619718309857</v>
      </c>
      <c r="AD917">
        <v>47.072776280323446</v>
      </c>
      <c r="AE917">
        <v>93.22</v>
      </c>
      <c r="AF917">
        <v>14.24</v>
      </c>
      <c r="AG917">
        <v>1</v>
      </c>
      <c r="AH917">
        <v>20.38</v>
      </c>
      <c r="AI917">
        <v>107.38</v>
      </c>
      <c r="AJ917">
        <v>308.82</v>
      </c>
      <c r="AK917">
        <v>67.739999999999995</v>
      </c>
      <c r="AL917" t="s">
        <v>14</v>
      </c>
      <c r="AM917" t="s">
        <v>15</v>
      </c>
      <c r="AN917" t="str">
        <f t="shared" si="56"/>
        <v>Night</v>
      </c>
      <c r="AO917" t="str">
        <f t="shared" si="57"/>
        <v>Peak</v>
      </c>
      <c r="AP917" t="str">
        <f t="shared" si="58"/>
        <v>High</v>
      </c>
      <c r="AQ917" t="str">
        <f t="shared" si="59"/>
        <v>High</v>
      </c>
    </row>
    <row r="918" spans="1:43" x14ac:dyDescent="0.3">
      <c r="A918">
        <v>917</v>
      </c>
      <c r="B918" t="s">
        <v>29</v>
      </c>
      <c r="C918" t="s">
        <v>30</v>
      </c>
      <c r="D918" s="1">
        <v>46186</v>
      </c>
      <c r="E918" t="s">
        <v>31</v>
      </c>
      <c r="F918">
        <v>1</v>
      </c>
      <c r="G918">
        <v>12</v>
      </c>
      <c r="H918" t="s">
        <v>43</v>
      </c>
      <c r="I918" t="s">
        <v>28</v>
      </c>
      <c r="J918">
        <v>1.03</v>
      </c>
      <c r="K918" t="s">
        <v>21</v>
      </c>
      <c r="L918">
        <v>0</v>
      </c>
      <c r="M918">
        <v>3.42</v>
      </c>
      <c r="N918">
        <v>9</v>
      </c>
      <c r="O918" t="s">
        <v>22</v>
      </c>
      <c r="P918">
        <v>3</v>
      </c>
      <c r="Q918">
        <v>2.5099999999999998</v>
      </c>
      <c r="R918">
        <v>37</v>
      </c>
      <c r="S918">
        <v>64.78</v>
      </c>
      <c r="T918">
        <v>28.95</v>
      </c>
      <c r="U918">
        <v>1</v>
      </c>
      <c r="V918">
        <v>0</v>
      </c>
      <c r="W918">
        <v>93.73</v>
      </c>
      <c r="X918">
        <v>38.4</v>
      </c>
      <c r="Y918">
        <v>108.87</v>
      </c>
      <c r="Z918">
        <v>7.12</v>
      </c>
      <c r="AA918">
        <v>2.11</v>
      </c>
      <c r="AB918">
        <v>84.5</v>
      </c>
      <c r="AC918">
        <v>137.02702702702703</v>
      </c>
      <c r="AD918">
        <v>33.665338645418331</v>
      </c>
      <c r="AE918">
        <v>70.400000000000006</v>
      </c>
      <c r="AF918">
        <v>15.61</v>
      </c>
      <c r="AG918">
        <v>1</v>
      </c>
      <c r="AH918">
        <v>16.34</v>
      </c>
      <c r="AI918">
        <v>25.34</v>
      </c>
      <c r="AJ918">
        <v>115.11</v>
      </c>
      <c r="AK918">
        <v>60</v>
      </c>
      <c r="AL918" t="s">
        <v>14</v>
      </c>
      <c r="AM918" t="s">
        <v>15</v>
      </c>
      <c r="AN918" t="str">
        <f t="shared" si="56"/>
        <v>Afternoon</v>
      </c>
      <c r="AO918" t="str">
        <f t="shared" si="57"/>
        <v>Off-Peak</v>
      </c>
      <c r="AP918" t="str">
        <f t="shared" si="58"/>
        <v>Low</v>
      </c>
      <c r="AQ918" t="str">
        <f t="shared" si="59"/>
        <v>Low</v>
      </c>
    </row>
    <row r="919" spans="1:43" x14ac:dyDescent="0.3">
      <c r="A919">
        <v>918</v>
      </c>
      <c r="B919" t="s">
        <v>16</v>
      </c>
      <c r="C919" t="s">
        <v>17</v>
      </c>
      <c r="D919" s="1">
        <v>46125</v>
      </c>
      <c r="E919" t="s">
        <v>38</v>
      </c>
      <c r="F919">
        <v>0</v>
      </c>
      <c r="G919">
        <v>7</v>
      </c>
      <c r="H919" t="s">
        <v>27</v>
      </c>
      <c r="I919" t="s">
        <v>39</v>
      </c>
      <c r="J919">
        <v>1.05</v>
      </c>
      <c r="K919" t="s">
        <v>12</v>
      </c>
      <c r="L919">
        <v>0</v>
      </c>
      <c r="M919">
        <v>4.4000000000000004</v>
      </c>
      <c r="N919">
        <v>79</v>
      </c>
      <c r="O919" t="s">
        <v>13</v>
      </c>
      <c r="P919">
        <v>18</v>
      </c>
      <c r="Q919">
        <v>7.88</v>
      </c>
      <c r="R919">
        <v>53</v>
      </c>
      <c r="S919">
        <v>146.55000000000001</v>
      </c>
      <c r="T919">
        <v>69.73</v>
      </c>
      <c r="U919">
        <v>1.25</v>
      </c>
      <c r="V919">
        <v>36.64</v>
      </c>
      <c r="W919">
        <v>252.92</v>
      </c>
      <c r="X919">
        <v>43.1</v>
      </c>
      <c r="Y919">
        <v>106.13</v>
      </c>
      <c r="Z919">
        <v>19.39</v>
      </c>
      <c r="AA919">
        <v>4.12</v>
      </c>
      <c r="AB919">
        <v>229.41</v>
      </c>
      <c r="AC919">
        <v>259.70943396226414</v>
      </c>
      <c r="AD919">
        <v>29.112944162436548</v>
      </c>
      <c r="AE919">
        <v>84.31</v>
      </c>
      <c r="AF919">
        <v>17.940000000000001</v>
      </c>
      <c r="AG919">
        <v>1</v>
      </c>
      <c r="AH919">
        <v>-27.1</v>
      </c>
      <c r="AI919">
        <v>51.9</v>
      </c>
      <c r="AJ919">
        <v>269.01</v>
      </c>
      <c r="AK919">
        <v>73.650000000000006</v>
      </c>
      <c r="AL919" t="s">
        <v>23</v>
      </c>
      <c r="AM919" t="s">
        <v>24</v>
      </c>
      <c r="AN919" t="str">
        <f t="shared" si="56"/>
        <v>Morning</v>
      </c>
      <c r="AO919" t="str">
        <f t="shared" si="57"/>
        <v>Peak</v>
      </c>
      <c r="AP919" t="str">
        <f t="shared" si="58"/>
        <v>High</v>
      </c>
      <c r="AQ919" t="str">
        <f t="shared" si="59"/>
        <v>High</v>
      </c>
    </row>
    <row r="920" spans="1:43" x14ac:dyDescent="0.3">
      <c r="A920">
        <v>919</v>
      </c>
      <c r="B920" t="s">
        <v>14</v>
      </c>
      <c r="C920" t="s">
        <v>8</v>
      </c>
      <c r="D920" s="1">
        <v>46089</v>
      </c>
      <c r="E920" t="s">
        <v>26</v>
      </c>
      <c r="F920">
        <v>1</v>
      </c>
      <c r="G920">
        <v>18</v>
      </c>
      <c r="H920" t="s">
        <v>51</v>
      </c>
      <c r="I920" t="s">
        <v>39</v>
      </c>
      <c r="J920">
        <v>1.05</v>
      </c>
      <c r="K920" t="s">
        <v>12</v>
      </c>
      <c r="L920">
        <v>0</v>
      </c>
      <c r="M920">
        <v>5</v>
      </c>
      <c r="N920">
        <v>88</v>
      </c>
      <c r="O920" t="s">
        <v>13</v>
      </c>
      <c r="P920">
        <v>44</v>
      </c>
      <c r="Q920">
        <v>1.46</v>
      </c>
      <c r="R920">
        <v>31</v>
      </c>
      <c r="S920">
        <v>60.12</v>
      </c>
      <c r="T920">
        <v>100</v>
      </c>
      <c r="U920">
        <v>1</v>
      </c>
      <c r="V920">
        <v>0</v>
      </c>
      <c r="W920">
        <v>160.12</v>
      </c>
      <c r="X920">
        <v>47</v>
      </c>
      <c r="Y920">
        <v>100.75</v>
      </c>
      <c r="Z920">
        <v>3.13</v>
      </c>
      <c r="AA920">
        <v>9.24</v>
      </c>
      <c r="AB920">
        <v>147.75</v>
      </c>
      <c r="AC920">
        <v>285.96774193548384</v>
      </c>
      <c r="AD920">
        <v>101.19863013698631</v>
      </c>
      <c r="AE920">
        <v>75.989999999999995</v>
      </c>
      <c r="AF920">
        <v>19.18</v>
      </c>
      <c r="AG920">
        <v>1</v>
      </c>
      <c r="AH920">
        <v>13.73</v>
      </c>
      <c r="AI920">
        <v>101.73</v>
      </c>
      <c r="AJ920">
        <v>284.93</v>
      </c>
      <c r="AK920">
        <v>82.87</v>
      </c>
      <c r="AL920" t="s">
        <v>14</v>
      </c>
      <c r="AM920" t="s">
        <v>15</v>
      </c>
      <c r="AN920" t="str">
        <f t="shared" si="56"/>
        <v>Night</v>
      </c>
      <c r="AO920" t="str">
        <f t="shared" si="57"/>
        <v>Peak</v>
      </c>
      <c r="AP920" t="str">
        <f t="shared" si="58"/>
        <v>High</v>
      </c>
      <c r="AQ920" t="str">
        <f t="shared" si="59"/>
        <v>High</v>
      </c>
    </row>
    <row r="921" spans="1:43" x14ac:dyDescent="0.3">
      <c r="A921">
        <v>920</v>
      </c>
      <c r="B921" t="s">
        <v>25</v>
      </c>
      <c r="C921" t="s">
        <v>17</v>
      </c>
      <c r="D921" s="1">
        <v>46032</v>
      </c>
      <c r="E921" t="s">
        <v>31</v>
      </c>
      <c r="F921">
        <v>1</v>
      </c>
      <c r="G921">
        <v>13</v>
      </c>
      <c r="H921" t="s">
        <v>19</v>
      </c>
      <c r="I921" t="s">
        <v>33</v>
      </c>
      <c r="J921">
        <v>1</v>
      </c>
      <c r="K921" t="s">
        <v>12</v>
      </c>
      <c r="L921">
        <v>0</v>
      </c>
      <c r="M921">
        <v>3.68</v>
      </c>
      <c r="N921">
        <v>14</v>
      </c>
      <c r="O921" t="s">
        <v>22</v>
      </c>
      <c r="P921">
        <v>3</v>
      </c>
      <c r="Q921">
        <v>1.51</v>
      </c>
      <c r="R921">
        <v>32.4</v>
      </c>
      <c r="S921">
        <v>73.5</v>
      </c>
      <c r="T921">
        <v>42.06</v>
      </c>
      <c r="U921">
        <v>1.03</v>
      </c>
      <c r="V921">
        <v>2.21</v>
      </c>
      <c r="W921">
        <v>117.77</v>
      </c>
      <c r="X921">
        <v>38.200000000000003</v>
      </c>
      <c r="Y921">
        <v>105.83</v>
      </c>
      <c r="Z921">
        <v>4.18</v>
      </c>
      <c r="AA921">
        <v>10.29</v>
      </c>
      <c r="AB921">
        <v>103.3</v>
      </c>
      <c r="AC921">
        <v>191.2962962962963</v>
      </c>
      <c r="AD921">
        <v>68.410596026490069</v>
      </c>
      <c r="AE921">
        <v>58.22</v>
      </c>
      <c r="AF921">
        <v>19.010000000000002</v>
      </c>
      <c r="AG921">
        <v>1</v>
      </c>
      <c r="AH921">
        <v>11.91</v>
      </c>
      <c r="AI921">
        <v>25.91</v>
      </c>
      <c r="AJ921">
        <v>197.73</v>
      </c>
      <c r="AK921">
        <v>62.67</v>
      </c>
      <c r="AL921" t="s">
        <v>14</v>
      </c>
      <c r="AM921" t="s">
        <v>15</v>
      </c>
      <c r="AN921" t="str">
        <f t="shared" si="56"/>
        <v>Afternoon</v>
      </c>
      <c r="AO921" t="str">
        <f t="shared" si="57"/>
        <v>Off-Peak</v>
      </c>
      <c r="AP921" t="str">
        <f t="shared" si="58"/>
        <v>Medium</v>
      </c>
      <c r="AQ921" t="str">
        <f t="shared" si="59"/>
        <v>Low</v>
      </c>
    </row>
    <row r="922" spans="1:43" x14ac:dyDescent="0.3">
      <c r="A922">
        <v>921</v>
      </c>
      <c r="B922" t="s">
        <v>23</v>
      </c>
      <c r="C922" t="s">
        <v>17</v>
      </c>
      <c r="D922" s="1">
        <v>46044</v>
      </c>
      <c r="E922" t="s">
        <v>41</v>
      </c>
      <c r="F922">
        <v>0</v>
      </c>
      <c r="G922">
        <v>22</v>
      </c>
      <c r="H922" t="s">
        <v>19</v>
      </c>
      <c r="I922" t="s">
        <v>33</v>
      </c>
      <c r="J922">
        <v>1</v>
      </c>
      <c r="K922" t="s">
        <v>12</v>
      </c>
      <c r="L922">
        <v>0</v>
      </c>
      <c r="M922">
        <v>2.66</v>
      </c>
      <c r="N922">
        <v>27</v>
      </c>
      <c r="O922" t="s">
        <v>22</v>
      </c>
      <c r="P922">
        <v>5</v>
      </c>
      <c r="Q922">
        <v>4.99</v>
      </c>
      <c r="R922">
        <v>41.3</v>
      </c>
      <c r="S922">
        <v>99.83</v>
      </c>
      <c r="T922">
        <v>34.82</v>
      </c>
      <c r="U922">
        <v>1</v>
      </c>
      <c r="V922">
        <v>0</v>
      </c>
      <c r="W922">
        <v>134.65</v>
      </c>
      <c r="X922">
        <v>43.3</v>
      </c>
      <c r="Y922">
        <v>101.03</v>
      </c>
      <c r="Z922">
        <v>11.64</v>
      </c>
      <c r="AA922">
        <v>5.41</v>
      </c>
      <c r="AB922">
        <v>117.6</v>
      </c>
      <c r="AC922">
        <v>170.84745762711867</v>
      </c>
      <c r="AD922">
        <v>23.567134268537071</v>
      </c>
      <c r="AE922">
        <v>64.34</v>
      </c>
      <c r="AF922">
        <v>15.36</v>
      </c>
      <c r="AG922">
        <v>0</v>
      </c>
      <c r="AH922">
        <v>-7.85</v>
      </c>
      <c r="AI922">
        <v>19.149999999999999</v>
      </c>
      <c r="AJ922">
        <v>180.83</v>
      </c>
      <c r="AK922">
        <v>72.92</v>
      </c>
      <c r="AL922" t="s">
        <v>23</v>
      </c>
      <c r="AM922" t="s">
        <v>24</v>
      </c>
      <c r="AN922" t="str">
        <f t="shared" si="56"/>
        <v>Night</v>
      </c>
      <c r="AO922" t="str">
        <f t="shared" si="57"/>
        <v>Off-Peak</v>
      </c>
      <c r="AP922" t="str">
        <f t="shared" si="58"/>
        <v>Medium</v>
      </c>
      <c r="AQ922" t="str">
        <f t="shared" si="59"/>
        <v>Low</v>
      </c>
    </row>
    <row r="923" spans="1:43" x14ac:dyDescent="0.3">
      <c r="A923">
        <v>922</v>
      </c>
      <c r="B923" t="s">
        <v>25</v>
      </c>
      <c r="C923" t="s">
        <v>17</v>
      </c>
      <c r="D923" s="1">
        <v>46064</v>
      </c>
      <c r="E923" t="s">
        <v>18</v>
      </c>
      <c r="F923">
        <v>0</v>
      </c>
      <c r="G923">
        <v>18</v>
      </c>
      <c r="H923" t="s">
        <v>40</v>
      </c>
      <c r="I923" t="s">
        <v>28</v>
      </c>
      <c r="J923">
        <v>1.03</v>
      </c>
      <c r="K923" t="s">
        <v>12</v>
      </c>
      <c r="L923">
        <v>0</v>
      </c>
      <c r="M923">
        <v>4.75</v>
      </c>
      <c r="N923">
        <v>81</v>
      </c>
      <c r="O923" t="s">
        <v>13</v>
      </c>
      <c r="P923">
        <v>19</v>
      </c>
      <c r="Q923">
        <v>3.36</v>
      </c>
      <c r="R923">
        <v>49.2</v>
      </c>
      <c r="S923">
        <v>97.24</v>
      </c>
      <c r="T923">
        <v>71.2</v>
      </c>
      <c r="U923">
        <v>1.35</v>
      </c>
      <c r="V923">
        <v>34.03</v>
      </c>
      <c r="W923">
        <v>202.47</v>
      </c>
      <c r="X923">
        <v>40.299999999999997</v>
      </c>
      <c r="Y923">
        <v>109.49</v>
      </c>
      <c r="Z923">
        <v>9.1199999999999992</v>
      </c>
      <c r="AA923">
        <v>7.36</v>
      </c>
      <c r="AB923">
        <v>185.99</v>
      </c>
      <c r="AC923">
        <v>226.8170731707317</v>
      </c>
      <c r="AD923">
        <v>55.354166666666671</v>
      </c>
      <c r="AE923">
        <v>81.73</v>
      </c>
      <c r="AF923">
        <v>15.43</v>
      </c>
      <c r="AG923">
        <v>1</v>
      </c>
      <c r="AH923">
        <v>-9.5299999999999994</v>
      </c>
      <c r="AI923">
        <v>71.47</v>
      </c>
      <c r="AJ923">
        <v>240.75</v>
      </c>
      <c r="AK923">
        <v>79.52</v>
      </c>
      <c r="AL923" t="s">
        <v>23</v>
      </c>
      <c r="AM923" t="s">
        <v>24</v>
      </c>
      <c r="AN923" t="str">
        <f t="shared" si="56"/>
        <v>Night</v>
      </c>
      <c r="AO923" t="str">
        <f t="shared" si="57"/>
        <v>Peak</v>
      </c>
      <c r="AP923" t="str">
        <f t="shared" si="58"/>
        <v>Medium</v>
      </c>
      <c r="AQ923" t="str">
        <f t="shared" si="59"/>
        <v>High</v>
      </c>
    </row>
    <row r="924" spans="1:43" x14ac:dyDescent="0.3">
      <c r="A924">
        <v>923</v>
      </c>
      <c r="B924" t="s">
        <v>29</v>
      </c>
      <c r="C924" t="s">
        <v>30</v>
      </c>
      <c r="D924" s="1">
        <v>46225</v>
      </c>
      <c r="E924" t="s">
        <v>18</v>
      </c>
      <c r="F924">
        <v>0</v>
      </c>
      <c r="G924">
        <v>15</v>
      </c>
      <c r="H924" t="s">
        <v>43</v>
      </c>
      <c r="I924" t="s">
        <v>39</v>
      </c>
      <c r="J924">
        <v>1.05</v>
      </c>
      <c r="K924" t="s">
        <v>21</v>
      </c>
      <c r="L924">
        <v>0</v>
      </c>
      <c r="M924">
        <v>1.88</v>
      </c>
      <c r="N924">
        <v>27</v>
      </c>
      <c r="O924" t="s">
        <v>22</v>
      </c>
      <c r="P924">
        <v>9</v>
      </c>
      <c r="Q924">
        <v>3.24</v>
      </c>
      <c r="R924">
        <v>23</v>
      </c>
      <c r="S924">
        <v>75.42</v>
      </c>
      <c r="T924">
        <v>35.880000000000003</v>
      </c>
      <c r="U924">
        <v>1</v>
      </c>
      <c r="V924">
        <v>0</v>
      </c>
      <c r="W924">
        <v>111.3</v>
      </c>
      <c r="X924">
        <v>46.2</v>
      </c>
      <c r="Y924">
        <v>106.47</v>
      </c>
      <c r="Z924">
        <v>7.46</v>
      </c>
      <c r="AA924">
        <v>4.4000000000000004</v>
      </c>
      <c r="AB924">
        <v>99.44</v>
      </c>
      <c r="AC924">
        <v>259.40869565217389</v>
      </c>
      <c r="AD924">
        <v>30.691358024691354</v>
      </c>
      <c r="AE924">
        <v>79.77</v>
      </c>
      <c r="AF924">
        <v>19.52</v>
      </c>
      <c r="AG924">
        <v>0</v>
      </c>
      <c r="AH924">
        <v>-20.86</v>
      </c>
      <c r="AI924">
        <v>6.14</v>
      </c>
      <c r="AJ924">
        <v>259.95999999999998</v>
      </c>
      <c r="AK924">
        <v>63.34</v>
      </c>
      <c r="AL924" t="s">
        <v>14</v>
      </c>
      <c r="AM924" t="s">
        <v>15</v>
      </c>
      <c r="AN924" t="str">
        <f t="shared" si="56"/>
        <v>Evening</v>
      </c>
      <c r="AO924" t="str">
        <f t="shared" si="57"/>
        <v>Off-Peak</v>
      </c>
      <c r="AP924" t="str">
        <f t="shared" si="58"/>
        <v>High</v>
      </c>
      <c r="AQ924" t="str">
        <f t="shared" si="59"/>
        <v>Low</v>
      </c>
    </row>
    <row r="925" spans="1:43" x14ac:dyDescent="0.3">
      <c r="A925">
        <v>924</v>
      </c>
      <c r="B925" t="s">
        <v>14</v>
      </c>
      <c r="C925" t="s">
        <v>8</v>
      </c>
      <c r="D925" s="1">
        <v>46187</v>
      </c>
      <c r="E925" t="s">
        <v>26</v>
      </c>
      <c r="F925">
        <v>1</v>
      </c>
      <c r="G925">
        <v>22</v>
      </c>
      <c r="H925" t="s">
        <v>51</v>
      </c>
      <c r="I925" t="s">
        <v>37</v>
      </c>
      <c r="J925">
        <v>1.02</v>
      </c>
      <c r="K925" t="s">
        <v>21</v>
      </c>
      <c r="L925">
        <v>0</v>
      </c>
      <c r="M925">
        <v>2.23</v>
      </c>
      <c r="N925">
        <v>49</v>
      </c>
      <c r="O925" t="s">
        <v>35</v>
      </c>
      <c r="P925">
        <v>19</v>
      </c>
      <c r="Q925">
        <v>14.17</v>
      </c>
      <c r="R925">
        <v>92.5</v>
      </c>
      <c r="S925">
        <v>153.30000000000001</v>
      </c>
      <c r="T925">
        <v>49.62</v>
      </c>
      <c r="U925">
        <v>1</v>
      </c>
      <c r="V925">
        <v>0</v>
      </c>
      <c r="W925">
        <v>202.92</v>
      </c>
      <c r="X925">
        <v>45.5</v>
      </c>
      <c r="Y925">
        <v>105.56</v>
      </c>
      <c r="Z925">
        <v>32.86</v>
      </c>
      <c r="AA925">
        <v>10.8</v>
      </c>
      <c r="AB925">
        <v>159.26</v>
      </c>
      <c r="AC925">
        <v>103.30378378378377</v>
      </c>
      <c r="AD925">
        <v>11.23923782639379</v>
      </c>
      <c r="AE925">
        <v>79.19</v>
      </c>
      <c r="AF925">
        <v>11.65</v>
      </c>
      <c r="AG925">
        <v>1</v>
      </c>
      <c r="AH925">
        <v>-2.06</v>
      </c>
      <c r="AI925">
        <v>46.94</v>
      </c>
      <c r="AJ925">
        <v>107.67</v>
      </c>
      <c r="AK925">
        <v>79.87</v>
      </c>
      <c r="AL925" t="s">
        <v>14</v>
      </c>
      <c r="AM925" t="s">
        <v>15</v>
      </c>
      <c r="AN925" t="str">
        <f t="shared" si="56"/>
        <v>Night</v>
      </c>
      <c r="AO925" t="str">
        <f t="shared" si="57"/>
        <v>Off-Peak</v>
      </c>
      <c r="AP925" t="str">
        <f t="shared" si="58"/>
        <v>Low</v>
      </c>
      <c r="AQ925" t="str">
        <f t="shared" si="59"/>
        <v>Medium</v>
      </c>
    </row>
    <row r="926" spans="1:43" x14ac:dyDescent="0.3">
      <c r="A926">
        <v>925</v>
      </c>
      <c r="B926" t="s">
        <v>14</v>
      </c>
      <c r="C926" t="s">
        <v>8</v>
      </c>
      <c r="D926" s="1">
        <v>46134</v>
      </c>
      <c r="E926" t="s">
        <v>18</v>
      </c>
      <c r="F926">
        <v>0</v>
      </c>
      <c r="G926">
        <v>19</v>
      </c>
      <c r="H926" t="s">
        <v>51</v>
      </c>
      <c r="I926" t="s">
        <v>33</v>
      </c>
      <c r="J926">
        <v>1</v>
      </c>
      <c r="K926" t="s">
        <v>12</v>
      </c>
      <c r="L926">
        <v>0</v>
      </c>
      <c r="M926">
        <v>4.37</v>
      </c>
      <c r="N926">
        <v>62</v>
      </c>
      <c r="O926" t="s">
        <v>35</v>
      </c>
      <c r="P926">
        <v>34</v>
      </c>
      <c r="Q926">
        <v>5.91</v>
      </c>
      <c r="R926">
        <v>44.4</v>
      </c>
      <c r="S926">
        <v>98.49</v>
      </c>
      <c r="T926">
        <v>79.709999999999994</v>
      </c>
      <c r="U926">
        <v>1</v>
      </c>
      <c r="V926">
        <v>0</v>
      </c>
      <c r="W926">
        <v>178.2</v>
      </c>
      <c r="X926">
        <v>45.5</v>
      </c>
      <c r="Y926">
        <v>101.98</v>
      </c>
      <c r="Z926">
        <v>13.24</v>
      </c>
      <c r="AA926">
        <v>11.65</v>
      </c>
      <c r="AB926">
        <v>153.31</v>
      </c>
      <c r="AC926">
        <v>207.17567567567568</v>
      </c>
      <c r="AD926">
        <v>25.940778341793571</v>
      </c>
      <c r="AE926">
        <v>86.13</v>
      </c>
      <c r="AF926">
        <v>18.14</v>
      </c>
      <c r="AG926">
        <v>1</v>
      </c>
      <c r="AH926">
        <v>0.34</v>
      </c>
      <c r="AI926">
        <v>62.34</v>
      </c>
      <c r="AJ926">
        <v>197.74</v>
      </c>
      <c r="AK926">
        <v>76.510000000000005</v>
      </c>
      <c r="AL926" t="s">
        <v>14</v>
      </c>
      <c r="AM926" t="s">
        <v>15</v>
      </c>
      <c r="AN926" t="str">
        <f t="shared" si="56"/>
        <v>Night</v>
      </c>
      <c r="AO926" t="str">
        <f t="shared" si="57"/>
        <v>Peak</v>
      </c>
      <c r="AP926" t="str">
        <f t="shared" si="58"/>
        <v>Medium</v>
      </c>
      <c r="AQ926" t="str">
        <f t="shared" si="59"/>
        <v>Medium</v>
      </c>
    </row>
    <row r="927" spans="1:43" x14ac:dyDescent="0.3">
      <c r="A927">
        <v>926</v>
      </c>
      <c r="B927" t="s">
        <v>23</v>
      </c>
      <c r="C927" t="s">
        <v>17</v>
      </c>
      <c r="D927" s="1">
        <v>46224</v>
      </c>
      <c r="E927" t="s">
        <v>44</v>
      </c>
      <c r="F927">
        <v>0</v>
      </c>
      <c r="G927">
        <v>14</v>
      </c>
      <c r="H927" t="s">
        <v>19</v>
      </c>
      <c r="I927" t="s">
        <v>42</v>
      </c>
      <c r="J927">
        <v>1.08</v>
      </c>
      <c r="K927" t="s">
        <v>21</v>
      </c>
      <c r="L927">
        <v>0</v>
      </c>
      <c r="M927">
        <v>1.27</v>
      </c>
      <c r="N927">
        <v>5</v>
      </c>
      <c r="O927" t="s">
        <v>22</v>
      </c>
      <c r="P927">
        <v>1</v>
      </c>
      <c r="Q927">
        <v>2.94</v>
      </c>
      <c r="R927">
        <v>16.2</v>
      </c>
      <c r="S927">
        <v>98.47</v>
      </c>
      <c r="T927">
        <v>2.6</v>
      </c>
      <c r="U927">
        <v>1.0900000000000001</v>
      </c>
      <c r="V927">
        <v>8.86</v>
      </c>
      <c r="W927">
        <v>109.93</v>
      </c>
      <c r="X927">
        <v>40.700000000000003</v>
      </c>
      <c r="Y927">
        <v>105.16</v>
      </c>
      <c r="Z927">
        <v>7.6</v>
      </c>
      <c r="AA927">
        <v>9.5299999999999994</v>
      </c>
      <c r="AB927">
        <v>92.8</v>
      </c>
      <c r="AC927">
        <v>343.70370370370375</v>
      </c>
      <c r="AD927">
        <v>31.564625850340136</v>
      </c>
      <c r="AE927">
        <v>75.53</v>
      </c>
      <c r="AF927">
        <v>14.4</v>
      </c>
      <c r="AG927">
        <v>0</v>
      </c>
      <c r="AH927">
        <v>14.95</v>
      </c>
      <c r="AI927">
        <v>19.95</v>
      </c>
      <c r="AJ927">
        <v>343.83</v>
      </c>
      <c r="AK927">
        <v>64.84</v>
      </c>
      <c r="AL927" t="s">
        <v>14</v>
      </c>
      <c r="AM927" t="s">
        <v>15</v>
      </c>
      <c r="AN927" t="str">
        <f t="shared" si="56"/>
        <v>Afternoon</v>
      </c>
      <c r="AO927" t="str">
        <f t="shared" si="57"/>
        <v>Off-Peak</v>
      </c>
      <c r="AP927" t="str">
        <f t="shared" si="58"/>
        <v>High</v>
      </c>
      <c r="AQ927" t="str">
        <f t="shared" si="59"/>
        <v>Low</v>
      </c>
    </row>
    <row r="928" spans="1:43" x14ac:dyDescent="0.3">
      <c r="A928">
        <v>927</v>
      </c>
      <c r="B928" t="s">
        <v>29</v>
      </c>
      <c r="C928" t="s">
        <v>30</v>
      </c>
      <c r="D928" s="1">
        <v>46064</v>
      </c>
      <c r="E928" t="s">
        <v>18</v>
      </c>
      <c r="F928">
        <v>0</v>
      </c>
      <c r="G928">
        <v>7</v>
      </c>
      <c r="H928" t="s">
        <v>47</v>
      </c>
      <c r="I928" t="s">
        <v>50</v>
      </c>
      <c r="J928">
        <v>1.2</v>
      </c>
      <c r="K928" t="s">
        <v>12</v>
      </c>
      <c r="L928">
        <v>0</v>
      </c>
      <c r="M928">
        <v>2.97</v>
      </c>
      <c r="N928">
        <v>35</v>
      </c>
      <c r="O928" t="s">
        <v>22</v>
      </c>
      <c r="P928">
        <v>9</v>
      </c>
      <c r="Q928">
        <v>1</v>
      </c>
      <c r="R928">
        <v>24.1</v>
      </c>
      <c r="S928">
        <v>65.89</v>
      </c>
      <c r="T928">
        <v>35.97</v>
      </c>
      <c r="U928">
        <v>1</v>
      </c>
      <c r="V928">
        <v>0</v>
      </c>
      <c r="W928">
        <v>101.86</v>
      </c>
      <c r="X928">
        <v>44</v>
      </c>
      <c r="Y928">
        <v>103.43</v>
      </c>
      <c r="Z928">
        <v>2.35</v>
      </c>
      <c r="AA928">
        <v>2.89</v>
      </c>
      <c r="AB928">
        <v>96.62</v>
      </c>
      <c r="AC928">
        <v>240.54771784232366</v>
      </c>
      <c r="AD928">
        <v>96.62</v>
      </c>
      <c r="AE928">
        <v>68.599999999999994</v>
      </c>
      <c r="AF928">
        <v>15.11</v>
      </c>
      <c r="AG928">
        <v>0</v>
      </c>
      <c r="AH928">
        <v>7.04</v>
      </c>
      <c r="AI928">
        <v>42.04</v>
      </c>
      <c r="AJ928">
        <v>228.73</v>
      </c>
      <c r="AK928">
        <v>65.42</v>
      </c>
      <c r="AL928" t="s">
        <v>23</v>
      </c>
      <c r="AM928" t="s">
        <v>24</v>
      </c>
      <c r="AN928" t="str">
        <f t="shared" si="56"/>
        <v>Morning</v>
      </c>
      <c r="AO928" t="str">
        <f t="shared" si="57"/>
        <v>Peak</v>
      </c>
      <c r="AP928" t="str">
        <f t="shared" si="58"/>
        <v>Medium</v>
      </c>
      <c r="AQ928" t="str">
        <f t="shared" si="59"/>
        <v>Low</v>
      </c>
    </row>
    <row r="929" spans="1:43" x14ac:dyDescent="0.3">
      <c r="A929">
        <v>928</v>
      </c>
      <c r="B929" t="s">
        <v>48</v>
      </c>
      <c r="C929" t="s">
        <v>30</v>
      </c>
      <c r="D929" s="1">
        <v>46077</v>
      </c>
      <c r="E929" t="s">
        <v>44</v>
      </c>
      <c r="F929">
        <v>0</v>
      </c>
      <c r="G929">
        <v>8</v>
      </c>
      <c r="H929" t="s">
        <v>47</v>
      </c>
      <c r="I929" t="s">
        <v>37</v>
      </c>
      <c r="J929">
        <v>1.02</v>
      </c>
      <c r="K929" t="s">
        <v>21</v>
      </c>
      <c r="L929">
        <v>0</v>
      </c>
      <c r="M929">
        <v>2.1800000000000002</v>
      </c>
      <c r="N929">
        <v>43</v>
      </c>
      <c r="O929" t="s">
        <v>35</v>
      </c>
      <c r="P929">
        <v>8</v>
      </c>
      <c r="Q929">
        <v>2.81</v>
      </c>
      <c r="R929">
        <v>23.7</v>
      </c>
      <c r="S929">
        <v>76.62</v>
      </c>
      <c r="T929">
        <v>38.32</v>
      </c>
      <c r="U929">
        <v>1</v>
      </c>
      <c r="V929">
        <v>0</v>
      </c>
      <c r="W929">
        <v>114.94</v>
      </c>
      <c r="X929">
        <v>44.8</v>
      </c>
      <c r="Y929">
        <v>106.75</v>
      </c>
      <c r="Z929">
        <v>6.71</v>
      </c>
      <c r="AA929">
        <v>6.37</v>
      </c>
      <c r="AB929">
        <v>101.86</v>
      </c>
      <c r="AC929">
        <v>257.87341772151899</v>
      </c>
      <c r="AD929">
        <v>36.2491103202847</v>
      </c>
      <c r="AE929">
        <v>80.19</v>
      </c>
      <c r="AF929">
        <v>14.14</v>
      </c>
      <c r="AG929">
        <v>0</v>
      </c>
      <c r="AH929">
        <v>-12.9</v>
      </c>
      <c r="AI929">
        <v>30.1</v>
      </c>
      <c r="AJ929">
        <v>273.07</v>
      </c>
      <c r="AK929">
        <v>64.45</v>
      </c>
      <c r="AL929" t="s">
        <v>23</v>
      </c>
      <c r="AM929" t="s">
        <v>24</v>
      </c>
      <c r="AN929" t="str">
        <f t="shared" si="56"/>
        <v>Morning</v>
      </c>
      <c r="AO929" t="str">
        <f t="shared" si="57"/>
        <v>Peak</v>
      </c>
      <c r="AP929" t="str">
        <f t="shared" si="58"/>
        <v>High</v>
      </c>
      <c r="AQ929" t="str">
        <f t="shared" si="59"/>
        <v>Medium</v>
      </c>
    </row>
    <row r="930" spans="1:43" x14ac:dyDescent="0.3">
      <c r="A930">
        <v>929</v>
      </c>
      <c r="B930" t="s">
        <v>48</v>
      </c>
      <c r="C930" t="s">
        <v>30</v>
      </c>
      <c r="D930" s="1">
        <v>46124</v>
      </c>
      <c r="E930" t="s">
        <v>26</v>
      </c>
      <c r="F930">
        <v>1</v>
      </c>
      <c r="G930">
        <v>14</v>
      </c>
      <c r="H930" t="s">
        <v>43</v>
      </c>
      <c r="I930" t="s">
        <v>45</v>
      </c>
      <c r="J930">
        <v>1</v>
      </c>
      <c r="K930" t="s">
        <v>12</v>
      </c>
      <c r="L930">
        <v>0</v>
      </c>
      <c r="M930">
        <v>3.08</v>
      </c>
      <c r="N930">
        <v>56</v>
      </c>
      <c r="O930" t="s">
        <v>35</v>
      </c>
      <c r="P930">
        <v>12</v>
      </c>
      <c r="Q930">
        <v>1.33</v>
      </c>
      <c r="R930">
        <v>26.1</v>
      </c>
      <c r="S930">
        <v>52.78</v>
      </c>
      <c r="T930">
        <v>63.43</v>
      </c>
      <c r="U930">
        <v>1</v>
      </c>
      <c r="V930">
        <v>0</v>
      </c>
      <c r="W930">
        <v>116.21</v>
      </c>
      <c r="X930">
        <v>45.2</v>
      </c>
      <c r="Y930">
        <v>106.04</v>
      </c>
      <c r="Z930">
        <v>3.13</v>
      </c>
      <c r="AA930">
        <v>11.91</v>
      </c>
      <c r="AB930">
        <v>101.17</v>
      </c>
      <c r="AC930">
        <v>232.57471264367817</v>
      </c>
      <c r="AD930">
        <v>76.067669172932327</v>
      </c>
      <c r="AE930">
        <v>77.84</v>
      </c>
      <c r="AF930">
        <v>13.64</v>
      </c>
      <c r="AG930">
        <v>1</v>
      </c>
      <c r="AH930">
        <v>6.58</v>
      </c>
      <c r="AI930">
        <v>62.58</v>
      </c>
      <c r="AJ930">
        <v>242.59</v>
      </c>
      <c r="AK930">
        <v>78.44</v>
      </c>
      <c r="AL930" t="s">
        <v>14</v>
      </c>
      <c r="AM930" t="s">
        <v>15</v>
      </c>
      <c r="AN930" t="str">
        <f t="shared" si="56"/>
        <v>Afternoon</v>
      </c>
      <c r="AO930" t="str">
        <f t="shared" si="57"/>
        <v>Off-Peak</v>
      </c>
      <c r="AP930" t="str">
        <f t="shared" si="58"/>
        <v>Medium</v>
      </c>
      <c r="AQ930" t="str">
        <f t="shared" si="59"/>
        <v>Medium</v>
      </c>
    </row>
    <row r="931" spans="1:43" x14ac:dyDescent="0.3">
      <c r="A931">
        <v>930</v>
      </c>
      <c r="B931" t="s">
        <v>25</v>
      </c>
      <c r="C931" t="s">
        <v>17</v>
      </c>
      <c r="D931" s="1">
        <v>46259</v>
      </c>
      <c r="E931" t="s">
        <v>44</v>
      </c>
      <c r="F931">
        <v>0</v>
      </c>
      <c r="G931">
        <v>15</v>
      </c>
      <c r="H931" t="s">
        <v>19</v>
      </c>
      <c r="I931" t="s">
        <v>50</v>
      </c>
      <c r="J931">
        <v>1.2</v>
      </c>
      <c r="K931" t="s">
        <v>12</v>
      </c>
      <c r="L931">
        <v>0</v>
      </c>
      <c r="M931">
        <v>2.14</v>
      </c>
      <c r="N931">
        <v>5</v>
      </c>
      <c r="O931" t="s">
        <v>22</v>
      </c>
      <c r="P931">
        <v>1</v>
      </c>
      <c r="Q931">
        <v>1.81</v>
      </c>
      <c r="R931">
        <v>24.3</v>
      </c>
      <c r="S931">
        <v>89.89</v>
      </c>
      <c r="T931">
        <v>3.83</v>
      </c>
      <c r="U931">
        <v>1.1000000000000001</v>
      </c>
      <c r="V931">
        <v>8.99</v>
      </c>
      <c r="W931">
        <v>102.71</v>
      </c>
      <c r="X931">
        <v>43.6</v>
      </c>
      <c r="Y931">
        <v>104.99</v>
      </c>
      <c r="Z931">
        <v>4.3499999999999996</v>
      </c>
      <c r="AA931">
        <v>4.29</v>
      </c>
      <c r="AB931">
        <v>94.07</v>
      </c>
      <c r="AC931">
        <v>232.27160493827157</v>
      </c>
      <c r="AD931">
        <v>51.972375690607727</v>
      </c>
      <c r="AE931">
        <v>67.8</v>
      </c>
      <c r="AF931">
        <v>15.89</v>
      </c>
      <c r="AG931">
        <v>0</v>
      </c>
      <c r="AH931">
        <v>-0.81</v>
      </c>
      <c r="AI931">
        <v>5</v>
      </c>
      <c r="AJ931">
        <v>242.35</v>
      </c>
      <c r="AK931">
        <v>70.63</v>
      </c>
      <c r="AL931" t="s">
        <v>23</v>
      </c>
      <c r="AM931" t="s">
        <v>24</v>
      </c>
      <c r="AN931" t="str">
        <f t="shared" si="56"/>
        <v>Evening</v>
      </c>
      <c r="AO931" t="str">
        <f t="shared" si="57"/>
        <v>Off-Peak</v>
      </c>
      <c r="AP931" t="str">
        <f t="shared" si="58"/>
        <v>Medium</v>
      </c>
      <c r="AQ931" t="str">
        <f t="shared" si="59"/>
        <v>Low</v>
      </c>
    </row>
    <row r="932" spans="1:43" x14ac:dyDescent="0.3">
      <c r="A932">
        <v>931</v>
      </c>
      <c r="B932" t="s">
        <v>29</v>
      </c>
      <c r="C932" t="s">
        <v>30</v>
      </c>
      <c r="D932" s="1">
        <v>46181</v>
      </c>
      <c r="E932" t="s">
        <v>38</v>
      </c>
      <c r="F932">
        <v>0</v>
      </c>
      <c r="G932">
        <v>7</v>
      </c>
      <c r="H932" t="s">
        <v>47</v>
      </c>
      <c r="I932" t="s">
        <v>33</v>
      </c>
      <c r="J932">
        <v>1</v>
      </c>
      <c r="K932" t="s">
        <v>34</v>
      </c>
      <c r="L932">
        <v>1</v>
      </c>
      <c r="M932">
        <v>3.84</v>
      </c>
      <c r="N932">
        <v>22</v>
      </c>
      <c r="O932" t="s">
        <v>22</v>
      </c>
      <c r="P932">
        <v>4</v>
      </c>
      <c r="Q932">
        <v>1.86</v>
      </c>
      <c r="R932">
        <v>30.7</v>
      </c>
      <c r="S932">
        <v>67.89</v>
      </c>
      <c r="T932">
        <v>22.56</v>
      </c>
      <c r="U932">
        <v>1</v>
      </c>
      <c r="V932">
        <v>0</v>
      </c>
      <c r="W932">
        <v>90.45</v>
      </c>
      <c r="X932">
        <v>48</v>
      </c>
      <c r="Y932">
        <v>102.53</v>
      </c>
      <c r="Z932">
        <v>3.97</v>
      </c>
      <c r="AA932">
        <v>8.6999999999999993</v>
      </c>
      <c r="AB932">
        <v>77.78</v>
      </c>
      <c r="AC932">
        <v>152.01302931596092</v>
      </c>
      <c r="AD932">
        <v>41.817204301075265</v>
      </c>
      <c r="AE932">
        <v>77.540000000000006</v>
      </c>
      <c r="AF932">
        <v>17.62</v>
      </c>
      <c r="AG932">
        <v>0</v>
      </c>
      <c r="AH932">
        <v>-11.02</v>
      </c>
      <c r="AI932">
        <v>10.98</v>
      </c>
      <c r="AJ932">
        <v>182.51</v>
      </c>
      <c r="AK932">
        <v>66.319999999999993</v>
      </c>
      <c r="AL932" t="s">
        <v>23</v>
      </c>
      <c r="AM932" t="s">
        <v>24</v>
      </c>
      <c r="AN932" t="str">
        <f t="shared" si="56"/>
        <v>Morning</v>
      </c>
      <c r="AO932" t="str">
        <f t="shared" si="57"/>
        <v>Peak</v>
      </c>
      <c r="AP932" t="str">
        <f t="shared" si="58"/>
        <v>Medium</v>
      </c>
      <c r="AQ932" t="str">
        <f t="shared" si="59"/>
        <v>Low</v>
      </c>
    </row>
    <row r="933" spans="1:43" x14ac:dyDescent="0.3">
      <c r="A933">
        <v>932</v>
      </c>
      <c r="B933" t="s">
        <v>25</v>
      </c>
      <c r="C933" t="s">
        <v>17</v>
      </c>
      <c r="D933" s="1">
        <v>46242</v>
      </c>
      <c r="E933" t="s">
        <v>31</v>
      </c>
      <c r="F933">
        <v>1</v>
      </c>
      <c r="G933">
        <v>9</v>
      </c>
      <c r="H933" t="s">
        <v>27</v>
      </c>
      <c r="I933" t="s">
        <v>28</v>
      </c>
      <c r="J933">
        <v>1.03</v>
      </c>
      <c r="K933" t="s">
        <v>12</v>
      </c>
      <c r="L933">
        <v>0</v>
      </c>
      <c r="M933">
        <v>4.12</v>
      </c>
      <c r="N933">
        <v>78</v>
      </c>
      <c r="O933" t="s">
        <v>13</v>
      </c>
      <c r="P933">
        <v>14</v>
      </c>
      <c r="Q933">
        <v>7.47</v>
      </c>
      <c r="R933">
        <v>53.9</v>
      </c>
      <c r="S933">
        <v>150.13999999999999</v>
      </c>
      <c r="T933">
        <v>83.44</v>
      </c>
      <c r="U933">
        <v>1.36</v>
      </c>
      <c r="V933">
        <v>54.05</v>
      </c>
      <c r="W933">
        <v>287.63</v>
      </c>
      <c r="X933">
        <v>38.700000000000003</v>
      </c>
      <c r="Y933">
        <v>105.26</v>
      </c>
      <c r="Z933">
        <v>20.3</v>
      </c>
      <c r="AA933">
        <v>11.39</v>
      </c>
      <c r="AB933">
        <v>255.94</v>
      </c>
      <c r="AC933">
        <v>284.90538033395177</v>
      </c>
      <c r="AD933">
        <v>34.262382864792507</v>
      </c>
      <c r="AE933">
        <v>78.87</v>
      </c>
      <c r="AF933">
        <v>20</v>
      </c>
      <c r="AG933">
        <v>1</v>
      </c>
      <c r="AH933">
        <v>-20.84</v>
      </c>
      <c r="AI933">
        <v>57.16</v>
      </c>
      <c r="AJ933">
        <v>288.14999999999998</v>
      </c>
      <c r="AK933">
        <v>79</v>
      </c>
      <c r="AL933" t="s">
        <v>23</v>
      </c>
      <c r="AM933" t="s">
        <v>24</v>
      </c>
      <c r="AN933" t="str">
        <f t="shared" si="56"/>
        <v>Morning</v>
      </c>
      <c r="AO933" t="str">
        <f t="shared" si="57"/>
        <v>Peak</v>
      </c>
      <c r="AP933" t="str">
        <f t="shared" si="58"/>
        <v>High</v>
      </c>
      <c r="AQ933" t="str">
        <f t="shared" si="59"/>
        <v>High</v>
      </c>
    </row>
    <row r="934" spans="1:43" x14ac:dyDescent="0.3">
      <c r="A934">
        <v>933</v>
      </c>
      <c r="B934" t="s">
        <v>14</v>
      </c>
      <c r="C934" t="s">
        <v>8</v>
      </c>
      <c r="D934" s="1">
        <v>46087</v>
      </c>
      <c r="E934" t="s">
        <v>9</v>
      </c>
      <c r="F934">
        <v>0</v>
      </c>
      <c r="G934">
        <v>18</v>
      </c>
      <c r="H934" t="s">
        <v>51</v>
      </c>
      <c r="I934" t="s">
        <v>39</v>
      </c>
      <c r="J934">
        <v>1.05</v>
      </c>
      <c r="K934" t="s">
        <v>12</v>
      </c>
      <c r="L934">
        <v>0</v>
      </c>
      <c r="M934">
        <v>5</v>
      </c>
      <c r="N934">
        <v>49</v>
      </c>
      <c r="O934" t="s">
        <v>35</v>
      </c>
      <c r="P934">
        <v>21</v>
      </c>
      <c r="Q934">
        <v>1.0900000000000001</v>
      </c>
      <c r="R934">
        <v>35.1</v>
      </c>
      <c r="S934">
        <v>72.28</v>
      </c>
      <c r="T934">
        <v>66.010000000000005</v>
      </c>
      <c r="U934">
        <v>1</v>
      </c>
      <c r="V934">
        <v>0</v>
      </c>
      <c r="W934">
        <v>138.29</v>
      </c>
      <c r="X934">
        <v>35.799999999999997</v>
      </c>
      <c r="Y934">
        <v>104.62</v>
      </c>
      <c r="Z934">
        <v>3.18</v>
      </c>
      <c r="AA934">
        <v>9.73</v>
      </c>
      <c r="AB934">
        <v>125.38</v>
      </c>
      <c r="AC934">
        <v>214.32478632478629</v>
      </c>
      <c r="AD934">
        <v>115.0275229357798</v>
      </c>
      <c r="AE934">
        <v>71.08</v>
      </c>
      <c r="AF934">
        <v>19.93</v>
      </c>
      <c r="AG934">
        <v>1</v>
      </c>
      <c r="AH934">
        <v>12.37</v>
      </c>
      <c r="AI934">
        <v>61.37</v>
      </c>
      <c r="AJ934">
        <v>214.26</v>
      </c>
      <c r="AK934">
        <v>77.989999999999995</v>
      </c>
      <c r="AL934" t="s">
        <v>14</v>
      </c>
      <c r="AM934" t="s">
        <v>15</v>
      </c>
      <c r="AN934" t="str">
        <f t="shared" si="56"/>
        <v>Night</v>
      </c>
      <c r="AO934" t="str">
        <f t="shared" si="57"/>
        <v>Peak</v>
      </c>
      <c r="AP934" t="str">
        <f t="shared" si="58"/>
        <v>Medium</v>
      </c>
      <c r="AQ934" t="str">
        <f t="shared" si="59"/>
        <v>Medium</v>
      </c>
    </row>
    <row r="935" spans="1:43" x14ac:dyDescent="0.3">
      <c r="A935">
        <v>934</v>
      </c>
      <c r="B935" t="s">
        <v>25</v>
      </c>
      <c r="C935" t="s">
        <v>17</v>
      </c>
      <c r="D935" s="1">
        <v>46241</v>
      </c>
      <c r="E935" t="s">
        <v>9</v>
      </c>
      <c r="F935">
        <v>0</v>
      </c>
      <c r="G935">
        <v>19</v>
      </c>
      <c r="H935" t="s">
        <v>40</v>
      </c>
      <c r="I935" t="s">
        <v>50</v>
      </c>
      <c r="J935">
        <v>1.2</v>
      </c>
      <c r="K935" t="s">
        <v>12</v>
      </c>
      <c r="L935">
        <v>0</v>
      </c>
      <c r="M935">
        <v>4.1100000000000003</v>
      </c>
      <c r="N935">
        <v>72</v>
      </c>
      <c r="O935" t="s">
        <v>13</v>
      </c>
      <c r="P935">
        <v>17</v>
      </c>
      <c r="Q935">
        <v>6.98</v>
      </c>
      <c r="R935">
        <v>54.3</v>
      </c>
      <c r="S935">
        <v>136.03</v>
      </c>
      <c r="T935">
        <v>83.55</v>
      </c>
      <c r="U935">
        <v>1.26</v>
      </c>
      <c r="V935">
        <v>35.369999999999997</v>
      </c>
      <c r="W935">
        <v>254.95</v>
      </c>
      <c r="X935">
        <v>49.4</v>
      </c>
      <c r="Y935">
        <v>108.51</v>
      </c>
      <c r="Z935">
        <v>15.32</v>
      </c>
      <c r="AA935">
        <v>8.09</v>
      </c>
      <c r="AB935">
        <v>231.54</v>
      </c>
      <c r="AC935">
        <v>255.84530386740332</v>
      </c>
      <c r="AD935">
        <v>33.171919770773634</v>
      </c>
      <c r="AE935">
        <v>76.34</v>
      </c>
      <c r="AF935">
        <v>16.670000000000002</v>
      </c>
      <c r="AG935">
        <v>1</v>
      </c>
      <c r="AH935">
        <v>9.6999999999999993</v>
      </c>
      <c r="AI935">
        <v>81.7</v>
      </c>
      <c r="AJ935">
        <v>258.77</v>
      </c>
      <c r="AK935">
        <v>76.680000000000007</v>
      </c>
      <c r="AL935" t="s">
        <v>23</v>
      </c>
      <c r="AM935" t="s">
        <v>24</v>
      </c>
      <c r="AN935" t="str">
        <f t="shared" si="56"/>
        <v>Night</v>
      </c>
      <c r="AO935" t="str">
        <f t="shared" si="57"/>
        <v>Peak</v>
      </c>
      <c r="AP935" t="str">
        <f t="shared" si="58"/>
        <v>High</v>
      </c>
      <c r="AQ935" t="str">
        <f t="shared" si="59"/>
        <v>High</v>
      </c>
    </row>
    <row r="936" spans="1:43" x14ac:dyDescent="0.3">
      <c r="A936">
        <v>935</v>
      </c>
      <c r="B936" t="s">
        <v>29</v>
      </c>
      <c r="C936" t="s">
        <v>30</v>
      </c>
      <c r="D936" s="1">
        <v>46041</v>
      </c>
      <c r="E936" t="s">
        <v>38</v>
      </c>
      <c r="F936">
        <v>0</v>
      </c>
      <c r="G936">
        <v>7</v>
      </c>
      <c r="H936" t="s">
        <v>47</v>
      </c>
      <c r="I936" t="s">
        <v>20</v>
      </c>
      <c r="J936">
        <v>1.25</v>
      </c>
      <c r="K936" t="s">
        <v>12</v>
      </c>
      <c r="L936">
        <v>0</v>
      </c>
      <c r="M936">
        <v>2.39</v>
      </c>
      <c r="N936">
        <v>32</v>
      </c>
      <c r="O936" t="s">
        <v>22</v>
      </c>
      <c r="P936">
        <v>11</v>
      </c>
      <c r="Q936">
        <v>5.15</v>
      </c>
      <c r="R936">
        <v>46.2</v>
      </c>
      <c r="S936">
        <v>73.069999999999993</v>
      </c>
      <c r="T936">
        <v>17.63</v>
      </c>
      <c r="U936">
        <v>1</v>
      </c>
      <c r="V936">
        <v>0</v>
      </c>
      <c r="W936">
        <v>90.7</v>
      </c>
      <c r="X936">
        <v>35.9</v>
      </c>
      <c r="Y936">
        <v>108.94</v>
      </c>
      <c r="Z936">
        <v>15.62</v>
      </c>
      <c r="AA936">
        <v>7.07</v>
      </c>
      <c r="AB936">
        <v>68.010000000000005</v>
      </c>
      <c r="AC936">
        <v>88.324675324675326</v>
      </c>
      <c r="AD936">
        <v>13.205825242718447</v>
      </c>
      <c r="AE936">
        <v>85.87</v>
      </c>
      <c r="AF936">
        <v>15.61</v>
      </c>
      <c r="AG936">
        <v>0</v>
      </c>
      <c r="AH936">
        <v>11.35</v>
      </c>
      <c r="AI936">
        <v>43.35</v>
      </c>
      <c r="AJ936">
        <v>64.239999999999995</v>
      </c>
      <c r="AK936">
        <v>62.44</v>
      </c>
      <c r="AL936" t="s">
        <v>23</v>
      </c>
      <c r="AM936" t="s">
        <v>24</v>
      </c>
      <c r="AN936" t="str">
        <f t="shared" si="56"/>
        <v>Morning</v>
      </c>
      <c r="AO936" t="str">
        <f t="shared" si="57"/>
        <v>Peak</v>
      </c>
      <c r="AP936" t="str">
        <f t="shared" si="58"/>
        <v>Low</v>
      </c>
      <c r="AQ936" t="str">
        <f t="shared" si="59"/>
        <v>Low</v>
      </c>
    </row>
    <row r="937" spans="1:43" x14ac:dyDescent="0.3">
      <c r="A937">
        <v>936</v>
      </c>
      <c r="B937" t="s">
        <v>23</v>
      </c>
      <c r="C937" t="s">
        <v>17</v>
      </c>
      <c r="D937" s="1">
        <v>46081</v>
      </c>
      <c r="E937" t="s">
        <v>31</v>
      </c>
      <c r="F937">
        <v>1</v>
      </c>
      <c r="G937">
        <v>15</v>
      </c>
      <c r="H937" t="s">
        <v>19</v>
      </c>
      <c r="I937" t="s">
        <v>37</v>
      </c>
      <c r="J937">
        <v>1.02</v>
      </c>
      <c r="K937" t="s">
        <v>12</v>
      </c>
      <c r="L937">
        <v>0</v>
      </c>
      <c r="M937">
        <v>2.8</v>
      </c>
      <c r="N937">
        <v>25</v>
      </c>
      <c r="O937" t="s">
        <v>22</v>
      </c>
      <c r="P937">
        <v>6</v>
      </c>
      <c r="Q937">
        <v>5.0999999999999996</v>
      </c>
      <c r="R937">
        <v>41.2</v>
      </c>
      <c r="S937">
        <v>106.69</v>
      </c>
      <c r="T937">
        <v>45.43</v>
      </c>
      <c r="U937">
        <v>1</v>
      </c>
      <c r="V937">
        <v>0</v>
      </c>
      <c r="W937">
        <v>152.12</v>
      </c>
      <c r="X937">
        <v>48.5</v>
      </c>
      <c r="Y937">
        <v>107.59</v>
      </c>
      <c r="Z937">
        <v>11.3</v>
      </c>
      <c r="AA937">
        <v>11.29</v>
      </c>
      <c r="AB937">
        <v>129.53</v>
      </c>
      <c r="AC937">
        <v>188.63592233009706</v>
      </c>
      <c r="AD937">
        <v>25.398039215686275</v>
      </c>
      <c r="AE937">
        <v>85.05</v>
      </c>
      <c r="AF937">
        <v>19.010000000000002</v>
      </c>
      <c r="AG937">
        <v>1</v>
      </c>
      <c r="AH937">
        <v>-7.92</v>
      </c>
      <c r="AI937">
        <v>17.079999999999998</v>
      </c>
      <c r="AJ937">
        <v>165.58</v>
      </c>
      <c r="AK937">
        <v>68.14</v>
      </c>
      <c r="AL937" t="s">
        <v>23</v>
      </c>
      <c r="AM937" t="s">
        <v>24</v>
      </c>
      <c r="AN937" t="str">
        <f t="shared" si="56"/>
        <v>Evening</v>
      </c>
      <c r="AO937" t="str">
        <f t="shared" si="57"/>
        <v>Off-Peak</v>
      </c>
      <c r="AP937" t="str">
        <f t="shared" si="58"/>
        <v>Medium</v>
      </c>
      <c r="AQ937" t="str">
        <f t="shared" si="59"/>
        <v>Low</v>
      </c>
    </row>
    <row r="938" spans="1:43" x14ac:dyDescent="0.3">
      <c r="A938">
        <v>937</v>
      </c>
      <c r="B938" t="s">
        <v>14</v>
      </c>
      <c r="C938" t="s">
        <v>8</v>
      </c>
      <c r="D938" s="1">
        <v>46157</v>
      </c>
      <c r="E938" t="s">
        <v>9</v>
      </c>
      <c r="F938">
        <v>0</v>
      </c>
      <c r="G938">
        <v>8</v>
      </c>
      <c r="H938" t="s">
        <v>49</v>
      </c>
      <c r="I938" t="s">
        <v>39</v>
      </c>
      <c r="J938">
        <v>1.05</v>
      </c>
      <c r="K938" t="s">
        <v>12</v>
      </c>
      <c r="L938">
        <v>0</v>
      </c>
      <c r="M938">
        <v>1.92</v>
      </c>
      <c r="N938">
        <v>32</v>
      </c>
      <c r="O938" t="s">
        <v>22</v>
      </c>
      <c r="P938">
        <v>12</v>
      </c>
      <c r="Q938">
        <v>1.75</v>
      </c>
      <c r="R938">
        <v>18.7</v>
      </c>
      <c r="S938">
        <v>67.37</v>
      </c>
      <c r="T938">
        <v>32.04</v>
      </c>
      <c r="U938">
        <v>1</v>
      </c>
      <c r="V938">
        <v>0</v>
      </c>
      <c r="W938">
        <v>99.41</v>
      </c>
      <c r="X938">
        <v>44.2</v>
      </c>
      <c r="Y938">
        <v>103.2</v>
      </c>
      <c r="Z938">
        <v>4.08</v>
      </c>
      <c r="AA938">
        <v>5.95</v>
      </c>
      <c r="AB938">
        <v>89.38</v>
      </c>
      <c r="AC938">
        <v>286.78074866310163</v>
      </c>
      <c r="AD938">
        <v>51.074285714285715</v>
      </c>
      <c r="AE938">
        <v>76.069999999999993</v>
      </c>
      <c r="AF938">
        <v>11.83</v>
      </c>
      <c r="AG938">
        <v>0</v>
      </c>
      <c r="AH938">
        <v>5.57</v>
      </c>
      <c r="AI938">
        <v>37.57</v>
      </c>
      <c r="AJ938">
        <v>295.62</v>
      </c>
      <c r="AK938">
        <v>67.239999999999995</v>
      </c>
      <c r="AL938" t="s">
        <v>14</v>
      </c>
      <c r="AM938" t="s">
        <v>15</v>
      </c>
      <c r="AN938" t="str">
        <f t="shared" si="56"/>
        <v>Morning</v>
      </c>
      <c r="AO938" t="str">
        <f t="shared" si="57"/>
        <v>Peak</v>
      </c>
      <c r="AP938" t="str">
        <f t="shared" si="58"/>
        <v>High</v>
      </c>
      <c r="AQ938" t="str">
        <f t="shared" si="59"/>
        <v>Low</v>
      </c>
    </row>
    <row r="939" spans="1:43" x14ac:dyDescent="0.3">
      <c r="A939">
        <v>938</v>
      </c>
      <c r="B939" t="s">
        <v>14</v>
      </c>
      <c r="C939" t="s">
        <v>8</v>
      </c>
      <c r="D939" s="1">
        <v>46036</v>
      </c>
      <c r="E939" t="s">
        <v>18</v>
      </c>
      <c r="F939">
        <v>0</v>
      </c>
      <c r="G939">
        <v>18</v>
      </c>
      <c r="H939" t="s">
        <v>51</v>
      </c>
      <c r="I939" t="s">
        <v>45</v>
      </c>
      <c r="J939">
        <v>1</v>
      </c>
      <c r="K939" t="s">
        <v>34</v>
      </c>
      <c r="L939">
        <v>1</v>
      </c>
      <c r="M939">
        <v>4.92</v>
      </c>
      <c r="N939">
        <v>92</v>
      </c>
      <c r="O939" t="s">
        <v>13</v>
      </c>
      <c r="P939">
        <v>27</v>
      </c>
      <c r="Q939">
        <v>6.37</v>
      </c>
      <c r="R939">
        <v>47.9</v>
      </c>
      <c r="S939">
        <v>101.18</v>
      </c>
      <c r="T939">
        <v>100</v>
      </c>
      <c r="U939">
        <v>1</v>
      </c>
      <c r="V939">
        <v>0</v>
      </c>
      <c r="W939">
        <v>201.18</v>
      </c>
      <c r="X939">
        <v>48.8</v>
      </c>
      <c r="Y939">
        <v>100.38</v>
      </c>
      <c r="Z939">
        <v>13.12</v>
      </c>
      <c r="AA939">
        <v>11.01</v>
      </c>
      <c r="AB939">
        <v>177.05</v>
      </c>
      <c r="AC939">
        <v>221.77453027139876</v>
      </c>
      <c r="AD939">
        <v>27.794348508634226</v>
      </c>
      <c r="AE939">
        <v>79.819999999999993</v>
      </c>
      <c r="AF939">
        <v>15.8</v>
      </c>
      <c r="AG939">
        <v>1</v>
      </c>
      <c r="AH939">
        <v>-17.63</v>
      </c>
      <c r="AI939">
        <v>74.37</v>
      </c>
      <c r="AJ939">
        <v>213.63</v>
      </c>
      <c r="AK939">
        <v>75.11</v>
      </c>
      <c r="AL939" t="s">
        <v>14</v>
      </c>
      <c r="AM939" t="s">
        <v>15</v>
      </c>
      <c r="AN939" t="str">
        <f t="shared" si="56"/>
        <v>Night</v>
      </c>
      <c r="AO939" t="str">
        <f t="shared" si="57"/>
        <v>Peak</v>
      </c>
      <c r="AP939" t="str">
        <f t="shared" si="58"/>
        <v>Medium</v>
      </c>
      <c r="AQ939" t="str">
        <f t="shared" si="59"/>
        <v>High</v>
      </c>
    </row>
    <row r="940" spans="1:43" x14ac:dyDescent="0.3">
      <c r="A940">
        <v>939</v>
      </c>
      <c r="B940" t="s">
        <v>29</v>
      </c>
      <c r="C940" t="s">
        <v>30</v>
      </c>
      <c r="D940" s="1">
        <v>46244</v>
      </c>
      <c r="E940" t="s">
        <v>38</v>
      </c>
      <c r="F940">
        <v>0</v>
      </c>
      <c r="G940">
        <v>20</v>
      </c>
      <c r="H940" t="s">
        <v>32</v>
      </c>
      <c r="I940" t="s">
        <v>39</v>
      </c>
      <c r="J940">
        <v>1.05</v>
      </c>
      <c r="K940" t="s">
        <v>12</v>
      </c>
      <c r="L940">
        <v>0</v>
      </c>
      <c r="M940">
        <v>4.57</v>
      </c>
      <c r="N940">
        <v>62</v>
      </c>
      <c r="O940" t="s">
        <v>35</v>
      </c>
      <c r="P940">
        <v>19</v>
      </c>
      <c r="Q940">
        <v>1.58</v>
      </c>
      <c r="R940">
        <v>32.5</v>
      </c>
      <c r="S940">
        <v>56.1</v>
      </c>
      <c r="T940">
        <v>80.45</v>
      </c>
      <c r="U940">
        <v>1</v>
      </c>
      <c r="V940">
        <v>0</v>
      </c>
      <c r="W940">
        <v>136.55000000000001</v>
      </c>
      <c r="X940">
        <v>43.5</v>
      </c>
      <c r="Y940">
        <v>109.25</v>
      </c>
      <c r="Z940">
        <v>3.96</v>
      </c>
      <c r="AA940">
        <v>6.31</v>
      </c>
      <c r="AB940">
        <v>126.28</v>
      </c>
      <c r="AC940">
        <v>233.13230769230771</v>
      </c>
      <c r="AD940">
        <v>79.924050632911388</v>
      </c>
      <c r="AE940">
        <v>65.5</v>
      </c>
      <c r="AF940">
        <v>12.87</v>
      </c>
      <c r="AG940">
        <v>1</v>
      </c>
      <c r="AH940">
        <v>-11.8</v>
      </c>
      <c r="AI940">
        <v>50.2</v>
      </c>
      <c r="AJ940">
        <v>224.88</v>
      </c>
      <c r="AK940">
        <v>68.83</v>
      </c>
      <c r="AL940" t="s">
        <v>14</v>
      </c>
      <c r="AM940" t="s">
        <v>15</v>
      </c>
      <c r="AN940" t="str">
        <f t="shared" si="56"/>
        <v>Night</v>
      </c>
      <c r="AO940" t="str">
        <f t="shared" si="57"/>
        <v>Peak</v>
      </c>
      <c r="AP940" t="str">
        <f t="shared" si="58"/>
        <v>Medium</v>
      </c>
      <c r="AQ940" t="str">
        <f t="shared" si="59"/>
        <v>Medium</v>
      </c>
    </row>
    <row r="941" spans="1:43" x14ac:dyDescent="0.3">
      <c r="A941">
        <v>940</v>
      </c>
      <c r="B941" t="s">
        <v>29</v>
      </c>
      <c r="C941" t="s">
        <v>30</v>
      </c>
      <c r="D941" s="1">
        <v>46246</v>
      </c>
      <c r="E941" t="s">
        <v>18</v>
      </c>
      <c r="F941">
        <v>0</v>
      </c>
      <c r="G941">
        <v>20</v>
      </c>
      <c r="H941" t="s">
        <v>32</v>
      </c>
      <c r="I941" t="s">
        <v>20</v>
      </c>
      <c r="J941">
        <v>1.25</v>
      </c>
      <c r="K941" t="s">
        <v>12</v>
      </c>
      <c r="L941">
        <v>0</v>
      </c>
      <c r="M941">
        <v>5</v>
      </c>
      <c r="N941">
        <v>70</v>
      </c>
      <c r="O941" t="s">
        <v>35</v>
      </c>
      <c r="P941">
        <v>14</v>
      </c>
      <c r="Q941">
        <v>9.5500000000000007</v>
      </c>
      <c r="R941">
        <v>64.599999999999994</v>
      </c>
      <c r="S941">
        <v>118.44</v>
      </c>
      <c r="T941">
        <v>83.28</v>
      </c>
      <c r="U941">
        <v>1</v>
      </c>
      <c r="V941">
        <v>0</v>
      </c>
      <c r="W941">
        <v>201.72</v>
      </c>
      <c r="X941">
        <v>47.3</v>
      </c>
      <c r="Y941">
        <v>109.92</v>
      </c>
      <c r="Z941">
        <v>22.18</v>
      </c>
      <c r="AA941">
        <v>9.57</v>
      </c>
      <c r="AB941">
        <v>169.97</v>
      </c>
      <c r="AC941">
        <v>157.86687306501548</v>
      </c>
      <c r="AD941">
        <v>17.797905759162301</v>
      </c>
      <c r="AE941">
        <v>91.35</v>
      </c>
      <c r="AF941">
        <v>18.170000000000002</v>
      </c>
      <c r="AG941">
        <v>1</v>
      </c>
      <c r="AH941">
        <v>3.51</v>
      </c>
      <c r="AI941">
        <v>73.510000000000005</v>
      </c>
      <c r="AJ941">
        <v>164.29</v>
      </c>
      <c r="AK941">
        <v>72.31</v>
      </c>
      <c r="AL941" t="s">
        <v>14</v>
      </c>
      <c r="AM941" t="s">
        <v>15</v>
      </c>
      <c r="AN941" t="str">
        <f t="shared" si="56"/>
        <v>Night</v>
      </c>
      <c r="AO941" t="str">
        <f t="shared" si="57"/>
        <v>Peak</v>
      </c>
      <c r="AP941" t="str">
        <f t="shared" si="58"/>
        <v>Medium</v>
      </c>
      <c r="AQ941" t="str">
        <f t="shared" si="59"/>
        <v>Medium</v>
      </c>
    </row>
    <row r="942" spans="1:43" x14ac:dyDescent="0.3">
      <c r="A942">
        <v>941</v>
      </c>
      <c r="B942" t="s">
        <v>25</v>
      </c>
      <c r="C942" t="s">
        <v>17</v>
      </c>
      <c r="D942" s="1">
        <v>46162</v>
      </c>
      <c r="E942" t="s">
        <v>18</v>
      </c>
      <c r="F942">
        <v>0</v>
      </c>
      <c r="G942">
        <v>16</v>
      </c>
      <c r="H942" t="s">
        <v>19</v>
      </c>
      <c r="I942" t="s">
        <v>33</v>
      </c>
      <c r="J942">
        <v>1</v>
      </c>
      <c r="K942" t="s">
        <v>12</v>
      </c>
      <c r="L942">
        <v>0</v>
      </c>
      <c r="M942">
        <v>2.5</v>
      </c>
      <c r="N942">
        <v>5</v>
      </c>
      <c r="O942" t="s">
        <v>22</v>
      </c>
      <c r="P942">
        <v>1</v>
      </c>
      <c r="Q942">
        <v>7.59</v>
      </c>
      <c r="R942">
        <v>45.4</v>
      </c>
      <c r="S942">
        <v>145.96</v>
      </c>
      <c r="T942">
        <v>21.15</v>
      </c>
      <c r="U942">
        <v>1.1100000000000001</v>
      </c>
      <c r="V942">
        <v>16.059999999999999</v>
      </c>
      <c r="W942">
        <v>183.17</v>
      </c>
      <c r="X942">
        <v>45.8</v>
      </c>
      <c r="Y942">
        <v>101.27</v>
      </c>
      <c r="Z942">
        <v>16.77</v>
      </c>
      <c r="AA942">
        <v>11.16</v>
      </c>
      <c r="AB942">
        <v>155.24</v>
      </c>
      <c r="AC942">
        <v>205.16299559471369</v>
      </c>
      <c r="AD942">
        <v>20.453227931488804</v>
      </c>
      <c r="AE942">
        <v>80.69</v>
      </c>
      <c r="AF942">
        <v>17.28</v>
      </c>
      <c r="AG942">
        <v>0</v>
      </c>
      <c r="AH942">
        <v>6.94</v>
      </c>
      <c r="AI942">
        <v>11.94</v>
      </c>
      <c r="AJ942">
        <v>198.99</v>
      </c>
      <c r="AK942">
        <v>60</v>
      </c>
      <c r="AL942" t="s">
        <v>23</v>
      </c>
      <c r="AM942" t="s">
        <v>24</v>
      </c>
      <c r="AN942" t="str">
        <f t="shared" si="56"/>
        <v>Evening</v>
      </c>
      <c r="AO942" t="str">
        <f t="shared" si="57"/>
        <v>Off-Peak</v>
      </c>
      <c r="AP942" t="str">
        <f t="shared" si="58"/>
        <v>Medium</v>
      </c>
      <c r="AQ942" t="str">
        <f t="shared" si="59"/>
        <v>Low</v>
      </c>
    </row>
    <row r="943" spans="1:43" x14ac:dyDescent="0.3">
      <c r="A943">
        <v>942</v>
      </c>
      <c r="B943" t="s">
        <v>48</v>
      </c>
      <c r="C943" t="s">
        <v>30</v>
      </c>
      <c r="D943" s="1">
        <v>46101</v>
      </c>
      <c r="E943" t="s">
        <v>9</v>
      </c>
      <c r="F943">
        <v>0</v>
      </c>
      <c r="G943">
        <v>17</v>
      </c>
      <c r="H943" t="s">
        <v>32</v>
      </c>
      <c r="I943" t="s">
        <v>11</v>
      </c>
      <c r="J943">
        <v>1.18</v>
      </c>
      <c r="K943" t="s">
        <v>21</v>
      </c>
      <c r="L943">
        <v>0</v>
      </c>
      <c r="M943">
        <v>3.89</v>
      </c>
      <c r="N943">
        <v>67</v>
      </c>
      <c r="O943" t="s">
        <v>35</v>
      </c>
      <c r="P943">
        <v>24</v>
      </c>
      <c r="Q943">
        <v>10.62</v>
      </c>
      <c r="R943">
        <v>74</v>
      </c>
      <c r="S943">
        <v>131.25</v>
      </c>
      <c r="T943">
        <v>74.37</v>
      </c>
      <c r="U943">
        <v>1</v>
      </c>
      <c r="V943">
        <v>0</v>
      </c>
      <c r="W943">
        <v>205.62</v>
      </c>
      <c r="X943">
        <v>42.9</v>
      </c>
      <c r="Y943">
        <v>106.86</v>
      </c>
      <c r="Z943">
        <v>26.47</v>
      </c>
      <c r="AA943">
        <v>7.51</v>
      </c>
      <c r="AB943">
        <v>171.64</v>
      </c>
      <c r="AC943">
        <v>139.16756756756754</v>
      </c>
      <c r="AD943">
        <v>16.161958568738228</v>
      </c>
      <c r="AE943">
        <v>83.38</v>
      </c>
      <c r="AF943">
        <v>13.49</v>
      </c>
      <c r="AG943">
        <v>1</v>
      </c>
      <c r="AH943">
        <v>-21.43</v>
      </c>
      <c r="AI943">
        <v>45.57</v>
      </c>
      <c r="AJ943">
        <v>160.49</v>
      </c>
      <c r="AK943">
        <v>70.150000000000006</v>
      </c>
      <c r="AL943" t="s">
        <v>23</v>
      </c>
      <c r="AM943" t="s">
        <v>24</v>
      </c>
      <c r="AN943" t="str">
        <f t="shared" si="56"/>
        <v>Evening</v>
      </c>
      <c r="AO943" t="str">
        <f t="shared" si="57"/>
        <v>Peak</v>
      </c>
      <c r="AP943" t="str">
        <f t="shared" si="58"/>
        <v>Low</v>
      </c>
      <c r="AQ943" t="str">
        <f t="shared" si="59"/>
        <v>Medium</v>
      </c>
    </row>
    <row r="944" spans="1:43" x14ac:dyDescent="0.3">
      <c r="A944">
        <v>943</v>
      </c>
      <c r="B944" t="s">
        <v>23</v>
      </c>
      <c r="C944" t="s">
        <v>17</v>
      </c>
      <c r="D944" s="1">
        <v>46048</v>
      </c>
      <c r="E944" t="s">
        <v>38</v>
      </c>
      <c r="F944">
        <v>0</v>
      </c>
      <c r="G944">
        <v>21</v>
      </c>
      <c r="H944" t="s">
        <v>19</v>
      </c>
      <c r="I944" t="s">
        <v>28</v>
      </c>
      <c r="J944">
        <v>1.03</v>
      </c>
      <c r="K944" t="s">
        <v>12</v>
      </c>
      <c r="L944">
        <v>0</v>
      </c>
      <c r="M944">
        <v>3.64</v>
      </c>
      <c r="N944">
        <v>68</v>
      </c>
      <c r="O944" t="s">
        <v>35</v>
      </c>
      <c r="P944">
        <v>13</v>
      </c>
      <c r="Q944">
        <v>3.86</v>
      </c>
      <c r="R944">
        <v>31.1</v>
      </c>
      <c r="S944">
        <v>104.13</v>
      </c>
      <c r="T944">
        <v>88.54</v>
      </c>
      <c r="U944">
        <v>1.36</v>
      </c>
      <c r="V944">
        <v>37.49</v>
      </c>
      <c r="W944">
        <v>230.16</v>
      </c>
      <c r="X944">
        <v>40.4</v>
      </c>
      <c r="Y944">
        <v>104.25</v>
      </c>
      <c r="Z944">
        <v>9.9600000000000009</v>
      </c>
      <c r="AA944">
        <v>5.0999999999999996</v>
      </c>
      <c r="AB944">
        <v>215.1</v>
      </c>
      <c r="AC944">
        <v>414.98392282958201</v>
      </c>
      <c r="AD944">
        <v>55.725388601036272</v>
      </c>
      <c r="AE944">
        <v>59.24</v>
      </c>
      <c r="AF944">
        <v>17.95</v>
      </c>
      <c r="AG944">
        <v>1</v>
      </c>
      <c r="AH944">
        <v>-12.86</v>
      </c>
      <c r="AI944">
        <v>55.14</v>
      </c>
      <c r="AJ944">
        <v>400</v>
      </c>
      <c r="AK944">
        <v>63.86</v>
      </c>
      <c r="AL944" t="s">
        <v>14</v>
      </c>
      <c r="AM944" t="s">
        <v>15</v>
      </c>
      <c r="AN944" t="str">
        <f t="shared" si="56"/>
        <v>Night</v>
      </c>
      <c r="AO944" t="str">
        <f t="shared" si="57"/>
        <v>Off-Peak</v>
      </c>
      <c r="AP944" t="str">
        <f t="shared" si="58"/>
        <v>High</v>
      </c>
      <c r="AQ944" t="str">
        <f t="shared" si="59"/>
        <v>Medium</v>
      </c>
    </row>
    <row r="945" spans="1:43" x14ac:dyDescent="0.3">
      <c r="A945">
        <v>944</v>
      </c>
      <c r="B945" t="s">
        <v>29</v>
      </c>
      <c r="C945" t="s">
        <v>30</v>
      </c>
      <c r="D945" s="1">
        <v>46182</v>
      </c>
      <c r="E945" t="s">
        <v>44</v>
      </c>
      <c r="F945">
        <v>0</v>
      </c>
      <c r="G945">
        <v>16</v>
      </c>
      <c r="H945" t="s">
        <v>32</v>
      </c>
      <c r="I945" t="s">
        <v>37</v>
      </c>
      <c r="J945">
        <v>1.02</v>
      </c>
      <c r="K945" t="s">
        <v>12</v>
      </c>
      <c r="L945">
        <v>0</v>
      </c>
      <c r="M945">
        <v>3.17</v>
      </c>
      <c r="N945">
        <v>24</v>
      </c>
      <c r="O945" t="s">
        <v>22</v>
      </c>
      <c r="P945">
        <v>7</v>
      </c>
      <c r="Q945">
        <v>3.36</v>
      </c>
      <c r="R945">
        <v>42.8</v>
      </c>
      <c r="S945">
        <v>75.97</v>
      </c>
      <c r="T945">
        <v>27.83</v>
      </c>
      <c r="U945">
        <v>1</v>
      </c>
      <c r="V945">
        <v>0</v>
      </c>
      <c r="W945">
        <v>103.8</v>
      </c>
      <c r="X945">
        <v>35</v>
      </c>
      <c r="Y945">
        <v>101.49</v>
      </c>
      <c r="Z945">
        <v>9.7200000000000006</v>
      </c>
      <c r="AA945">
        <v>2.5099999999999998</v>
      </c>
      <c r="AB945">
        <v>91.57</v>
      </c>
      <c r="AC945">
        <v>128.36915887850466</v>
      </c>
      <c r="AD945">
        <v>27.25297619047619</v>
      </c>
      <c r="AE945">
        <v>74.25</v>
      </c>
      <c r="AF945">
        <v>14.48</v>
      </c>
      <c r="AG945">
        <v>0</v>
      </c>
      <c r="AH945">
        <v>-2.48</v>
      </c>
      <c r="AI945">
        <v>21.52</v>
      </c>
      <c r="AJ945">
        <v>116.26</v>
      </c>
      <c r="AK945">
        <v>69.33</v>
      </c>
      <c r="AL945" t="s">
        <v>14</v>
      </c>
      <c r="AM945" t="s">
        <v>15</v>
      </c>
      <c r="AN945" t="str">
        <f t="shared" si="56"/>
        <v>Evening</v>
      </c>
      <c r="AO945" t="str">
        <f t="shared" si="57"/>
        <v>Off-Peak</v>
      </c>
      <c r="AP945" t="str">
        <f t="shared" si="58"/>
        <v>Low</v>
      </c>
      <c r="AQ945" t="str">
        <f t="shared" si="59"/>
        <v>Low</v>
      </c>
    </row>
    <row r="946" spans="1:43" x14ac:dyDescent="0.3">
      <c r="A946">
        <v>945</v>
      </c>
      <c r="B946" t="s">
        <v>7</v>
      </c>
      <c r="C946" t="s">
        <v>8</v>
      </c>
      <c r="D946" s="1">
        <v>46161</v>
      </c>
      <c r="E946" t="s">
        <v>44</v>
      </c>
      <c r="F946">
        <v>0</v>
      </c>
      <c r="G946">
        <v>14</v>
      </c>
      <c r="H946" t="s">
        <v>10</v>
      </c>
      <c r="I946" t="s">
        <v>50</v>
      </c>
      <c r="J946">
        <v>1.2</v>
      </c>
      <c r="K946" t="s">
        <v>12</v>
      </c>
      <c r="L946">
        <v>0</v>
      </c>
      <c r="M946">
        <v>4.41</v>
      </c>
      <c r="N946">
        <v>76</v>
      </c>
      <c r="O946" t="s">
        <v>13</v>
      </c>
      <c r="P946">
        <v>34</v>
      </c>
      <c r="Q946">
        <v>2.76</v>
      </c>
      <c r="R946">
        <v>38.799999999999997</v>
      </c>
      <c r="S946">
        <v>65.650000000000006</v>
      </c>
      <c r="T946">
        <v>90.48</v>
      </c>
      <c r="U946">
        <v>1</v>
      </c>
      <c r="V946">
        <v>0</v>
      </c>
      <c r="W946">
        <v>156.13</v>
      </c>
      <c r="X946">
        <v>38.799999999999997</v>
      </c>
      <c r="Y946">
        <v>109.98</v>
      </c>
      <c r="Z946">
        <v>7.82</v>
      </c>
      <c r="AA946">
        <v>10.09</v>
      </c>
      <c r="AB946">
        <v>138.22</v>
      </c>
      <c r="AC946">
        <v>213.74226804123714</v>
      </c>
      <c r="AD946">
        <v>50.079710144927539</v>
      </c>
      <c r="AE946">
        <v>77.06</v>
      </c>
      <c r="AF946">
        <v>15.26</v>
      </c>
      <c r="AG946">
        <v>1</v>
      </c>
      <c r="AH946">
        <v>17.38</v>
      </c>
      <c r="AI946">
        <v>93.38</v>
      </c>
      <c r="AJ946">
        <v>236.21</v>
      </c>
      <c r="AK946">
        <v>75.23</v>
      </c>
      <c r="AL946" t="s">
        <v>14</v>
      </c>
      <c r="AM946" t="s">
        <v>15</v>
      </c>
      <c r="AN946" t="str">
        <f t="shared" si="56"/>
        <v>Afternoon</v>
      </c>
      <c r="AO946" t="str">
        <f t="shared" si="57"/>
        <v>Off-Peak</v>
      </c>
      <c r="AP946" t="str">
        <f t="shared" si="58"/>
        <v>Medium</v>
      </c>
      <c r="AQ946" t="str">
        <f t="shared" si="59"/>
        <v>High</v>
      </c>
    </row>
    <row r="947" spans="1:43" x14ac:dyDescent="0.3">
      <c r="A947">
        <v>946</v>
      </c>
      <c r="B947" t="s">
        <v>7</v>
      </c>
      <c r="C947" t="s">
        <v>8</v>
      </c>
      <c r="D947" s="1">
        <v>46219</v>
      </c>
      <c r="E947" t="s">
        <v>41</v>
      </c>
      <c r="F947">
        <v>0</v>
      </c>
      <c r="G947">
        <v>19</v>
      </c>
      <c r="H947" t="s">
        <v>51</v>
      </c>
      <c r="I947" t="s">
        <v>20</v>
      </c>
      <c r="J947">
        <v>1.25</v>
      </c>
      <c r="K947" t="s">
        <v>21</v>
      </c>
      <c r="L947">
        <v>0</v>
      </c>
      <c r="M947">
        <v>4.0599999999999996</v>
      </c>
      <c r="N947">
        <v>75</v>
      </c>
      <c r="O947" t="s">
        <v>13</v>
      </c>
      <c r="P947">
        <v>37</v>
      </c>
      <c r="Q947">
        <v>13.98</v>
      </c>
      <c r="R947">
        <v>86.9</v>
      </c>
      <c r="S947">
        <v>154.54</v>
      </c>
      <c r="T947">
        <v>88.54</v>
      </c>
      <c r="U947">
        <v>1</v>
      </c>
      <c r="V947">
        <v>0</v>
      </c>
      <c r="W947">
        <v>243.08</v>
      </c>
      <c r="X947">
        <v>49.3</v>
      </c>
      <c r="Y947">
        <v>109.33</v>
      </c>
      <c r="Z947">
        <v>31.02</v>
      </c>
      <c r="AA947">
        <v>8.2200000000000006</v>
      </c>
      <c r="AB947">
        <v>203.84</v>
      </c>
      <c r="AC947">
        <v>140.741081703107</v>
      </c>
      <c r="AD947">
        <v>14.580829756795422</v>
      </c>
      <c r="AE947">
        <v>83.46</v>
      </c>
      <c r="AF947">
        <v>15.7</v>
      </c>
      <c r="AG947">
        <v>1</v>
      </c>
      <c r="AH947">
        <v>-9.1999999999999993</v>
      </c>
      <c r="AI947">
        <v>65.8</v>
      </c>
      <c r="AJ947">
        <v>159.63</v>
      </c>
      <c r="AK947">
        <v>72.680000000000007</v>
      </c>
      <c r="AL947" t="s">
        <v>14</v>
      </c>
      <c r="AM947" t="s">
        <v>15</v>
      </c>
      <c r="AN947" t="str">
        <f t="shared" si="56"/>
        <v>Night</v>
      </c>
      <c r="AO947" t="str">
        <f t="shared" si="57"/>
        <v>Peak</v>
      </c>
      <c r="AP947" t="str">
        <f t="shared" si="58"/>
        <v>Low</v>
      </c>
      <c r="AQ947" t="str">
        <f t="shared" si="59"/>
        <v>High</v>
      </c>
    </row>
    <row r="948" spans="1:43" x14ac:dyDescent="0.3">
      <c r="A948">
        <v>947</v>
      </c>
      <c r="B948" t="s">
        <v>23</v>
      </c>
      <c r="C948" t="s">
        <v>17</v>
      </c>
      <c r="D948" s="1">
        <v>46178</v>
      </c>
      <c r="E948" t="s">
        <v>9</v>
      </c>
      <c r="F948">
        <v>0</v>
      </c>
      <c r="G948">
        <v>16</v>
      </c>
      <c r="H948" t="s">
        <v>19</v>
      </c>
      <c r="I948" t="s">
        <v>46</v>
      </c>
      <c r="J948">
        <v>1.1499999999999999</v>
      </c>
      <c r="K948" t="s">
        <v>21</v>
      </c>
      <c r="L948">
        <v>0</v>
      </c>
      <c r="M948">
        <v>3.87</v>
      </c>
      <c r="N948">
        <v>22</v>
      </c>
      <c r="O948" t="s">
        <v>22</v>
      </c>
      <c r="P948">
        <v>4</v>
      </c>
      <c r="Q948">
        <v>5.74</v>
      </c>
      <c r="R948">
        <v>44.1</v>
      </c>
      <c r="S948">
        <v>122.95</v>
      </c>
      <c r="T948">
        <v>37.21</v>
      </c>
      <c r="U948">
        <v>1.1200000000000001</v>
      </c>
      <c r="V948">
        <v>14.75</v>
      </c>
      <c r="W948">
        <v>174.91</v>
      </c>
      <c r="X948">
        <v>39.1</v>
      </c>
      <c r="Y948">
        <v>109.83</v>
      </c>
      <c r="Z948">
        <v>16.100000000000001</v>
      </c>
      <c r="AA948">
        <v>4.63</v>
      </c>
      <c r="AB948">
        <v>154.18</v>
      </c>
      <c r="AC948">
        <v>209.76870748299322</v>
      </c>
      <c r="AD948">
        <v>26.860627177700348</v>
      </c>
      <c r="AE948">
        <v>70.150000000000006</v>
      </c>
      <c r="AF948">
        <v>20</v>
      </c>
      <c r="AG948">
        <v>0</v>
      </c>
      <c r="AH948">
        <v>5.1100000000000003</v>
      </c>
      <c r="AI948">
        <v>27.11</v>
      </c>
      <c r="AJ948">
        <v>188.52</v>
      </c>
      <c r="AK948">
        <v>64.92</v>
      </c>
      <c r="AL948" t="s">
        <v>23</v>
      </c>
      <c r="AM948" t="s">
        <v>24</v>
      </c>
      <c r="AN948" t="str">
        <f t="shared" si="56"/>
        <v>Evening</v>
      </c>
      <c r="AO948" t="str">
        <f t="shared" si="57"/>
        <v>Off-Peak</v>
      </c>
      <c r="AP948" t="str">
        <f t="shared" si="58"/>
        <v>Medium</v>
      </c>
      <c r="AQ948" t="str">
        <f t="shared" si="59"/>
        <v>Low</v>
      </c>
    </row>
    <row r="949" spans="1:43" x14ac:dyDescent="0.3">
      <c r="A949">
        <v>948</v>
      </c>
      <c r="B949" t="s">
        <v>7</v>
      </c>
      <c r="C949" t="s">
        <v>8</v>
      </c>
      <c r="D949" s="1">
        <v>46056</v>
      </c>
      <c r="E949" t="s">
        <v>44</v>
      </c>
      <c r="F949">
        <v>0</v>
      </c>
      <c r="G949">
        <v>20</v>
      </c>
      <c r="H949" t="s">
        <v>51</v>
      </c>
      <c r="I949" t="s">
        <v>28</v>
      </c>
      <c r="J949">
        <v>1.03</v>
      </c>
      <c r="K949" t="s">
        <v>12</v>
      </c>
      <c r="L949">
        <v>0</v>
      </c>
      <c r="M949">
        <v>3.61</v>
      </c>
      <c r="N949">
        <v>71</v>
      </c>
      <c r="O949" t="s">
        <v>13</v>
      </c>
      <c r="P949">
        <v>28</v>
      </c>
      <c r="Q949">
        <v>1.35</v>
      </c>
      <c r="R949">
        <v>32.299999999999997</v>
      </c>
      <c r="S949">
        <v>59.07</v>
      </c>
      <c r="T949">
        <v>88.11</v>
      </c>
      <c r="U949">
        <v>1</v>
      </c>
      <c r="V949">
        <v>0</v>
      </c>
      <c r="W949">
        <v>147.18</v>
      </c>
      <c r="X949">
        <v>46.3</v>
      </c>
      <c r="Y949">
        <v>101.44</v>
      </c>
      <c r="Z949">
        <v>2.95</v>
      </c>
      <c r="AA949">
        <v>10.77</v>
      </c>
      <c r="AB949">
        <v>133.46</v>
      </c>
      <c r="AC949">
        <v>247.91331269349845</v>
      </c>
      <c r="AD949">
        <v>98.859259259259261</v>
      </c>
      <c r="AE949">
        <v>75.83</v>
      </c>
      <c r="AF949">
        <v>13.21</v>
      </c>
      <c r="AG949">
        <v>1</v>
      </c>
      <c r="AH949">
        <v>6.68</v>
      </c>
      <c r="AI949">
        <v>77.680000000000007</v>
      </c>
      <c r="AJ949">
        <v>259.64999999999998</v>
      </c>
      <c r="AK949">
        <v>75.709999999999994</v>
      </c>
      <c r="AL949" t="s">
        <v>14</v>
      </c>
      <c r="AM949" t="s">
        <v>15</v>
      </c>
      <c r="AN949" t="str">
        <f t="shared" si="56"/>
        <v>Night</v>
      </c>
      <c r="AO949" t="str">
        <f t="shared" si="57"/>
        <v>Peak</v>
      </c>
      <c r="AP949" t="str">
        <f t="shared" si="58"/>
        <v>Medium</v>
      </c>
      <c r="AQ949" t="str">
        <f t="shared" si="59"/>
        <v>High</v>
      </c>
    </row>
    <row r="950" spans="1:43" x14ac:dyDescent="0.3">
      <c r="A950">
        <v>949</v>
      </c>
      <c r="B950" t="s">
        <v>23</v>
      </c>
      <c r="C950" t="s">
        <v>17</v>
      </c>
      <c r="D950" s="1">
        <v>46054</v>
      </c>
      <c r="E950" t="s">
        <v>26</v>
      </c>
      <c r="F950">
        <v>1</v>
      </c>
      <c r="G950">
        <v>15</v>
      </c>
      <c r="H950" t="s">
        <v>19</v>
      </c>
      <c r="I950" t="s">
        <v>11</v>
      </c>
      <c r="J950">
        <v>1.18</v>
      </c>
      <c r="K950" t="s">
        <v>21</v>
      </c>
      <c r="L950">
        <v>0</v>
      </c>
      <c r="M950">
        <v>3.79</v>
      </c>
      <c r="N950">
        <v>58</v>
      </c>
      <c r="O950" t="s">
        <v>35</v>
      </c>
      <c r="P950">
        <v>8</v>
      </c>
      <c r="Q950">
        <v>8.84</v>
      </c>
      <c r="R950">
        <v>62.9</v>
      </c>
      <c r="S950">
        <v>156.65</v>
      </c>
      <c r="T950">
        <v>60.77</v>
      </c>
      <c r="U950">
        <v>1</v>
      </c>
      <c r="V950">
        <v>0</v>
      </c>
      <c r="W950">
        <v>217.42</v>
      </c>
      <c r="X950">
        <v>42.6</v>
      </c>
      <c r="Y950">
        <v>104.92</v>
      </c>
      <c r="Z950">
        <v>21.76</v>
      </c>
      <c r="AA950">
        <v>11.2</v>
      </c>
      <c r="AB950">
        <v>184.46</v>
      </c>
      <c r="AC950">
        <v>175.95548489666137</v>
      </c>
      <c r="AD950">
        <v>20.866515837104075</v>
      </c>
      <c r="AE950">
        <v>81.599999999999994</v>
      </c>
      <c r="AF950">
        <v>16.239999999999998</v>
      </c>
      <c r="AG950">
        <v>1</v>
      </c>
      <c r="AH950">
        <v>-0.75</v>
      </c>
      <c r="AI950">
        <v>57.25</v>
      </c>
      <c r="AJ950">
        <v>165.17</v>
      </c>
      <c r="AK950">
        <v>73.09</v>
      </c>
      <c r="AL950" t="s">
        <v>23</v>
      </c>
      <c r="AM950" t="s">
        <v>24</v>
      </c>
      <c r="AN950" t="str">
        <f t="shared" si="56"/>
        <v>Evening</v>
      </c>
      <c r="AO950" t="str">
        <f t="shared" si="57"/>
        <v>Off-Peak</v>
      </c>
      <c r="AP950" t="str">
        <f t="shared" si="58"/>
        <v>Medium</v>
      </c>
      <c r="AQ950" t="str">
        <f t="shared" si="59"/>
        <v>Medium</v>
      </c>
    </row>
    <row r="951" spans="1:43" x14ac:dyDescent="0.3">
      <c r="A951">
        <v>950</v>
      </c>
      <c r="B951" t="s">
        <v>14</v>
      </c>
      <c r="C951" t="s">
        <v>8</v>
      </c>
      <c r="D951" s="1">
        <v>46224</v>
      </c>
      <c r="E951" t="s">
        <v>44</v>
      </c>
      <c r="F951">
        <v>0</v>
      </c>
      <c r="G951">
        <v>20</v>
      </c>
      <c r="H951" t="s">
        <v>51</v>
      </c>
      <c r="I951" t="s">
        <v>11</v>
      </c>
      <c r="J951">
        <v>1.18</v>
      </c>
      <c r="K951" t="s">
        <v>12</v>
      </c>
      <c r="L951">
        <v>0</v>
      </c>
      <c r="M951">
        <v>4.53</v>
      </c>
      <c r="N951">
        <v>70</v>
      </c>
      <c r="O951" t="s">
        <v>35</v>
      </c>
      <c r="P951">
        <v>30</v>
      </c>
      <c r="Q951">
        <v>3.26</v>
      </c>
      <c r="R951">
        <v>37.4</v>
      </c>
      <c r="S951">
        <v>77.349999999999994</v>
      </c>
      <c r="T951">
        <v>73.59</v>
      </c>
      <c r="U951">
        <v>1</v>
      </c>
      <c r="V951">
        <v>0</v>
      </c>
      <c r="W951">
        <v>150.94</v>
      </c>
      <c r="X951">
        <v>39.6</v>
      </c>
      <c r="Y951">
        <v>108.96</v>
      </c>
      <c r="Z951">
        <v>8.9700000000000006</v>
      </c>
      <c r="AA951">
        <v>10.87</v>
      </c>
      <c r="AB951">
        <v>131.1</v>
      </c>
      <c r="AC951">
        <v>210.32085561497325</v>
      </c>
      <c r="AD951">
        <v>40.214723926380366</v>
      </c>
      <c r="AE951">
        <v>71.41</v>
      </c>
      <c r="AF951">
        <v>17.899999999999999</v>
      </c>
      <c r="AG951">
        <v>1</v>
      </c>
      <c r="AH951">
        <v>7.02</v>
      </c>
      <c r="AI951">
        <v>77.02</v>
      </c>
      <c r="AJ951">
        <v>207.38</v>
      </c>
      <c r="AK951">
        <v>76.430000000000007</v>
      </c>
      <c r="AL951" t="s">
        <v>14</v>
      </c>
      <c r="AM951" t="s">
        <v>15</v>
      </c>
      <c r="AN951" t="str">
        <f t="shared" si="56"/>
        <v>Night</v>
      </c>
      <c r="AO951" t="str">
        <f t="shared" si="57"/>
        <v>Peak</v>
      </c>
      <c r="AP951" t="str">
        <f t="shared" si="58"/>
        <v>Medium</v>
      </c>
      <c r="AQ951" t="str">
        <f t="shared" si="59"/>
        <v>Medium</v>
      </c>
    </row>
    <row r="952" spans="1:43" x14ac:dyDescent="0.3">
      <c r="A952">
        <v>951</v>
      </c>
      <c r="B952" t="s">
        <v>7</v>
      </c>
      <c r="C952" t="s">
        <v>8</v>
      </c>
      <c r="D952" s="1">
        <v>46064</v>
      </c>
      <c r="E952" t="s">
        <v>18</v>
      </c>
      <c r="F952">
        <v>0</v>
      </c>
      <c r="G952">
        <v>7</v>
      </c>
      <c r="H952" t="s">
        <v>49</v>
      </c>
      <c r="I952" t="s">
        <v>50</v>
      </c>
      <c r="J952">
        <v>1.2</v>
      </c>
      <c r="K952" t="s">
        <v>12</v>
      </c>
      <c r="L952">
        <v>0</v>
      </c>
      <c r="M952">
        <v>2.99</v>
      </c>
      <c r="N952">
        <v>30</v>
      </c>
      <c r="O952" t="s">
        <v>22</v>
      </c>
      <c r="P952">
        <v>10</v>
      </c>
      <c r="Q952">
        <v>1</v>
      </c>
      <c r="R952">
        <v>25.5</v>
      </c>
      <c r="S952">
        <v>55.49</v>
      </c>
      <c r="T952">
        <v>31.5</v>
      </c>
      <c r="U952">
        <v>1</v>
      </c>
      <c r="V952">
        <v>0</v>
      </c>
      <c r="W952">
        <v>86.99</v>
      </c>
      <c r="X952">
        <v>49.9</v>
      </c>
      <c r="Y952">
        <v>106.75</v>
      </c>
      <c r="Z952">
        <v>2.14</v>
      </c>
      <c r="AA952">
        <v>8.02</v>
      </c>
      <c r="AB952">
        <v>76.83</v>
      </c>
      <c r="AC952">
        <v>180.7764705882353</v>
      </c>
      <c r="AD952">
        <v>76.83</v>
      </c>
      <c r="AE952">
        <v>69.81</v>
      </c>
      <c r="AF952">
        <v>16.57</v>
      </c>
      <c r="AG952">
        <v>0</v>
      </c>
      <c r="AH952">
        <v>-17.170000000000002</v>
      </c>
      <c r="AI952">
        <v>12.83</v>
      </c>
      <c r="AJ952">
        <v>209.1</v>
      </c>
      <c r="AK952">
        <v>61.5</v>
      </c>
      <c r="AL952" t="s">
        <v>14</v>
      </c>
      <c r="AM952" t="s">
        <v>15</v>
      </c>
      <c r="AN952" t="str">
        <f t="shared" si="56"/>
        <v>Morning</v>
      </c>
      <c r="AO952" t="str">
        <f t="shared" si="57"/>
        <v>Peak</v>
      </c>
      <c r="AP952" t="str">
        <f t="shared" si="58"/>
        <v>Medium</v>
      </c>
      <c r="AQ952" t="str">
        <f t="shared" si="59"/>
        <v>Low</v>
      </c>
    </row>
    <row r="953" spans="1:43" x14ac:dyDescent="0.3">
      <c r="A953">
        <v>952</v>
      </c>
      <c r="B953" t="s">
        <v>48</v>
      </c>
      <c r="C953" t="s">
        <v>30</v>
      </c>
      <c r="D953" s="1">
        <v>46265</v>
      </c>
      <c r="E953" t="s">
        <v>38</v>
      </c>
      <c r="F953">
        <v>0</v>
      </c>
      <c r="G953">
        <v>7</v>
      </c>
      <c r="H953" t="s">
        <v>47</v>
      </c>
      <c r="I953" t="s">
        <v>50</v>
      </c>
      <c r="J953">
        <v>1.2</v>
      </c>
      <c r="K953" t="s">
        <v>12</v>
      </c>
      <c r="L953">
        <v>0</v>
      </c>
      <c r="M953">
        <v>2.75</v>
      </c>
      <c r="N953">
        <v>24</v>
      </c>
      <c r="O953" t="s">
        <v>22</v>
      </c>
      <c r="P953">
        <v>6</v>
      </c>
      <c r="Q953">
        <v>2.0699999999999998</v>
      </c>
      <c r="R953">
        <v>19.899999999999999</v>
      </c>
      <c r="S953">
        <v>64.36</v>
      </c>
      <c r="T953">
        <v>19</v>
      </c>
      <c r="U953">
        <v>1</v>
      </c>
      <c r="V953">
        <v>0</v>
      </c>
      <c r="W953">
        <v>83.36</v>
      </c>
      <c r="X953">
        <v>35.700000000000003</v>
      </c>
      <c r="Y953">
        <v>104.35</v>
      </c>
      <c r="Z953">
        <v>6.06</v>
      </c>
      <c r="AA953">
        <v>11.77</v>
      </c>
      <c r="AB953">
        <v>65.53</v>
      </c>
      <c r="AC953">
        <v>197.57788944723617</v>
      </c>
      <c r="AD953">
        <v>31.657004830917877</v>
      </c>
      <c r="AE953">
        <v>75.47</v>
      </c>
      <c r="AF953">
        <v>16.489999999999998</v>
      </c>
      <c r="AG953">
        <v>0</v>
      </c>
      <c r="AH953">
        <v>-6.84</v>
      </c>
      <c r="AI953">
        <v>17.16</v>
      </c>
      <c r="AJ953">
        <v>199.31</v>
      </c>
      <c r="AK953">
        <v>68.45</v>
      </c>
      <c r="AL953" t="s">
        <v>23</v>
      </c>
      <c r="AM953" t="s">
        <v>24</v>
      </c>
      <c r="AN953" t="str">
        <f t="shared" si="56"/>
        <v>Morning</v>
      </c>
      <c r="AO953" t="str">
        <f t="shared" si="57"/>
        <v>Peak</v>
      </c>
      <c r="AP953" t="str">
        <f t="shared" si="58"/>
        <v>Medium</v>
      </c>
      <c r="AQ953" t="str">
        <f t="shared" si="59"/>
        <v>Low</v>
      </c>
    </row>
    <row r="954" spans="1:43" x14ac:dyDescent="0.3">
      <c r="A954">
        <v>953</v>
      </c>
      <c r="B954" t="s">
        <v>25</v>
      </c>
      <c r="C954" t="s">
        <v>17</v>
      </c>
      <c r="D954" s="1">
        <v>46050</v>
      </c>
      <c r="E954" t="s">
        <v>18</v>
      </c>
      <c r="F954">
        <v>0</v>
      </c>
      <c r="G954">
        <v>8</v>
      </c>
      <c r="H954" t="s">
        <v>27</v>
      </c>
      <c r="I954" t="s">
        <v>11</v>
      </c>
      <c r="J954">
        <v>1.18</v>
      </c>
      <c r="K954" t="s">
        <v>12</v>
      </c>
      <c r="L954">
        <v>0</v>
      </c>
      <c r="M954">
        <v>5</v>
      </c>
      <c r="N954">
        <v>63</v>
      </c>
      <c r="O954" t="s">
        <v>35</v>
      </c>
      <c r="P954">
        <v>14</v>
      </c>
      <c r="Q954">
        <v>7.58</v>
      </c>
      <c r="R954">
        <v>53.9</v>
      </c>
      <c r="S954">
        <v>143.30000000000001</v>
      </c>
      <c r="T954">
        <v>63.18</v>
      </c>
      <c r="U954">
        <v>1.35</v>
      </c>
      <c r="V954">
        <v>50.16</v>
      </c>
      <c r="W954">
        <v>256.64</v>
      </c>
      <c r="X954">
        <v>43.7</v>
      </c>
      <c r="Y954">
        <v>105.17</v>
      </c>
      <c r="Z954">
        <v>18.239999999999998</v>
      </c>
      <c r="AA954">
        <v>10.75</v>
      </c>
      <c r="AB954">
        <v>227.65</v>
      </c>
      <c r="AC954">
        <v>253.41372912801486</v>
      </c>
      <c r="AD954">
        <v>30.032981530343008</v>
      </c>
      <c r="AE954">
        <v>87.75</v>
      </c>
      <c r="AF954">
        <v>18.82</v>
      </c>
      <c r="AG954">
        <v>1</v>
      </c>
      <c r="AH954">
        <v>24.52</v>
      </c>
      <c r="AI954">
        <v>87.52</v>
      </c>
      <c r="AJ954">
        <v>257.94</v>
      </c>
      <c r="AK954">
        <v>66.260000000000005</v>
      </c>
      <c r="AL954" t="s">
        <v>23</v>
      </c>
      <c r="AM954" t="s">
        <v>24</v>
      </c>
      <c r="AN954" t="str">
        <f t="shared" si="56"/>
        <v>Morning</v>
      </c>
      <c r="AO954" t="str">
        <f t="shared" si="57"/>
        <v>Peak</v>
      </c>
      <c r="AP954" t="str">
        <f t="shared" si="58"/>
        <v>High</v>
      </c>
      <c r="AQ954" t="str">
        <f t="shared" si="59"/>
        <v>Medium</v>
      </c>
    </row>
    <row r="955" spans="1:43" x14ac:dyDescent="0.3">
      <c r="A955">
        <v>954</v>
      </c>
      <c r="B955" t="s">
        <v>48</v>
      </c>
      <c r="C955" t="s">
        <v>30</v>
      </c>
      <c r="D955" s="1">
        <v>46210</v>
      </c>
      <c r="E955" t="s">
        <v>44</v>
      </c>
      <c r="F955">
        <v>0</v>
      </c>
      <c r="G955">
        <v>15</v>
      </c>
      <c r="H955" t="s">
        <v>43</v>
      </c>
      <c r="I955" t="s">
        <v>39</v>
      </c>
      <c r="J955">
        <v>1.05</v>
      </c>
      <c r="K955" t="s">
        <v>12</v>
      </c>
      <c r="L955">
        <v>0</v>
      </c>
      <c r="M955">
        <v>2.35</v>
      </c>
      <c r="N955">
        <v>29</v>
      </c>
      <c r="O955" t="s">
        <v>22</v>
      </c>
      <c r="P955">
        <v>5</v>
      </c>
      <c r="Q955">
        <v>5.16</v>
      </c>
      <c r="R955">
        <v>35</v>
      </c>
      <c r="S955">
        <v>93.53</v>
      </c>
      <c r="T955">
        <v>9.82</v>
      </c>
      <c r="U955">
        <v>1</v>
      </c>
      <c r="V955">
        <v>0</v>
      </c>
      <c r="W955">
        <v>103.35</v>
      </c>
      <c r="X955">
        <v>41.9</v>
      </c>
      <c r="Y955">
        <v>100.39</v>
      </c>
      <c r="Z955">
        <v>12.36</v>
      </c>
      <c r="AA955">
        <v>3.04</v>
      </c>
      <c r="AB955">
        <v>87.95</v>
      </c>
      <c r="AC955">
        <v>150.77142857142857</v>
      </c>
      <c r="AD955">
        <v>17.044573643410853</v>
      </c>
      <c r="AE955">
        <v>80.790000000000006</v>
      </c>
      <c r="AF955">
        <v>13.4</v>
      </c>
      <c r="AG955">
        <v>0</v>
      </c>
      <c r="AH955">
        <v>25.57</v>
      </c>
      <c r="AI955">
        <v>54.57</v>
      </c>
      <c r="AJ955">
        <v>151.99</v>
      </c>
      <c r="AK955">
        <v>62.08</v>
      </c>
      <c r="AL955" t="s">
        <v>14</v>
      </c>
      <c r="AM955" t="s">
        <v>15</v>
      </c>
      <c r="AN955" t="str">
        <f t="shared" si="56"/>
        <v>Evening</v>
      </c>
      <c r="AO955" t="str">
        <f t="shared" si="57"/>
        <v>Off-Peak</v>
      </c>
      <c r="AP955" t="str">
        <f t="shared" si="58"/>
        <v>Medium</v>
      </c>
      <c r="AQ955" t="str">
        <f t="shared" si="59"/>
        <v>Low</v>
      </c>
    </row>
    <row r="956" spans="1:43" x14ac:dyDescent="0.3">
      <c r="A956">
        <v>955</v>
      </c>
      <c r="B956" t="s">
        <v>16</v>
      </c>
      <c r="C956" t="s">
        <v>17</v>
      </c>
      <c r="D956" s="1">
        <v>46274</v>
      </c>
      <c r="E956" t="s">
        <v>18</v>
      </c>
      <c r="F956">
        <v>0</v>
      </c>
      <c r="G956">
        <v>18</v>
      </c>
      <c r="H956" t="s">
        <v>40</v>
      </c>
      <c r="I956" t="s">
        <v>33</v>
      </c>
      <c r="J956">
        <v>1</v>
      </c>
      <c r="K956" t="s">
        <v>12</v>
      </c>
      <c r="L956">
        <v>0</v>
      </c>
      <c r="M956">
        <v>4.34</v>
      </c>
      <c r="N956">
        <v>60</v>
      </c>
      <c r="O956" t="s">
        <v>35</v>
      </c>
      <c r="P956">
        <v>12</v>
      </c>
      <c r="Q956">
        <v>5.88</v>
      </c>
      <c r="R956">
        <v>53.6</v>
      </c>
      <c r="S956">
        <v>141.16</v>
      </c>
      <c r="T956">
        <v>55.51</v>
      </c>
      <c r="U956">
        <v>1.28</v>
      </c>
      <c r="V956">
        <v>39.520000000000003</v>
      </c>
      <c r="W956">
        <v>236.19</v>
      </c>
      <c r="X956">
        <v>36.1</v>
      </c>
      <c r="Y956">
        <v>106.12</v>
      </c>
      <c r="Z956">
        <v>17.27</v>
      </c>
      <c r="AA956">
        <v>11.81</v>
      </c>
      <c r="AB956">
        <v>207.11</v>
      </c>
      <c r="AC956">
        <v>231.83955223880599</v>
      </c>
      <c r="AD956">
        <v>35.222789115646265</v>
      </c>
      <c r="AE956">
        <v>85.4</v>
      </c>
      <c r="AF956">
        <v>19.78</v>
      </c>
      <c r="AG956">
        <v>1</v>
      </c>
      <c r="AH956">
        <v>15.64</v>
      </c>
      <c r="AI956">
        <v>75.64</v>
      </c>
      <c r="AJ956">
        <v>253.07</v>
      </c>
      <c r="AK956">
        <v>77.28</v>
      </c>
      <c r="AL956" t="s">
        <v>23</v>
      </c>
      <c r="AM956" t="s">
        <v>24</v>
      </c>
      <c r="AN956" t="str">
        <f t="shared" si="56"/>
        <v>Night</v>
      </c>
      <c r="AO956" t="str">
        <f t="shared" si="57"/>
        <v>Peak</v>
      </c>
      <c r="AP956" t="str">
        <f t="shared" si="58"/>
        <v>Medium</v>
      </c>
      <c r="AQ956" t="str">
        <f t="shared" si="59"/>
        <v>Medium</v>
      </c>
    </row>
    <row r="957" spans="1:43" x14ac:dyDescent="0.3">
      <c r="A957">
        <v>956</v>
      </c>
      <c r="B957" t="s">
        <v>25</v>
      </c>
      <c r="C957" t="s">
        <v>17</v>
      </c>
      <c r="D957" s="1">
        <v>46136</v>
      </c>
      <c r="E957" t="s">
        <v>9</v>
      </c>
      <c r="F957">
        <v>0</v>
      </c>
      <c r="G957">
        <v>10</v>
      </c>
      <c r="H957" t="s">
        <v>19</v>
      </c>
      <c r="I957" t="s">
        <v>20</v>
      </c>
      <c r="J957">
        <v>1.25</v>
      </c>
      <c r="K957" t="s">
        <v>12</v>
      </c>
      <c r="L957">
        <v>0</v>
      </c>
      <c r="M957">
        <v>2.4</v>
      </c>
      <c r="N957">
        <v>32</v>
      </c>
      <c r="O957" t="s">
        <v>22</v>
      </c>
      <c r="P957">
        <v>5</v>
      </c>
      <c r="Q957">
        <v>8.7799999999999994</v>
      </c>
      <c r="R957">
        <v>57.1</v>
      </c>
      <c r="S957">
        <v>152.16999999999999</v>
      </c>
      <c r="T957">
        <v>53.65</v>
      </c>
      <c r="U957">
        <v>1.04</v>
      </c>
      <c r="V957">
        <v>6.09</v>
      </c>
      <c r="W957">
        <v>211.91</v>
      </c>
      <c r="X957">
        <v>38.200000000000003</v>
      </c>
      <c r="Y957">
        <v>108.6</v>
      </c>
      <c r="Z957">
        <v>24.96</v>
      </c>
      <c r="AA957">
        <v>7.49</v>
      </c>
      <c r="AB957">
        <v>179.46</v>
      </c>
      <c r="AC957">
        <v>188.57443082311735</v>
      </c>
      <c r="AD957">
        <v>20.43963553530752</v>
      </c>
      <c r="AE957">
        <v>75.069999999999993</v>
      </c>
      <c r="AF957">
        <v>14.26</v>
      </c>
      <c r="AG957">
        <v>0</v>
      </c>
      <c r="AH957">
        <v>19.510000000000002</v>
      </c>
      <c r="AI957">
        <v>51.51</v>
      </c>
      <c r="AJ957">
        <v>178.03</v>
      </c>
      <c r="AK957">
        <v>65.8</v>
      </c>
      <c r="AL957" t="s">
        <v>23</v>
      </c>
      <c r="AM957" t="s">
        <v>24</v>
      </c>
      <c r="AN957" t="str">
        <f t="shared" si="56"/>
        <v>Morning</v>
      </c>
      <c r="AO957" t="str">
        <f t="shared" si="57"/>
        <v>Peak</v>
      </c>
      <c r="AP957" t="str">
        <f t="shared" si="58"/>
        <v>Medium</v>
      </c>
      <c r="AQ957" t="str">
        <f t="shared" si="59"/>
        <v>Low</v>
      </c>
    </row>
    <row r="958" spans="1:43" x14ac:dyDescent="0.3">
      <c r="A958">
        <v>957</v>
      </c>
      <c r="B958" t="s">
        <v>48</v>
      </c>
      <c r="C958" t="s">
        <v>30</v>
      </c>
      <c r="D958" s="1">
        <v>46037</v>
      </c>
      <c r="E958" t="s">
        <v>41</v>
      </c>
      <c r="F958">
        <v>0</v>
      </c>
      <c r="G958">
        <v>9</v>
      </c>
      <c r="H958" t="s">
        <v>47</v>
      </c>
      <c r="I958" t="s">
        <v>20</v>
      </c>
      <c r="J958">
        <v>1.25</v>
      </c>
      <c r="K958" t="s">
        <v>12</v>
      </c>
      <c r="L958">
        <v>0</v>
      </c>
      <c r="M958">
        <v>4.43</v>
      </c>
      <c r="N958">
        <v>28</v>
      </c>
      <c r="O958" t="s">
        <v>22</v>
      </c>
      <c r="P958">
        <v>6</v>
      </c>
      <c r="Q958">
        <v>1</v>
      </c>
      <c r="R958">
        <v>35.5</v>
      </c>
      <c r="S958">
        <v>60.07</v>
      </c>
      <c r="T958">
        <v>23.63</v>
      </c>
      <c r="U958">
        <v>1</v>
      </c>
      <c r="V958">
        <v>0</v>
      </c>
      <c r="W958">
        <v>83.7</v>
      </c>
      <c r="X958">
        <v>45.4</v>
      </c>
      <c r="Y958">
        <v>100.03</v>
      </c>
      <c r="Z958">
        <v>2.2000000000000002</v>
      </c>
      <c r="AA958">
        <v>11.2</v>
      </c>
      <c r="AB958">
        <v>70.3</v>
      </c>
      <c r="AC958">
        <v>118.8169014084507</v>
      </c>
      <c r="AD958">
        <v>70.3</v>
      </c>
      <c r="AE958">
        <v>86.2</v>
      </c>
      <c r="AF958">
        <v>17.18</v>
      </c>
      <c r="AG958">
        <v>0</v>
      </c>
      <c r="AH958">
        <v>-24.39</v>
      </c>
      <c r="AI958">
        <v>5</v>
      </c>
      <c r="AJ958">
        <v>110.99</v>
      </c>
      <c r="AK958">
        <v>64.459999999999994</v>
      </c>
      <c r="AL958" t="s">
        <v>23</v>
      </c>
      <c r="AM958" t="s">
        <v>24</v>
      </c>
      <c r="AN958" t="str">
        <f t="shared" si="56"/>
        <v>Morning</v>
      </c>
      <c r="AO958" t="str">
        <f t="shared" si="57"/>
        <v>Peak</v>
      </c>
      <c r="AP958" t="str">
        <f t="shared" si="58"/>
        <v>Low</v>
      </c>
      <c r="AQ958" t="str">
        <f t="shared" si="59"/>
        <v>Low</v>
      </c>
    </row>
    <row r="959" spans="1:43" x14ac:dyDescent="0.3">
      <c r="A959">
        <v>958</v>
      </c>
      <c r="B959" t="s">
        <v>25</v>
      </c>
      <c r="C959" t="s">
        <v>17</v>
      </c>
      <c r="D959" s="1">
        <v>46249</v>
      </c>
      <c r="E959" t="s">
        <v>31</v>
      </c>
      <c r="F959">
        <v>1</v>
      </c>
      <c r="G959">
        <v>20</v>
      </c>
      <c r="H959" t="s">
        <v>40</v>
      </c>
      <c r="I959" t="s">
        <v>37</v>
      </c>
      <c r="J959">
        <v>1.02</v>
      </c>
      <c r="K959" t="s">
        <v>12</v>
      </c>
      <c r="L959">
        <v>0</v>
      </c>
      <c r="M959">
        <v>4.8099999999999996</v>
      </c>
      <c r="N959">
        <v>84</v>
      </c>
      <c r="O959" t="s">
        <v>13</v>
      </c>
      <c r="P959">
        <v>10</v>
      </c>
      <c r="Q959">
        <v>2.1</v>
      </c>
      <c r="R959">
        <v>32.1</v>
      </c>
      <c r="S959">
        <v>88.73</v>
      </c>
      <c r="T959">
        <v>100</v>
      </c>
      <c r="U959">
        <v>1.19</v>
      </c>
      <c r="V959">
        <v>16.86</v>
      </c>
      <c r="W959">
        <v>205.59</v>
      </c>
      <c r="X959">
        <v>36.6</v>
      </c>
      <c r="Y959">
        <v>101.6</v>
      </c>
      <c r="Z959">
        <v>5.81</v>
      </c>
      <c r="AA959">
        <v>9.6</v>
      </c>
      <c r="AB959">
        <v>190.18</v>
      </c>
      <c r="AC959">
        <v>355.47663551401871</v>
      </c>
      <c r="AD959">
        <v>90.561904761904756</v>
      </c>
      <c r="AE959">
        <v>64.790000000000006</v>
      </c>
      <c r="AF959">
        <v>18.97</v>
      </c>
      <c r="AG959">
        <v>1</v>
      </c>
      <c r="AH959">
        <v>-11.23</v>
      </c>
      <c r="AI959">
        <v>72.77</v>
      </c>
      <c r="AJ959">
        <v>373.7</v>
      </c>
      <c r="AK959">
        <v>73.61</v>
      </c>
      <c r="AL959" t="s">
        <v>23</v>
      </c>
      <c r="AM959" t="s">
        <v>24</v>
      </c>
      <c r="AN959" t="str">
        <f t="shared" si="56"/>
        <v>Night</v>
      </c>
      <c r="AO959" t="str">
        <f t="shared" si="57"/>
        <v>Peak</v>
      </c>
      <c r="AP959" t="str">
        <f t="shared" si="58"/>
        <v>High</v>
      </c>
      <c r="AQ959" t="str">
        <f t="shared" si="59"/>
        <v>High</v>
      </c>
    </row>
    <row r="960" spans="1:43" x14ac:dyDescent="0.3">
      <c r="A960">
        <v>959</v>
      </c>
      <c r="B960" t="s">
        <v>23</v>
      </c>
      <c r="C960" t="s">
        <v>17</v>
      </c>
      <c r="D960" s="1">
        <v>46071</v>
      </c>
      <c r="E960" t="s">
        <v>18</v>
      </c>
      <c r="F960">
        <v>0</v>
      </c>
      <c r="G960">
        <v>19</v>
      </c>
      <c r="H960" t="s">
        <v>40</v>
      </c>
      <c r="I960" t="s">
        <v>11</v>
      </c>
      <c r="J960">
        <v>1.18</v>
      </c>
      <c r="K960" t="s">
        <v>21</v>
      </c>
      <c r="L960">
        <v>0</v>
      </c>
      <c r="M960">
        <v>3.56</v>
      </c>
      <c r="N960">
        <v>67</v>
      </c>
      <c r="O960" t="s">
        <v>35</v>
      </c>
      <c r="P960">
        <v>10</v>
      </c>
      <c r="Q960">
        <v>3.93</v>
      </c>
      <c r="R960">
        <v>42.8</v>
      </c>
      <c r="S960">
        <v>99.06</v>
      </c>
      <c r="T960">
        <v>81.33</v>
      </c>
      <c r="U960">
        <v>1.18</v>
      </c>
      <c r="V960">
        <v>17.829999999999998</v>
      </c>
      <c r="W960">
        <v>198.22</v>
      </c>
      <c r="X960">
        <v>47</v>
      </c>
      <c r="Y960">
        <v>105.18</v>
      </c>
      <c r="Z960">
        <v>8.7799999999999994</v>
      </c>
      <c r="AA960">
        <v>8.48</v>
      </c>
      <c r="AB960">
        <v>180.96</v>
      </c>
      <c r="AC960">
        <v>253.68224299065423</v>
      </c>
      <c r="AD960">
        <v>46.045801526717554</v>
      </c>
      <c r="AE960">
        <v>93.54</v>
      </c>
      <c r="AF960">
        <v>13.73</v>
      </c>
      <c r="AG960">
        <v>1</v>
      </c>
      <c r="AH960">
        <v>-1.67</v>
      </c>
      <c r="AI960">
        <v>65.33</v>
      </c>
      <c r="AJ960">
        <v>239.11</v>
      </c>
      <c r="AK960">
        <v>78.28</v>
      </c>
      <c r="AL960" t="s">
        <v>23</v>
      </c>
      <c r="AM960" t="s">
        <v>24</v>
      </c>
      <c r="AN960" t="str">
        <f t="shared" si="56"/>
        <v>Night</v>
      </c>
      <c r="AO960" t="str">
        <f t="shared" si="57"/>
        <v>Peak</v>
      </c>
      <c r="AP960" t="str">
        <f t="shared" si="58"/>
        <v>High</v>
      </c>
      <c r="AQ960" t="str">
        <f t="shared" si="59"/>
        <v>Medium</v>
      </c>
    </row>
    <row r="961" spans="1:43" x14ac:dyDescent="0.3">
      <c r="A961">
        <v>960</v>
      </c>
      <c r="B961" t="s">
        <v>48</v>
      </c>
      <c r="C961" t="s">
        <v>30</v>
      </c>
      <c r="D961" s="1">
        <v>46159</v>
      </c>
      <c r="E961" t="s">
        <v>26</v>
      </c>
      <c r="F961">
        <v>1</v>
      </c>
      <c r="G961">
        <v>17</v>
      </c>
      <c r="H961" t="s">
        <v>32</v>
      </c>
      <c r="I961" t="s">
        <v>50</v>
      </c>
      <c r="J961">
        <v>1.2</v>
      </c>
      <c r="K961" t="s">
        <v>21</v>
      </c>
      <c r="L961">
        <v>0</v>
      </c>
      <c r="M961">
        <v>4.51</v>
      </c>
      <c r="N961">
        <v>85</v>
      </c>
      <c r="O961" t="s">
        <v>13</v>
      </c>
      <c r="P961">
        <v>31</v>
      </c>
      <c r="Q961">
        <v>7.73</v>
      </c>
      <c r="R961">
        <v>60.3</v>
      </c>
      <c r="S961">
        <v>124.38</v>
      </c>
      <c r="T961">
        <v>100</v>
      </c>
      <c r="U961">
        <v>1</v>
      </c>
      <c r="V961">
        <v>0</v>
      </c>
      <c r="W961">
        <v>224.38</v>
      </c>
      <c r="X961">
        <v>44.4</v>
      </c>
      <c r="Y961">
        <v>105.61</v>
      </c>
      <c r="Z961">
        <v>18.399999999999999</v>
      </c>
      <c r="AA961">
        <v>5.27</v>
      </c>
      <c r="AB961">
        <v>200.71</v>
      </c>
      <c r="AC961">
        <v>199.71144278606968</v>
      </c>
      <c r="AD961">
        <v>25.965071151358345</v>
      </c>
      <c r="AE961">
        <v>96.01</v>
      </c>
      <c r="AF961">
        <v>16.43</v>
      </c>
      <c r="AG961">
        <v>1</v>
      </c>
      <c r="AH961">
        <v>39.229999999999997</v>
      </c>
      <c r="AI961">
        <v>124.23</v>
      </c>
      <c r="AJ961">
        <v>222.68</v>
      </c>
      <c r="AK961">
        <v>63.96</v>
      </c>
      <c r="AL961" t="s">
        <v>23</v>
      </c>
      <c r="AM961" t="s">
        <v>24</v>
      </c>
      <c r="AN961" t="str">
        <f t="shared" si="56"/>
        <v>Evening</v>
      </c>
      <c r="AO961" t="str">
        <f t="shared" si="57"/>
        <v>Peak</v>
      </c>
      <c r="AP961" t="str">
        <f t="shared" si="58"/>
        <v>Medium</v>
      </c>
      <c r="AQ961" t="str">
        <f t="shared" si="59"/>
        <v>High</v>
      </c>
    </row>
    <row r="962" spans="1:43" x14ac:dyDescent="0.3">
      <c r="A962">
        <v>961</v>
      </c>
      <c r="B962" t="s">
        <v>14</v>
      </c>
      <c r="C962" t="s">
        <v>8</v>
      </c>
      <c r="D962" s="1">
        <v>46277</v>
      </c>
      <c r="E962" t="s">
        <v>31</v>
      </c>
      <c r="F962">
        <v>1</v>
      </c>
      <c r="G962">
        <v>14</v>
      </c>
      <c r="H962" t="s">
        <v>10</v>
      </c>
      <c r="I962" t="s">
        <v>11</v>
      </c>
      <c r="J962">
        <v>1.18</v>
      </c>
      <c r="K962" t="s">
        <v>12</v>
      </c>
      <c r="L962">
        <v>0</v>
      </c>
      <c r="M962">
        <v>4.3099999999999996</v>
      </c>
      <c r="N962">
        <v>71</v>
      </c>
      <c r="O962" t="s">
        <v>13</v>
      </c>
      <c r="P962">
        <v>39</v>
      </c>
      <c r="Q962">
        <v>1.57</v>
      </c>
      <c r="R962">
        <v>27.6</v>
      </c>
      <c r="S962">
        <v>60.38</v>
      </c>
      <c r="T962">
        <v>73.89</v>
      </c>
      <c r="U962">
        <v>1</v>
      </c>
      <c r="V962">
        <v>0</v>
      </c>
      <c r="W962">
        <v>134.27000000000001</v>
      </c>
      <c r="X962">
        <v>36.5</v>
      </c>
      <c r="Y962">
        <v>103.43</v>
      </c>
      <c r="Z962">
        <v>4.4400000000000004</v>
      </c>
      <c r="AA962">
        <v>2.27</v>
      </c>
      <c r="AB962">
        <v>127.56</v>
      </c>
      <c r="AC962">
        <v>277.30434782608694</v>
      </c>
      <c r="AD962">
        <v>81.248407643312106</v>
      </c>
      <c r="AE962">
        <v>81.33</v>
      </c>
      <c r="AF962">
        <v>14.53</v>
      </c>
      <c r="AG962">
        <v>1</v>
      </c>
      <c r="AH962">
        <v>-1.7</v>
      </c>
      <c r="AI962">
        <v>69.3</v>
      </c>
      <c r="AJ962">
        <v>261.57</v>
      </c>
      <c r="AK962">
        <v>78.09</v>
      </c>
      <c r="AL962" t="s">
        <v>14</v>
      </c>
      <c r="AM962" t="s">
        <v>15</v>
      </c>
      <c r="AN962" t="str">
        <f t="shared" si="56"/>
        <v>Afternoon</v>
      </c>
      <c r="AO962" t="str">
        <f t="shared" si="57"/>
        <v>Off-Peak</v>
      </c>
      <c r="AP962" t="str">
        <f t="shared" si="58"/>
        <v>High</v>
      </c>
      <c r="AQ962" t="str">
        <f t="shared" si="59"/>
        <v>High</v>
      </c>
    </row>
    <row r="963" spans="1:43" x14ac:dyDescent="0.3">
      <c r="A963">
        <v>962</v>
      </c>
      <c r="B963" t="s">
        <v>48</v>
      </c>
      <c r="C963" t="s">
        <v>30</v>
      </c>
      <c r="D963" s="1">
        <v>46215</v>
      </c>
      <c r="E963" t="s">
        <v>26</v>
      </c>
      <c r="F963">
        <v>1</v>
      </c>
      <c r="G963">
        <v>13</v>
      </c>
      <c r="H963" t="s">
        <v>43</v>
      </c>
      <c r="I963" t="s">
        <v>42</v>
      </c>
      <c r="J963">
        <v>1.08</v>
      </c>
      <c r="K963" t="s">
        <v>12</v>
      </c>
      <c r="L963">
        <v>0</v>
      </c>
      <c r="M963">
        <v>2.59</v>
      </c>
      <c r="N963">
        <v>48</v>
      </c>
      <c r="O963" t="s">
        <v>35</v>
      </c>
      <c r="P963">
        <v>15</v>
      </c>
      <c r="Q963">
        <v>2.93</v>
      </c>
      <c r="R963">
        <v>33.4</v>
      </c>
      <c r="S963">
        <v>76.760000000000005</v>
      </c>
      <c r="T963">
        <v>56.25</v>
      </c>
      <c r="U963">
        <v>1</v>
      </c>
      <c r="V963">
        <v>0</v>
      </c>
      <c r="W963">
        <v>133.01</v>
      </c>
      <c r="X963">
        <v>39.299999999999997</v>
      </c>
      <c r="Y963">
        <v>100.28</v>
      </c>
      <c r="Z963">
        <v>7.46</v>
      </c>
      <c r="AA963">
        <v>4.7699999999999996</v>
      </c>
      <c r="AB963">
        <v>120.78</v>
      </c>
      <c r="AC963">
        <v>216.97005988023955</v>
      </c>
      <c r="AD963">
        <v>41.221843003412964</v>
      </c>
      <c r="AE963">
        <v>82.5</v>
      </c>
      <c r="AF963">
        <v>19.239999999999998</v>
      </c>
      <c r="AG963">
        <v>1</v>
      </c>
      <c r="AH963">
        <v>14.17</v>
      </c>
      <c r="AI963">
        <v>62.17</v>
      </c>
      <c r="AJ963">
        <v>213.04</v>
      </c>
      <c r="AK963">
        <v>72.13</v>
      </c>
      <c r="AL963" t="s">
        <v>14</v>
      </c>
      <c r="AM963" t="s">
        <v>15</v>
      </c>
      <c r="AN963" t="str">
        <f t="shared" ref="AN963:AN1026" si="60">IF(G963&lt;11,"Morning",IF(G963&lt;15,"Afternoon",IF(G963&lt;18,"Evening","Night")))</f>
        <v>Afternoon</v>
      </c>
      <c r="AO963" t="str">
        <f t="shared" ref="AO963:AO1026" si="61">IF(OR(AND(G963&gt;=7,G963&lt;=10),AND(G963&gt;=17,G963&lt;=20)),"Peak","Off-Peak")</f>
        <v>Off-Peak</v>
      </c>
      <c r="AP963" t="str">
        <f t="shared" ref="AP963:AP1026" si="62">IF(AC963&lt;150,"Low",IF(AC963&lt;=250,"Medium","High"))</f>
        <v>Medium</v>
      </c>
      <c r="AQ963" t="str">
        <f t="shared" ref="AQ963:AQ1026" si="63">IF(N963&lt;=35,"Low",IF(N963&lt;=70,"Medium","High"))</f>
        <v>Medium</v>
      </c>
    </row>
    <row r="964" spans="1:43" x14ac:dyDescent="0.3">
      <c r="A964">
        <v>963</v>
      </c>
      <c r="B964" t="s">
        <v>16</v>
      </c>
      <c r="C964" t="s">
        <v>17</v>
      </c>
      <c r="D964" s="1">
        <v>46034</v>
      </c>
      <c r="E964" t="s">
        <v>38</v>
      </c>
      <c r="F964">
        <v>0</v>
      </c>
      <c r="G964">
        <v>7</v>
      </c>
      <c r="H964" t="s">
        <v>27</v>
      </c>
      <c r="I964" t="s">
        <v>20</v>
      </c>
      <c r="J964">
        <v>1.25</v>
      </c>
      <c r="K964" t="s">
        <v>12</v>
      </c>
      <c r="L964">
        <v>0</v>
      </c>
      <c r="M964">
        <v>4.71</v>
      </c>
      <c r="N964">
        <v>75</v>
      </c>
      <c r="O964" t="s">
        <v>13</v>
      </c>
      <c r="P964">
        <v>15</v>
      </c>
      <c r="Q964">
        <v>3.75</v>
      </c>
      <c r="R964">
        <v>43.4</v>
      </c>
      <c r="S964">
        <v>108.91</v>
      </c>
      <c r="T964">
        <v>100</v>
      </c>
      <c r="U964">
        <v>1.24</v>
      </c>
      <c r="V964">
        <v>26.14</v>
      </c>
      <c r="W964">
        <v>235.05</v>
      </c>
      <c r="X964">
        <v>37.1</v>
      </c>
      <c r="Y964">
        <v>107.44</v>
      </c>
      <c r="Z964">
        <v>10.86</v>
      </c>
      <c r="AA964">
        <v>8.86</v>
      </c>
      <c r="AB964">
        <v>215.33</v>
      </c>
      <c r="AC964">
        <v>297.69124423963137</v>
      </c>
      <c r="AD964">
        <v>57.421333333333337</v>
      </c>
      <c r="AE964">
        <v>77.7</v>
      </c>
      <c r="AF964">
        <v>20</v>
      </c>
      <c r="AG964">
        <v>1</v>
      </c>
      <c r="AH964">
        <v>8.68</v>
      </c>
      <c r="AI964">
        <v>83.68</v>
      </c>
      <c r="AJ964">
        <v>282.02</v>
      </c>
      <c r="AK964">
        <v>73.78</v>
      </c>
      <c r="AL964" t="s">
        <v>23</v>
      </c>
      <c r="AM964" t="s">
        <v>24</v>
      </c>
      <c r="AN964" t="str">
        <f t="shared" si="60"/>
        <v>Morning</v>
      </c>
      <c r="AO964" t="str">
        <f t="shared" si="61"/>
        <v>Peak</v>
      </c>
      <c r="AP964" t="str">
        <f t="shared" si="62"/>
        <v>High</v>
      </c>
      <c r="AQ964" t="str">
        <f t="shared" si="63"/>
        <v>High</v>
      </c>
    </row>
    <row r="965" spans="1:43" x14ac:dyDescent="0.3">
      <c r="A965">
        <v>964</v>
      </c>
      <c r="B965" t="s">
        <v>14</v>
      </c>
      <c r="C965" t="s">
        <v>8</v>
      </c>
      <c r="D965" s="1">
        <v>46234</v>
      </c>
      <c r="E965" t="s">
        <v>9</v>
      </c>
      <c r="F965">
        <v>0</v>
      </c>
      <c r="G965">
        <v>10</v>
      </c>
      <c r="H965" t="s">
        <v>49</v>
      </c>
      <c r="I965" t="s">
        <v>28</v>
      </c>
      <c r="J965">
        <v>1.03</v>
      </c>
      <c r="K965" t="s">
        <v>12</v>
      </c>
      <c r="L965">
        <v>0</v>
      </c>
      <c r="M965">
        <v>3.31</v>
      </c>
      <c r="N965">
        <v>33</v>
      </c>
      <c r="O965" t="s">
        <v>22</v>
      </c>
      <c r="P965">
        <v>16</v>
      </c>
      <c r="Q965">
        <v>2.0099999999999998</v>
      </c>
      <c r="R965">
        <v>27.1</v>
      </c>
      <c r="S965">
        <v>78.760000000000005</v>
      </c>
      <c r="T965">
        <v>50.28</v>
      </c>
      <c r="U965">
        <v>1</v>
      </c>
      <c r="V965">
        <v>0</v>
      </c>
      <c r="W965">
        <v>129.04</v>
      </c>
      <c r="X965">
        <v>47</v>
      </c>
      <c r="Y965">
        <v>102.43</v>
      </c>
      <c r="Z965">
        <v>4.3899999999999997</v>
      </c>
      <c r="AA965">
        <v>10.63</v>
      </c>
      <c r="AB965">
        <v>114.02</v>
      </c>
      <c r="AC965">
        <v>252.44280442804424</v>
      </c>
      <c r="AD965">
        <v>56.726368159203986</v>
      </c>
      <c r="AE965">
        <v>72.959999999999994</v>
      </c>
      <c r="AF965">
        <v>15.59</v>
      </c>
      <c r="AG965">
        <v>0</v>
      </c>
      <c r="AH965">
        <v>8.34</v>
      </c>
      <c r="AI965">
        <v>41.34</v>
      </c>
      <c r="AJ965">
        <v>236.16</v>
      </c>
      <c r="AK965">
        <v>68.02</v>
      </c>
      <c r="AL965" t="s">
        <v>14</v>
      </c>
      <c r="AM965" t="s">
        <v>15</v>
      </c>
      <c r="AN965" t="str">
        <f t="shared" si="60"/>
        <v>Morning</v>
      </c>
      <c r="AO965" t="str">
        <f t="shared" si="61"/>
        <v>Peak</v>
      </c>
      <c r="AP965" t="str">
        <f t="shared" si="62"/>
        <v>High</v>
      </c>
      <c r="AQ965" t="str">
        <f t="shared" si="63"/>
        <v>Low</v>
      </c>
    </row>
    <row r="966" spans="1:43" x14ac:dyDescent="0.3">
      <c r="A966">
        <v>965</v>
      </c>
      <c r="B966" t="s">
        <v>23</v>
      </c>
      <c r="C966" t="s">
        <v>17</v>
      </c>
      <c r="D966" s="1">
        <v>46064</v>
      </c>
      <c r="E966" t="s">
        <v>18</v>
      </c>
      <c r="F966">
        <v>0</v>
      </c>
      <c r="G966">
        <v>21</v>
      </c>
      <c r="H966" t="s">
        <v>19</v>
      </c>
      <c r="I966" t="s">
        <v>28</v>
      </c>
      <c r="J966">
        <v>1.03</v>
      </c>
      <c r="K966" t="s">
        <v>12</v>
      </c>
      <c r="L966">
        <v>0</v>
      </c>
      <c r="M966">
        <v>4.2699999999999996</v>
      </c>
      <c r="N966">
        <v>61</v>
      </c>
      <c r="O966" t="s">
        <v>35</v>
      </c>
      <c r="P966">
        <v>15</v>
      </c>
      <c r="Q966">
        <v>3.72</v>
      </c>
      <c r="R966">
        <v>42</v>
      </c>
      <c r="S966">
        <v>108.72</v>
      </c>
      <c r="T966">
        <v>74.64</v>
      </c>
      <c r="U966">
        <v>1.31</v>
      </c>
      <c r="V966">
        <v>33.700000000000003</v>
      </c>
      <c r="W966">
        <v>217.06</v>
      </c>
      <c r="X966">
        <v>43</v>
      </c>
      <c r="Y966">
        <v>106.45</v>
      </c>
      <c r="Z966">
        <v>9.1999999999999993</v>
      </c>
      <c r="AA966">
        <v>2.02</v>
      </c>
      <c r="AB966">
        <v>205.84</v>
      </c>
      <c r="AC966">
        <v>294.05714285714288</v>
      </c>
      <c r="AD966">
        <v>55.333333333333329</v>
      </c>
      <c r="AE966">
        <v>71.989999999999995</v>
      </c>
      <c r="AF966">
        <v>17.309999999999999</v>
      </c>
      <c r="AG966">
        <v>1</v>
      </c>
      <c r="AH966">
        <v>2.65</v>
      </c>
      <c r="AI966">
        <v>63.65</v>
      </c>
      <c r="AJ966">
        <v>321.39</v>
      </c>
      <c r="AK966">
        <v>74.14</v>
      </c>
      <c r="AL966" t="s">
        <v>14</v>
      </c>
      <c r="AM966" t="s">
        <v>15</v>
      </c>
      <c r="AN966" t="str">
        <f t="shared" si="60"/>
        <v>Night</v>
      </c>
      <c r="AO966" t="str">
        <f t="shared" si="61"/>
        <v>Off-Peak</v>
      </c>
      <c r="AP966" t="str">
        <f t="shared" si="62"/>
        <v>High</v>
      </c>
      <c r="AQ966" t="str">
        <f t="shared" si="63"/>
        <v>Medium</v>
      </c>
    </row>
    <row r="967" spans="1:43" x14ac:dyDescent="0.3">
      <c r="A967">
        <v>966</v>
      </c>
      <c r="B967" t="s">
        <v>25</v>
      </c>
      <c r="C967" t="s">
        <v>17</v>
      </c>
      <c r="D967" s="1">
        <v>46216</v>
      </c>
      <c r="E967" t="s">
        <v>38</v>
      </c>
      <c r="F967">
        <v>0</v>
      </c>
      <c r="G967">
        <v>12</v>
      </c>
      <c r="H967" t="s">
        <v>19</v>
      </c>
      <c r="I967" t="s">
        <v>28</v>
      </c>
      <c r="J967">
        <v>1.03</v>
      </c>
      <c r="K967" t="s">
        <v>12</v>
      </c>
      <c r="L967">
        <v>0</v>
      </c>
      <c r="M967">
        <v>2.97</v>
      </c>
      <c r="N967">
        <v>45</v>
      </c>
      <c r="O967" t="s">
        <v>35</v>
      </c>
      <c r="P967">
        <v>9</v>
      </c>
      <c r="Q967">
        <v>3.34</v>
      </c>
      <c r="R967">
        <v>34.299999999999997</v>
      </c>
      <c r="S967">
        <v>100.82</v>
      </c>
      <c r="T967">
        <v>34.01</v>
      </c>
      <c r="U967">
        <v>1.04</v>
      </c>
      <c r="V967">
        <v>4.03</v>
      </c>
      <c r="W967">
        <v>138.86000000000001</v>
      </c>
      <c r="X967">
        <v>35</v>
      </c>
      <c r="Y967">
        <v>105.59</v>
      </c>
      <c r="Z967">
        <v>10.08</v>
      </c>
      <c r="AA967">
        <v>4.08</v>
      </c>
      <c r="AB967">
        <v>124.7</v>
      </c>
      <c r="AC967">
        <v>218.13411078717203</v>
      </c>
      <c r="AD967">
        <v>37.335329341317369</v>
      </c>
      <c r="AE967">
        <v>75.209999999999994</v>
      </c>
      <c r="AF967">
        <v>14.89</v>
      </c>
      <c r="AG967">
        <v>0</v>
      </c>
      <c r="AH967">
        <v>-15</v>
      </c>
      <c r="AI967">
        <v>30</v>
      </c>
      <c r="AJ967">
        <v>234.03</v>
      </c>
      <c r="AK967">
        <v>66.73</v>
      </c>
      <c r="AL967" t="s">
        <v>14</v>
      </c>
      <c r="AM967" t="s">
        <v>15</v>
      </c>
      <c r="AN967" t="str">
        <f t="shared" si="60"/>
        <v>Afternoon</v>
      </c>
      <c r="AO967" t="str">
        <f t="shared" si="61"/>
        <v>Off-Peak</v>
      </c>
      <c r="AP967" t="str">
        <f t="shared" si="62"/>
        <v>Medium</v>
      </c>
      <c r="AQ967" t="str">
        <f t="shared" si="63"/>
        <v>Medium</v>
      </c>
    </row>
    <row r="968" spans="1:43" x14ac:dyDescent="0.3">
      <c r="A968">
        <v>967</v>
      </c>
      <c r="B968" t="s">
        <v>25</v>
      </c>
      <c r="C968" t="s">
        <v>17</v>
      </c>
      <c r="D968" s="1">
        <v>46183</v>
      </c>
      <c r="E968" t="s">
        <v>18</v>
      </c>
      <c r="F968">
        <v>0</v>
      </c>
      <c r="G968">
        <v>18</v>
      </c>
      <c r="H968" t="s">
        <v>40</v>
      </c>
      <c r="I968" t="s">
        <v>50</v>
      </c>
      <c r="J968">
        <v>1.2</v>
      </c>
      <c r="K968" t="s">
        <v>21</v>
      </c>
      <c r="L968">
        <v>0</v>
      </c>
      <c r="M968">
        <v>4.4400000000000004</v>
      </c>
      <c r="N968">
        <v>67</v>
      </c>
      <c r="O968" t="s">
        <v>35</v>
      </c>
      <c r="P968">
        <v>8</v>
      </c>
      <c r="Q968">
        <v>2.46</v>
      </c>
      <c r="R968">
        <v>36.1</v>
      </c>
      <c r="S968">
        <v>91.74</v>
      </c>
      <c r="T968">
        <v>67.73</v>
      </c>
      <c r="U968">
        <v>1.26</v>
      </c>
      <c r="V968">
        <v>23.85</v>
      </c>
      <c r="W968">
        <v>183.32</v>
      </c>
      <c r="X968">
        <v>43.1</v>
      </c>
      <c r="Y968">
        <v>104.31</v>
      </c>
      <c r="Z968">
        <v>5.95</v>
      </c>
      <c r="AA968">
        <v>8.73</v>
      </c>
      <c r="AB968">
        <v>168.64</v>
      </c>
      <c r="AC968">
        <v>280.28808864265926</v>
      </c>
      <c r="AD968">
        <v>68.552845528455279</v>
      </c>
      <c r="AE968">
        <v>81.81</v>
      </c>
      <c r="AF968">
        <v>15.63</v>
      </c>
      <c r="AG968">
        <v>1</v>
      </c>
      <c r="AH968">
        <v>-37.520000000000003</v>
      </c>
      <c r="AI968">
        <v>29.48</v>
      </c>
      <c r="AJ968">
        <v>305.62</v>
      </c>
      <c r="AK968">
        <v>63.73</v>
      </c>
      <c r="AL968" t="s">
        <v>23</v>
      </c>
      <c r="AM968" t="s">
        <v>24</v>
      </c>
      <c r="AN968" t="str">
        <f t="shared" si="60"/>
        <v>Night</v>
      </c>
      <c r="AO968" t="str">
        <f t="shared" si="61"/>
        <v>Peak</v>
      </c>
      <c r="AP968" t="str">
        <f t="shared" si="62"/>
        <v>High</v>
      </c>
      <c r="AQ968" t="str">
        <f t="shared" si="63"/>
        <v>Medium</v>
      </c>
    </row>
    <row r="969" spans="1:43" x14ac:dyDescent="0.3">
      <c r="A969">
        <v>968</v>
      </c>
      <c r="B969" t="s">
        <v>48</v>
      </c>
      <c r="C969" t="s">
        <v>30</v>
      </c>
      <c r="D969" s="1">
        <v>46097</v>
      </c>
      <c r="E969" t="s">
        <v>38</v>
      </c>
      <c r="F969">
        <v>0</v>
      </c>
      <c r="G969">
        <v>18</v>
      </c>
      <c r="H969" t="s">
        <v>32</v>
      </c>
      <c r="I969" t="s">
        <v>11</v>
      </c>
      <c r="J969">
        <v>1.18</v>
      </c>
      <c r="K969" t="s">
        <v>21</v>
      </c>
      <c r="L969">
        <v>0</v>
      </c>
      <c r="M969">
        <v>4.28</v>
      </c>
      <c r="N969">
        <v>60</v>
      </c>
      <c r="O969" t="s">
        <v>35</v>
      </c>
      <c r="P969">
        <v>18</v>
      </c>
      <c r="Q969">
        <v>6.36</v>
      </c>
      <c r="R969">
        <v>51.7</v>
      </c>
      <c r="S969">
        <v>106.23</v>
      </c>
      <c r="T969">
        <v>62.47</v>
      </c>
      <c r="U969">
        <v>1</v>
      </c>
      <c r="V969">
        <v>0</v>
      </c>
      <c r="W969">
        <v>168.7</v>
      </c>
      <c r="X969">
        <v>42.2</v>
      </c>
      <c r="Y969">
        <v>105.9</v>
      </c>
      <c r="Z969">
        <v>15.95</v>
      </c>
      <c r="AA969">
        <v>4.84</v>
      </c>
      <c r="AB969">
        <v>147.91</v>
      </c>
      <c r="AC969">
        <v>171.65570599613153</v>
      </c>
      <c r="AD969">
        <v>23.2562893081761</v>
      </c>
      <c r="AE969">
        <v>80.16</v>
      </c>
      <c r="AF969">
        <v>16.559999999999999</v>
      </c>
      <c r="AG969">
        <v>1</v>
      </c>
      <c r="AH969">
        <v>22.23</v>
      </c>
      <c r="AI969">
        <v>82.23</v>
      </c>
      <c r="AJ969">
        <v>157.9</v>
      </c>
      <c r="AK969">
        <v>66.650000000000006</v>
      </c>
      <c r="AL969" t="s">
        <v>14</v>
      </c>
      <c r="AM969" t="s">
        <v>15</v>
      </c>
      <c r="AN969" t="str">
        <f t="shared" si="60"/>
        <v>Night</v>
      </c>
      <c r="AO969" t="str">
        <f t="shared" si="61"/>
        <v>Peak</v>
      </c>
      <c r="AP969" t="str">
        <f t="shared" si="62"/>
        <v>Medium</v>
      </c>
      <c r="AQ969" t="str">
        <f t="shared" si="63"/>
        <v>Medium</v>
      </c>
    </row>
    <row r="970" spans="1:43" x14ac:dyDescent="0.3">
      <c r="A970">
        <v>969</v>
      </c>
      <c r="B970" t="s">
        <v>23</v>
      </c>
      <c r="C970" t="s">
        <v>17</v>
      </c>
      <c r="D970" s="1">
        <v>46132</v>
      </c>
      <c r="E970" t="s">
        <v>38</v>
      </c>
      <c r="F970">
        <v>0</v>
      </c>
      <c r="G970">
        <v>11</v>
      </c>
      <c r="H970" t="s">
        <v>19</v>
      </c>
      <c r="I970" t="s">
        <v>28</v>
      </c>
      <c r="J970">
        <v>1.03</v>
      </c>
      <c r="K970" t="s">
        <v>12</v>
      </c>
      <c r="L970">
        <v>0</v>
      </c>
      <c r="M970">
        <v>3.05</v>
      </c>
      <c r="N970">
        <v>11</v>
      </c>
      <c r="O970" t="s">
        <v>22</v>
      </c>
      <c r="P970">
        <v>3</v>
      </c>
      <c r="Q970">
        <v>5.61</v>
      </c>
      <c r="R970">
        <v>38.9</v>
      </c>
      <c r="S970">
        <v>120.72</v>
      </c>
      <c r="T970">
        <v>27.68</v>
      </c>
      <c r="U970">
        <v>1.0900000000000001</v>
      </c>
      <c r="V970">
        <v>10.86</v>
      </c>
      <c r="W970">
        <v>159.26</v>
      </c>
      <c r="X970">
        <v>44.6</v>
      </c>
      <c r="Y970">
        <v>106.95</v>
      </c>
      <c r="Z970">
        <v>13.43</v>
      </c>
      <c r="AA970">
        <v>3.42</v>
      </c>
      <c r="AB970">
        <v>142.41</v>
      </c>
      <c r="AC970">
        <v>219.65552699228792</v>
      </c>
      <c r="AD970">
        <v>25.385026737967912</v>
      </c>
      <c r="AE970">
        <v>88.77</v>
      </c>
      <c r="AF970">
        <v>16.100000000000001</v>
      </c>
      <c r="AG970">
        <v>0</v>
      </c>
      <c r="AH970">
        <v>-6.25</v>
      </c>
      <c r="AI970">
        <v>5</v>
      </c>
      <c r="AJ970">
        <v>203.88</v>
      </c>
      <c r="AK970">
        <v>73.14</v>
      </c>
      <c r="AL970" t="s">
        <v>23</v>
      </c>
      <c r="AM970" t="s">
        <v>24</v>
      </c>
      <c r="AN970" t="str">
        <f t="shared" si="60"/>
        <v>Afternoon</v>
      </c>
      <c r="AO970" t="str">
        <f t="shared" si="61"/>
        <v>Off-Peak</v>
      </c>
      <c r="AP970" t="str">
        <f t="shared" si="62"/>
        <v>Medium</v>
      </c>
      <c r="AQ970" t="str">
        <f t="shared" si="63"/>
        <v>Low</v>
      </c>
    </row>
    <row r="971" spans="1:43" x14ac:dyDescent="0.3">
      <c r="A971">
        <v>970</v>
      </c>
      <c r="B971" t="s">
        <v>7</v>
      </c>
      <c r="C971" t="s">
        <v>8</v>
      </c>
      <c r="D971" s="1">
        <v>46053</v>
      </c>
      <c r="E971" t="s">
        <v>31</v>
      </c>
      <c r="F971">
        <v>1</v>
      </c>
      <c r="G971">
        <v>10</v>
      </c>
      <c r="H971" t="s">
        <v>49</v>
      </c>
      <c r="I971" t="s">
        <v>28</v>
      </c>
      <c r="J971">
        <v>1.03</v>
      </c>
      <c r="K971" t="s">
        <v>12</v>
      </c>
      <c r="L971">
        <v>0</v>
      </c>
      <c r="M971">
        <v>2.4900000000000002</v>
      </c>
      <c r="N971">
        <v>22</v>
      </c>
      <c r="O971" t="s">
        <v>22</v>
      </c>
      <c r="P971">
        <v>7</v>
      </c>
      <c r="Q971">
        <v>6.56</v>
      </c>
      <c r="R971">
        <v>47.8</v>
      </c>
      <c r="S971">
        <v>94.51</v>
      </c>
      <c r="T971">
        <v>49.12</v>
      </c>
      <c r="U971">
        <v>1</v>
      </c>
      <c r="V971">
        <v>0</v>
      </c>
      <c r="W971">
        <v>143.63</v>
      </c>
      <c r="X971">
        <v>35.5</v>
      </c>
      <c r="Y971">
        <v>105.72</v>
      </c>
      <c r="Z971">
        <v>19.510000000000002</v>
      </c>
      <c r="AA971">
        <v>2.82</v>
      </c>
      <c r="AB971">
        <v>121.3</v>
      </c>
      <c r="AC971">
        <v>152.25941422594141</v>
      </c>
      <c r="AD971">
        <v>18.490853658536587</v>
      </c>
      <c r="AE971">
        <v>74.56</v>
      </c>
      <c r="AF971">
        <v>11.92</v>
      </c>
      <c r="AG971">
        <v>1</v>
      </c>
      <c r="AH971">
        <v>-25.01</v>
      </c>
      <c r="AI971">
        <v>5</v>
      </c>
      <c r="AJ971">
        <v>157.29</v>
      </c>
      <c r="AK971">
        <v>72.010000000000005</v>
      </c>
      <c r="AL971" t="s">
        <v>14</v>
      </c>
      <c r="AM971" t="s">
        <v>15</v>
      </c>
      <c r="AN971" t="str">
        <f t="shared" si="60"/>
        <v>Morning</v>
      </c>
      <c r="AO971" t="str">
        <f t="shared" si="61"/>
        <v>Peak</v>
      </c>
      <c r="AP971" t="str">
        <f t="shared" si="62"/>
        <v>Medium</v>
      </c>
      <c r="AQ971" t="str">
        <f t="shared" si="63"/>
        <v>Low</v>
      </c>
    </row>
    <row r="972" spans="1:43" x14ac:dyDescent="0.3">
      <c r="A972">
        <v>971</v>
      </c>
      <c r="B972" t="s">
        <v>48</v>
      </c>
      <c r="C972" t="s">
        <v>30</v>
      </c>
      <c r="D972" s="1">
        <v>46277</v>
      </c>
      <c r="E972" t="s">
        <v>31</v>
      </c>
      <c r="F972">
        <v>1</v>
      </c>
      <c r="G972">
        <v>18</v>
      </c>
      <c r="H972" t="s">
        <v>32</v>
      </c>
      <c r="I972" t="s">
        <v>45</v>
      </c>
      <c r="J972">
        <v>1</v>
      </c>
      <c r="K972" t="s">
        <v>34</v>
      </c>
      <c r="L972">
        <v>1</v>
      </c>
      <c r="M972">
        <v>5</v>
      </c>
      <c r="N972">
        <v>123</v>
      </c>
      <c r="O972" t="s">
        <v>13</v>
      </c>
      <c r="P972">
        <v>32</v>
      </c>
      <c r="Q972">
        <v>6.95</v>
      </c>
      <c r="R972">
        <v>55.2</v>
      </c>
      <c r="S972">
        <v>117.13</v>
      </c>
      <c r="T972">
        <v>100</v>
      </c>
      <c r="U972">
        <v>1</v>
      </c>
      <c r="V972">
        <v>0</v>
      </c>
      <c r="W972">
        <v>217.13</v>
      </c>
      <c r="X972">
        <v>35.5</v>
      </c>
      <c r="Y972">
        <v>105.58</v>
      </c>
      <c r="Z972">
        <v>20.64</v>
      </c>
      <c r="AA972">
        <v>8.3800000000000008</v>
      </c>
      <c r="AB972">
        <v>188.11</v>
      </c>
      <c r="AC972">
        <v>204.46739130434784</v>
      </c>
      <c r="AD972">
        <v>27.066187050359712</v>
      </c>
      <c r="AE972">
        <v>69.930000000000007</v>
      </c>
      <c r="AF972">
        <v>15.72</v>
      </c>
      <c r="AG972">
        <v>1</v>
      </c>
      <c r="AH972">
        <v>9.57</v>
      </c>
      <c r="AI972">
        <v>132.57</v>
      </c>
      <c r="AJ972">
        <v>228.02</v>
      </c>
      <c r="AK972">
        <v>80.349999999999994</v>
      </c>
      <c r="AL972" t="s">
        <v>23</v>
      </c>
      <c r="AM972" t="s">
        <v>24</v>
      </c>
      <c r="AN972" t="str">
        <f t="shared" si="60"/>
        <v>Night</v>
      </c>
      <c r="AO972" t="str">
        <f t="shared" si="61"/>
        <v>Peak</v>
      </c>
      <c r="AP972" t="str">
        <f t="shared" si="62"/>
        <v>Medium</v>
      </c>
      <c r="AQ972" t="str">
        <f t="shared" si="63"/>
        <v>High</v>
      </c>
    </row>
    <row r="973" spans="1:43" x14ac:dyDescent="0.3">
      <c r="A973">
        <v>972</v>
      </c>
      <c r="B973" t="s">
        <v>48</v>
      </c>
      <c r="C973" t="s">
        <v>30</v>
      </c>
      <c r="D973" s="1">
        <v>46084</v>
      </c>
      <c r="E973" t="s">
        <v>44</v>
      </c>
      <c r="F973">
        <v>0</v>
      </c>
      <c r="G973">
        <v>8</v>
      </c>
      <c r="H973" t="s">
        <v>47</v>
      </c>
      <c r="I973" t="s">
        <v>33</v>
      </c>
      <c r="J973">
        <v>1</v>
      </c>
      <c r="K973" t="s">
        <v>12</v>
      </c>
      <c r="L973">
        <v>0</v>
      </c>
      <c r="M973">
        <v>2.16</v>
      </c>
      <c r="N973">
        <v>38</v>
      </c>
      <c r="O973" t="s">
        <v>35</v>
      </c>
      <c r="P973">
        <v>9</v>
      </c>
      <c r="Q973">
        <v>10.25</v>
      </c>
      <c r="R973">
        <v>57.6</v>
      </c>
      <c r="S973">
        <v>138.41999999999999</v>
      </c>
      <c r="T973">
        <v>36.17</v>
      </c>
      <c r="U973">
        <v>1</v>
      </c>
      <c r="V973">
        <v>0</v>
      </c>
      <c r="W973">
        <v>174.59</v>
      </c>
      <c r="X973">
        <v>40.200000000000003</v>
      </c>
      <c r="Y973">
        <v>104.36</v>
      </c>
      <c r="Z973">
        <v>26.57</v>
      </c>
      <c r="AA973">
        <v>7.95</v>
      </c>
      <c r="AB973">
        <v>140.07</v>
      </c>
      <c r="AC973">
        <v>145.90624999999997</v>
      </c>
      <c r="AD973">
        <v>13.665365853658535</v>
      </c>
      <c r="AE973">
        <v>88.19</v>
      </c>
      <c r="AF973">
        <v>13.82</v>
      </c>
      <c r="AG973">
        <v>0</v>
      </c>
      <c r="AH973">
        <v>9.2799999999999994</v>
      </c>
      <c r="AI973">
        <v>47.28</v>
      </c>
      <c r="AJ973">
        <v>133.80000000000001</v>
      </c>
      <c r="AK973">
        <v>71.16</v>
      </c>
      <c r="AL973" t="s">
        <v>23</v>
      </c>
      <c r="AM973" t="s">
        <v>24</v>
      </c>
      <c r="AN973" t="str">
        <f t="shared" si="60"/>
        <v>Morning</v>
      </c>
      <c r="AO973" t="str">
        <f t="shared" si="61"/>
        <v>Peak</v>
      </c>
      <c r="AP973" t="str">
        <f t="shared" si="62"/>
        <v>Low</v>
      </c>
      <c r="AQ973" t="str">
        <f t="shared" si="63"/>
        <v>Medium</v>
      </c>
    </row>
    <row r="974" spans="1:43" x14ac:dyDescent="0.3">
      <c r="A974">
        <v>973</v>
      </c>
      <c r="B974" t="s">
        <v>29</v>
      </c>
      <c r="C974" t="s">
        <v>30</v>
      </c>
      <c r="D974" s="1">
        <v>46102</v>
      </c>
      <c r="E974" t="s">
        <v>31</v>
      </c>
      <c r="F974">
        <v>1</v>
      </c>
      <c r="G974">
        <v>14</v>
      </c>
      <c r="H974" t="s">
        <v>43</v>
      </c>
      <c r="I974" t="s">
        <v>28</v>
      </c>
      <c r="J974">
        <v>1.03</v>
      </c>
      <c r="K974" t="s">
        <v>34</v>
      </c>
      <c r="L974">
        <v>1</v>
      </c>
      <c r="M974">
        <v>3.84</v>
      </c>
      <c r="N974">
        <v>68</v>
      </c>
      <c r="O974" t="s">
        <v>35</v>
      </c>
      <c r="P974">
        <v>17</v>
      </c>
      <c r="Q974">
        <v>1</v>
      </c>
      <c r="R974">
        <v>26.7</v>
      </c>
      <c r="S974">
        <v>59.69</v>
      </c>
      <c r="T974">
        <v>89.69</v>
      </c>
      <c r="U974">
        <v>1</v>
      </c>
      <c r="V974">
        <v>0</v>
      </c>
      <c r="W974">
        <v>149.38</v>
      </c>
      <c r="X974">
        <v>45.3</v>
      </c>
      <c r="Y974">
        <v>104.3</v>
      </c>
      <c r="Z974">
        <v>2.2999999999999998</v>
      </c>
      <c r="AA974">
        <v>10.59</v>
      </c>
      <c r="AB974">
        <v>136.49</v>
      </c>
      <c r="AC974">
        <v>306.71910112359552</v>
      </c>
      <c r="AD974">
        <v>136.49</v>
      </c>
      <c r="AE974">
        <v>67.67</v>
      </c>
      <c r="AF974">
        <v>16.010000000000002</v>
      </c>
      <c r="AG974">
        <v>1</v>
      </c>
      <c r="AH974">
        <v>14.52</v>
      </c>
      <c r="AI974">
        <v>82.52</v>
      </c>
      <c r="AJ974">
        <v>303.44</v>
      </c>
      <c r="AK974">
        <v>76.540000000000006</v>
      </c>
      <c r="AL974" t="s">
        <v>14</v>
      </c>
      <c r="AM974" t="s">
        <v>15</v>
      </c>
      <c r="AN974" t="str">
        <f t="shared" si="60"/>
        <v>Afternoon</v>
      </c>
      <c r="AO974" t="str">
        <f t="shared" si="61"/>
        <v>Off-Peak</v>
      </c>
      <c r="AP974" t="str">
        <f t="shared" si="62"/>
        <v>High</v>
      </c>
      <c r="AQ974" t="str">
        <f t="shared" si="63"/>
        <v>Medium</v>
      </c>
    </row>
    <row r="975" spans="1:43" x14ac:dyDescent="0.3">
      <c r="A975">
        <v>974</v>
      </c>
      <c r="B975" t="s">
        <v>29</v>
      </c>
      <c r="C975" t="s">
        <v>30</v>
      </c>
      <c r="D975" s="1">
        <v>46152</v>
      </c>
      <c r="E975" t="s">
        <v>26</v>
      </c>
      <c r="F975">
        <v>1</v>
      </c>
      <c r="G975">
        <v>21</v>
      </c>
      <c r="H975" t="s">
        <v>36</v>
      </c>
      <c r="I975" t="s">
        <v>33</v>
      </c>
      <c r="J975">
        <v>1</v>
      </c>
      <c r="K975" t="s">
        <v>12</v>
      </c>
      <c r="L975">
        <v>0</v>
      </c>
      <c r="M975">
        <v>2.74</v>
      </c>
      <c r="N975">
        <v>31</v>
      </c>
      <c r="O975" t="s">
        <v>22</v>
      </c>
      <c r="P975">
        <v>10</v>
      </c>
      <c r="Q975">
        <v>1.08</v>
      </c>
      <c r="R975">
        <v>27.5</v>
      </c>
      <c r="S975">
        <v>51.75</v>
      </c>
      <c r="T975">
        <v>31.11</v>
      </c>
      <c r="U975">
        <v>1</v>
      </c>
      <c r="V975">
        <v>0</v>
      </c>
      <c r="W975">
        <v>82.86</v>
      </c>
      <c r="X975">
        <v>45</v>
      </c>
      <c r="Y975">
        <v>104.91</v>
      </c>
      <c r="Z975">
        <v>2.52</v>
      </c>
      <c r="AA975">
        <v>5.15</v>
      </c>
      <c r="AB975">
        <v>75.19</v>
      </c>
      <c r="AC975">
        <v>164.0509090909091</v>
      </c>
      <c r="AD975">
        <v>69.620370370370367</v>
      </c>
      <c r="AE975">
        <v>70</v>
      </c>
      <c r="AF975">
        <v>14.88</v>
      </c>
      <c r="AG975">
        <v>1</v>
      </c>
      <c r="AH975">
        <v>19.739999999999998</v>
      </c>
      <c r="AI975">
        <v>50.74</v>
      </c>
      <c r="AJ975">
        <v>147.02000000000001</v>
      </c>
      <c r="AK975">
        <v>63.69</v>
      </c>
      <c r="AL975" t="s">
        <v>14</v>
      </c>
      <c r="AM975" t="s">
        <v>15</v>
      </c>
      <c r="AN975" t="str">
        <f t="shared" si="60"/>
        <v>Night</v>
      </c>
      <c r="AO975" t="str">
        <f t="shared" si="61"/>
        <v>Off-Peak</v>
      </c>
      <c r="AP975" t="str">
        <f t="shared" si="62"/>
        <v>Medium</v>
      </c>
      <c r="AQ975" t="str">
        <f t="shared" si="63"/>
        <v>Low</v>
      </c>
    </row>
    <row r="976" spans="1:43" x14ac:dyDescent="0.3">
      <c r="A976">
        <v>975</v>
      </c>
      <c r="B976" t="s">
        <v>14</v>
      </c>
      <c r="C976" t="s">
        <v>8</v>
      </c>
      <c r="D976" s="1">
        <v>46196</v>
      </c>
      <c r="E976" t="s">
        <v>44</v>
      </c>
      <c r="F976">
        <v>0</v>
      </c>
      <c r="G976">
        <v>18</v>
      </c>
      <c r="H976" t="s">
        <v>51</v>
      </c>
      <c r="I976" t="s">
        <v>42</v>
      </c>
      <c r="J976">
        <v>1.08</v>
      </c>
      <c r="K976" t="s">
        <v>12</v>
      </c>
      <c r="L976">
        <v>0</v>
      </c>
      <c r="M976">
        <v>5</v>
      </c>
      <c r="N976">
        <v>90</v>
      </c>
      <c r="O976" t="s">
        <v>13</v>
      </c>
      <c r="P976">
        <v>33</v>
      </c>
      <c r="Q976">
        <v>6</v>
      </c>
      <c r="R976">
        <v>55.9</v>
      </c>
      <c r="S976">
        <v>98.45</v>
      </c>
      <c r="T976">
        <v>98.52</v>
      </c>
      <c r="U976">
        <v>1</v>
      </c>
      <c r="V976">
        <v>0</v>
      </c>
      <c r="W976">
        <v>196.97</v>
      </c>
      <c r="X976">
        <v>39.200000000000003</v>
      </c>
      <c r="Y976">
        <v>104.52</v>
      </c>
      <c r="Z976">
        <v>16.010000000000002</v>
      </c>
      <c r="AA976">
        <v>3.37</v>
      </c>
      <c r="AB976">
        <v>177.59</v>
      </c>
      <c r="AC976">
        <v>190.61538461538461</v>
      </c>
      <c r="AD976">
        <v>29.598333333333333</v>
      </c>
      <c r="AE976">
        <v>81.37</v>
      </c>
      <c r="AF976">
        <v>15.63</v>
      </c>
      <c r="AG976">
        <v>1</v>
      </c>
      <c r="AH976">
        <v>-10.78</v>
      </c>
      <c r="AI976">
        <v>79.22</v>
      </c>
      <c r="AJ976">
        <v>223.36</v>
      </c>
      <c r="AK976">
        <v>73.209999999999994</v>
      </c>
      <c r="AL976" t="s">
        <v>14</v>
      </c>
      <c r="AM976" t="s">
        <v>15</v>
      </c>
      <c r="AN976" t="str">
        <f t="shared" si="60"/>
        <v>Night</v>
      </c>
      <c r="AO976" t="str">
        <f t="shared" si="61"/>
        <v>Peak</v>
      </c>
      <c r="AP976" t="str">
        <f t="shared" si="62"/>
        <v>Medium</v>
      </c>
      <c r="AQ976" t="str">
        <f t="shared" si="63"/>
        <v>High</v>
      </c>
    </row>
    <row r="977" spans="1:43" x14ac:dyDescent="0.3">
      <c r="A977">
        <v>976</v>
      </c>
      <c r="B977" t="s">
        <v>14</v>
      </c>
      <c r="C977" t="s">
        <v>8</v>
      </c>
      <c r="D977" s="1">
        <v>46153</v>
      </c>
      <c r="E977" t="s">
        <v>38</v>
      </c>
      <c r="F977">
        <v>0</v>
      </c>
      <c r="G977">
        <v>19</v>
      </c>
      <c r="H977" t="s">
        <v>51</v>
      </c>
      <c r="I977" t="s">
        <v>33</v>
      </c>
      <c r="J977">
        <v>1</v>
      </c>
      <c r="K977" t="s">
        <v>12</v>
      </c>
      <c r="L977">
        <v>0</v>
      </c>
      <c r="M977">
        <v>3.38</v>
      </c>
      <c r="N977">
        <v>63</v>
      </c>
      <c r="O977" t="s">
        <v>35</v>
      </c>
      <c r="P977">
        <v>33</v>
      </c>
      <c r="Q977">
        <v>2.65</v>
      </c>
      <c r="R977">
        <v>30.8</v>
      </c>
      <c r="S977">
        <v>57.92</v>
      </c>
      <c r="T977">
        <v>78.33</v>
      </c>
      <c r="U977">
        <v>1</v>
      </c>
      <c r="V977">
        <v>0</v>
      </c>
      <c r="W977">
        <v>136.25</v>
      </c>
      <c r="X977">
        <v>38.200000000000003</v>
      </c>
      <c r="Y977">
        <v>104.39</v>
      </c>
      <c r="Z977">
        <v>7.22</v>
      </c>
      <c r="AA977">
        <v>9.99</v>
      </c>
      <c r="AB977">
        <v>119.04</v>
      </c>
      <c r="AC977">
        <v>231.89610389610391</v>
      </c>
      <c r="AD977">
        <v>44.920754716981136</v>
      </c>
      <c r="AE977">
        <v>80.38</v>
      </c>
      <c r="AF977">
        <v>16.61</v>
      </c>
      <c r="AG977">
        <v>1</v>
      </c>
      <c r="AH977">
        <v>-10.119999999999999</v>
      </c>
      <c r="AI977">
        <v>52.88</v>
      </c>
      <c r="AJ977">
        <v>233.08</v>
      </c>
      <c r="AK977">
        <v>80.349999999999994</v>
      </c>
      <c r="AL977" t="s">
        <v>14</v>
      </c>
      <c r="AM977" t="s">
        <v>15</v>
      </c>
      <c r="AN977" t="str">
        <f t="shared" si="60"/>
        <v>Night</v>
      </c>
      <c r="AO977" t="str">
        <f t="shared" si="61"/>
        <v>Peak</v>
      </c>
      <c r="AP977" t="str">
        <f t="shared" si="62"/>
        <v>Medium</v>
      </c>
      <c r="AQ977" t="str">
        <f t="shared" si="63"/>
        <v>Medium</v>
      </c>
    </row>
    <row r="978" spans="1:43" x14ac:dyDescent="0.3">
      <c r="A978">
        <v>977</v>
      </c>
      <c r="B978" t="s">
        <v>7</v>
      </c>
      <c r="C978" t="s">
        <v>8</v>
      </c>
      <c r="D978" s="1">
        <v>46153</v>
      </c>
      <c r="E978" t="s">
        <v>38</v>
      </c>
      <c r="F978">
        <v>0</v>
      </c>
      <c r="G978">
        <v>8</v>
      </c>
      <c r="H978" t="s">
        <v>49</v>
      </c>
      <c r="I978" t="s">
        <v>46</v>
      </c>
      <c r="J978">
        <v>1.1499999999999999</v>
      </c>
      <c r="K978" t="s">
        <v>12</v>
      </c>
      <c r="L978">
        <v>0</v>
      </c>
      <c r="M978">
        <v>2.41</v>
      </c>
      <c r="N978">
        <v>22</v>
      </c>
      <c r="O978" t="s">
        <v>22</v>
      </c>
      <c r="P978">
        <v>11</v>
      </c>
      <c r="Q978">
        <v>2.39</v>
      </c>
      <c r="R978">
        <v>25.5</v>
      </c>
      <c r="S978">
        <v>63.04</v>
      </c>
      <c r="T978">
        <v>16.170000000000002</v>
      </c>
      <c r="U978">
        <v>1</v>
      </c>
      <c r="V978">
        <v>0</v>
      </c>
      <c r="W978">
        <v>79.209999999999994</v>
      </c>
      <c r="X978">
        <v>45.2</v>
      </c>
      <c r="Y978">
        <v>102.1</v>
      </c>
      <c r="Z978">
        <v>5.39</v>
      </c>
      <c r="AA978">
        <v>11.88</v>
      </c>
      <c r="AB978">
        <v>61.94</v>
      </c>
      <c r="AC978">
        <v>145.74117647058824</v>
      </c>
      <c r="AD978">
        <v>25.916317991631797</v>
      </c>
      <c r="AE978">
        <v>62.2</v>
      </c>
      <c r="AF978">
        <v>15.91</v>
      </c>
      <c r="AG978">
        <v>0</v>
      </c>
      <c r="AH978">
        <v>-1.78</v>
      </c>
      <c r="AI978">
        <v>20.22</v>
      </c>
      <c r="AJ978">
        <v>145.97999999999999</v>
      </c>
      <c r="AK978">
        <v>73.33</v>
      </c>
      <c r="AL978" t="s">
        <v>14</v>
      </c>
      <c r="AM978" t="s">
        <v>15</v>
      </c>
      <c r="AN978" t="str">
        <f t="shared" si="60"/>
        <v>Morning</v>
      </c>
      <c r="AO978" t="str">
        <f t="shared" si="61"/>
        <v>Peak</v>
      </c>
      <c r="AP978" t="str">
        <f t="shared" si="62"/>
        <v>Low</v>
      </c>
      <c r="AQ978" t="str">
        <f t="shared" si="63"/>
        <v>Low</v>
      </c>
    </row>
    <row r="979" spans="1:43" x14ac:dyDescent="0.3">
      <c r="A979">
        <v>978</v>
      </c>
      <c r="B979" t="s">
        <v>25</v>
      </c>
      <c r="C979" t="s">
        <v>17</v>
      </c>
      <c r="D979" s="1">
        <v>46173</v>
      </c>
      <c r="E979" t="s">
        <v>26</v>
      </c>
      <c r="F979">
        <v>1</v>
      </c>
      <c r="G979">
        <v>10</v>
      </c>
      <c r="H979" t="s">
        <v>19</v>
      </c>
      <c r="I979" t="s">
        <v>20</v>
      </c>
      <c r="J979">
        <v>1.25</v>
      </c>
      <c r="K979" t="s">
        <v>34</v>
      </c>
      <c r="L979">
        <v>1</v>
      </c>
      <c r="M979">
        <v>2.72</v>
      </c>
      <c r="N979">
        <v>83</v>
      </c>
      <c r="O979" t="s">
        <v>13</v>
      </c>
      <c r="P979">
        <v>10</v>
      </c>
      <c r="Q979">
        <v>2.11</v>
      </c>
      <c r="R979">
        <v>31.6</v>
      </c>
      <c r="S979">
        <v>84.25</v>
      </c>
      <c r="T979">
        <v>81.34</v>
      </c>
      <c r="U979">
        <v>1.19</v>
      </c>
      <c r="V979">
        <v>16.010000000000002</v>
      </c>
      <c r="W979">
        <v>181.6</v>
      </c>
      <c r="X979">
        <v>35.4</v>
      </c>
      <c r="Y979">
        <v>107.25</v>
      </c>
      <c r="Z979">
        <v>6.39</v>
      </c>
      <c r="AA979">
        <v>5.6</v>
      </c>
      <c r="AB979">
        <v>169.61</v>
      </c>
      <c r="AC979">
        <v>322.04430379746833</v>
      </c>
      <c r="AD979">
        <v>80.383886255924182</v>
      </c>
      <c r="AE979">
        <v>72.67</v>
      </c>
      <c r="AF979">
        <v>15.97</v>
      </c>
      <c r="AG979">
        <v>1</v>
      </c>
      <c r="AH979">
        <v>15.32</v>
      </c>
      <c r="AI979">
        <v>98.32</v>
      </c>
      <c r="AJ979">
        <v>328.67</v>
      </c>
      <c r="AK979">
        <v>75.599999999999994</v>
      </c>
      <c r="AL979" t="s">
        <v>23</v>
      </c>
      <c r="AM979" t="s">
        <v>24</v>
      </c>
      <c r="AN979" t="str">
        <f t="shared" si="60"/>
        <v>Morning</v>
      </c>
      <c r="AO979" t="str">
        <f t="shared" si="61"/>
        <v>Peak</v>
      </c>
      <c r="AP979" t="str">
        <f t="shared" si="62"/>
        <v>High</v>
      </c>
      <c r="AQ979" t="str">
        <f t="shared" si="63"/>
        <v>High</v>
      </c>
    </row>
    <row r="980" spans="1:43" x14ac:dyDescent="0.3">
      <c r="A980">
        <v>979</v>
      </c>
      <c r="B980" t="s">
        <v>48</v>
      </c>
      <c r="C980" t="s">
        <v>30</v>
      </c>
      <c r="D980" s="1">
        <v>46244</v>
      </c>
      <c r="E980" t="s">
        <v>38</v>
      </c>
      <c r="F980">
        <v>0</v>
      </c>
      <c r="G980">
        <v>11</v>
      </c>
      <c r="H980" t="s">
        <v>43</v>
      </c>
      <c r="I980" t="s">
        <v>37</v>
      </c>
      <c r="J980">
        <v>1.02</v>
      </c>
      <c r="K980" t="s">
        <v>12</v>
      </c>
      <c r="L980">
        <v>0</v>
      </c>
      <c r="M980">
        <v>3.26</v>
      </c>
      <c r="N980">
        <v>30</v>
      </c>
      <c r="O980" t="s">
        <v>22</v>
      </c>
      <c r="P980">
        <v>10</v>
      </c>
      <c r="Q980">
        <v>6.71</v>
      </c>
      <c r="R980">
        <v>39.200000000000003</v>
      </c>
      <c r="S980">
        <v>110.69</v>
      </c>
      <c r="T980">
        <v>24.86</v>
      </c>
      <c r="U980">
        <v>1</v>
      </c>
      <c r="V980">
        <v>0</v>
      </c>
      <c r="W980">
        <v>135.55000000000001</v>
      </c>
      <c r="X980">
        <v>43.4</v>
      </c>
      <c r="Y980">
        <v>101.33</v>
      </c>
      <c r="Z980">
        <v>15.68</v>
      </c>
      <c r="AA980">
        <v>10.65</v>
      </c>
      <c r="AB980">
        <v>109.22</v>
      </c>
      <c r="AC980">
        <v>167.17346938775506</v>
      </c>
      <c r="AD980">
        <v>16.277198211624441</v>
      </c>
      <c r="AE980">
        <v>62.55</v>
      </c>
      <c r="AF980">
        <v>16.829999999999998</v>
      </c>
      <c r="AG980">
        <v>0</v>
      </c>
      <c r="AH980">
        <v>-28.54</v>
      </c>
      <c r="AI980">
        <v>5</v>
      </c>
      <c r="AJ980">
        <v>183.55</v>
      </c>
      <c r="AK980">
        <v>66.89</v>
      </c>
      <c r="AL980" t="s">
        <v>14</v>
      </c>
      <c r="AM980" t="s">
        <v>15</v>
      </c>
      <c r="AN980" t="str">
        <f t="shared" si="60"/>
        <v>Afternoon</v>
      </c>
      <c r="AO980" t="str">
        <f t="shared" si="61"/>
        <v>Off-Peak</v>
      </c>
      <c r="AP980" t="str">
        <f t="shared" si="62"/>
        <v>Medium</v>
      </c>
      <c r="AQ980" t="str">
        <f t="shared" si="63"/>
        <v>Low</v>
      </c>
    </row>
    <row r="981" spans="1:43" x14ac:dyDescent="0.3">
      <c r="A981">
        <v>980</v>
      </c>
      <c r="B981" t="s">
        <v>29</v>
      </c>
      <c r="C981" t="s">
        <v>30</v>
      </c>
      <c r="D981" s="1">
        <v>46124</v>
      </c>
      <c r="E981" t="s">
        <v>26</v>
      </c>
      <c r="F981">
        <v>1</v>
      </c>
      <c r="G981">
        <v>11</v>
      </c>
      <c r="H981" t="s">
        <v>43</v>
      </c>
      <c r="I981" t="s">
        <v>20</v>
      </c>
      <c r="J981">
        <v>1.25</v>
      </c>
      <c r="K981" t="s">
        <v>34</v>
      </c>
      <c r="L981">
        <v>1</v>
      </c>
      <c r="M981">
        <v>2.4</v>
      </c>
      <c r="N981">
        <v>92</v>
      </c>
      <c r="O981" t="s">
        <v>13</v>
      </c>
      <c r="P981">
        <v>29</v>
      </c>
      <c r="Q981">
        <v>13.42</v>
      </c>
      <c r="R981">
        <v>82</v>
      </c>
      <c r="S981">
        <v>172.49</v>
      </c>
      <c r="T981">
        <v>100</v>
      </c>
      <c r="U981">
        <v>1</v>
      </c>
      <c r="V981">
        <v>0</v>
      </c>
      <c r="W981">
        <v>272.49</v>
      </c>
      <c r="X981">
        <v>41.4</v>
      </c>
      <c r="Y981">
        <v>109.09</v>
      </c>
      <c r="Z981">
        <v>35.380000000000003</v>
      </c>
      <c r="AA981">
        <v>9.6300000000000008</v>
      </c>
      <c r="AB981">
        <v>227.48</v>
      </c>
      <c r="AC981">
        <v>166.44878048780487</v>
      </c>
      <c r="AD981">
        <v>16.950819672131146</v>
      </c>
      <c r="AE981">
        <v>84.33</v>
      </c>
      <c r="AF981">
        <v>11.99</v>
      </c>
      <c r="AG981">
        <v>1</v>
      </c>
      <c r="AH981">
        <v>4.92</v>
      </c>
      <c r="AI981">
        <v>96.92</v>
      </c>
      <c r="AJ981">
        <v>157.22999999999999</v>
      </c>
      <c r="AK981">
        <v>82.91</v>
      </c>
      <c r="AL981" t="s">
        <v>23</v>
      </c>
      <c r="AM981" t="s">
        <v>24</v>
      </c>
      <c r="AN981" t="str">
        <f t="shared" si="60"/>
        <v>Afternoon</v>
      </c>
      <c r="AO981" t="str">
        <f t="shared" si="61"/>
        <v>Off-Peak</v>
      </c>
      <c r="AP981" t="str">
        <f t="shared" si="62"/>
        <v>Medium</v>
      </c>
      <c r="AQ981" t="str">
        <f t="shared" si="63"/>
        <v>High</v>
      </c>
    </row>
    <row r="982" spans="1:43" x14ac:dyDescent="0.3">
      <c r="A982">
        <v>981</v>
      </c>
      <c r="B982" t="s">
        <v>25</v>
      </c>
      <c r="C982" t="s">
        <v>17</v>
      </c>
      <c r="D982" s="1">
        <v>46237</v>
      </c>
      <c r="E982" t="s">
        <v>38</v>
      </c>
      <c r="F982">
        <v>0</v>
      </c>
      <c r="G982">
        <v>10</v>
      </c>
      <c r="H982" t="s">
        <v>19</v>
      </c>
      <c r="I982" t="s">
        <v>37</v>
      </c>
      <c r="J982">
        <v>1.02</v>
      </c>
      <c r="K982" t="s">
        <v>12</v>
      </c>
      <c r="L982">
        <v>0</v>
      </c>
      <c r="M982">
        <v>2.62</v>
      </c>
      <c r="N982">
        <v>25</v>
      </c>
      <c r="O982" t="s">
        <v>22</v>
      </c>
      <c r="P982">
        <v>5</v>
      </c>
      <c r="Q982">
        <v>6.92</v>
      </c>
      <c r="R982">
        <v>40.200000000000003</v>
      </c>
      <c r="S982">
        <v>145.15</v>
      </c>
      <c r="T982">
        <v>46.64</v>
      </c>
      <c r="U982">
        <v>1.02</v>
      </c>
      <c r="V982">
        <v>2.9</v>
      </c>
      <c r="W982">
        <v>194.69</v>
      </c>
      <c r="X982">
        <v>38.6</v>
      </c>
      <c r="Y982">
        <v>106.25</v>
      </c>
      <c r="Z982">
        <v>19.059999999999999</v>
      </c>
      <c r="AA982">
        <v>11.12</v>
      </c>
      <c r="AB982">
        <v>164.51</v>
      </c>
      <c r="AC982">
        <v>245.53731343283579</v>
      </c>
      <c r="AD982">
        <v>23.773121387283236</v>
      </c>
      <c r="AE982">
        <v>83.47</v>
      </c>
      <c r="AF982">
        <v>16.28</v>
      </c>
      <c r="AG982">
        <v>0</v>
      </c>
      <c r="AH982">
        <v>16.98</v>
      </c>
      <c r="AI982">
        <v>41.98</v>
      </c>
      <c r="AJ982">
        <v>262.76</v>
      </c>
      <c r="AK982">
        <v>64.77</v>
      </c>
      <c r="AL982" t="s">
        <v>23</v>
      </c>
      <c r="AM982" t="s">
        <v>24</v>
      </c>
      <c r="AN982" t="str">
        <f t="shared" si="60"/>
        <v>Morning</v>
      </c>
      <c r="AO982" t="str">
        <f t="shared" si="61"/>
        <v>Peak</v>
      </c>
      <c r="AP982" t="str">
        <f t="shared" si="62"/>
        <v>Medium</v>
      </c>
      <c r="AQ982" t="str">
        <f t="shared" si="63"/>
        <v>Low</v>
      </c>
    </row>
    <row r="983" spans="1:43" x14ac:dyDescent="0.3">
      <c r="A983">
        <v>982</v>
      </c>
      <c r="B983" t="s">
        <v>25</v>
      </c>
      <c r="C983" t="s">
        <v>17</v>
      </c>
      <c r="D983" s="1">
        <v>46226</v>
      </c>
      <c r="E983" t="s">
        <v>41</v>
      </c>
      <c r="F983">
        <v>0</v>
      </c>
      <c r="G983">
        <v>22</v>
      </c>
      <c r="H983" t="s">
        <v>19</v>
      </c>
      <c r="I983" t="s">
        <v>42</v>
      </c>
      <c r="J983">
        <v>1.08</v>
      </c>
      <c r="K983" t="s">
        <v>34</v>
      </c>
      <c r="L983">
        <v>1</v>
      </c>
      <c r="M983">
        <v>1.78</v>
      </c>
      <c r="N983">
        <v>37</v>
      </c>
      <c r="O983" t="s">
        <v>35</v>
      </c>
      <c r="P983">
        <v>7</v>
      </c>
      <c r="Q983">
        <v>2.5499999999999998</v>
      </c>
      <c r="R983">
        <v>19.5</v>
      </c>
      <c r="S983">
        <v>103.22</v>
      </c>
      <c r="T983">
        <v>39.450000000000003</v>
      </c>
      <c r="U983">
        <v>1.17</v>
      </c>
      <c r="V983">
        <v>17.55</v>
      </c>
      <c r="W983">
        <v>160.22</v>
      </c>
      <c r="X983">
        <v>42.8</v>
      </c>
      <c r="Y983">
        <v>100.49</v>
      </c>
      <c r="Z983">
        <v>5.99</v>
      </c>
      <c r="AA983">
        <v>6.24</v>
      </c>
      <c r="AB983">
        <v>147.99</v>
      </c>
      <c r="AC983">
        <v>455.35384615384618</v>
      </c>
      <c r="AD983">
        <v>58.035294117647069</v>
      </c>
      <c r="AE983">
        <v>65.19</v>
      </c>
      <c r="AF983">
        <v>9.41</v>
      </c>
      <c r="AG983">
        <v>0</v>
      </c>
      <c r="AH983">
        <v>16.36</v>
      </c>
      <c r="AI983">
        <v>53.36</v>
      </c>
      <c r="AJ983">
        <v>400</v>
      </c>
      <c r="AK983">
        <v>63.1</v>
      </c>
      <c r="AL983" t="s">
        <v>23</v>
      </c>
      <c r="AM983" t="s">
        <v>24</v>
      </c>
      <c r="AN983" t="str">
        <f t="shared" si="60"/>
        <v>Night</v>
      </c>
      <c r="AO983" t="str">
        <f t="shared" si="61"/>
        <v>Off-Peak</v>
      </c>
      <c r="AP983" t="str">
        <f t="shared" si="62"/>
        <v>High</v>
      </c>
      <c r="AQ983" t="str">
        <f t="shared" si="63"/>
        <v>Medium</v>
      </c>
    </row>
    <row r="984" spans="1:43" x14ac:dyDescent="0.3">
      <c r="A984">
        <v>983</v>
      </c>
      <c r="B984" t="s">
        <v>29</v>
      </c>
      <c r="C984" t="s">
        <v>30</v>
      </c>
      <c r="D984" s="1">
        <v>46270</v>
      </c>
      <c r="E984" t="s">
        <v>31</v>
      </c>
      <c r="F984">
        <v>1</v>
      </c>
      <c r="G984">
        <v>9</v>
      </c>
      <c r="H984" t="s">
        <v>47</v>
      </c>
      <c r="I984" t="s">
        <v>37</v>
      </c>
      <c r="J984">
        <v>1.02</v>
      </c>
      <c r="K984" t="s">
        <v>34</v>
      </c>
      <c r="L984">
        <v>1</v>
      </c>
      <c r="M984">
        <v>3.69</v>
      </c>
      <c r="N984">
        <v>53</v>
      </c>
      <c r="O984" t="s">
        <v>35</v>
      </c>
      <c r="P984">
        <v>18</v>
      </c>
      <c r="Q984">
        <v>6.48</v>
      </c>
      <c r="R984">
        <v>49.4</v>
      </c>
      <c r="S984">
        <v>108.38</v>
      </c>
      <c r="T984">
        <v>58.02</v>
      </c>
      <c r="U984">
        <v>1</v>
      </c>
      <c r="V984">
        <v>0</v>
      </c>
      <c r="W984">
        <v>166.4</v>
      </c>
      <c r="X984">
        <v>38.299999999999997</v>
      </c>
      <c r="Y984">
        <v>106.59</v>
      </c>
      <c r="Z984">
        <v>18.059999999999999</v>
      </c>
      <c r="AA984">
        <v>3.01</v>
      </c>
      <c r="AB984">
        <v>145.33000000000001</v>
      </c>
      <c r="AC984">
        <v>176.51417004048585</v>
      </c>
      <c r="AD984">
        <v>22.427469135802468</v>
      </c>
      <c r="AE984">
        <v>84.21</v>
      </c>
      <c r="AF984">
        <v>19.89</v>
      </c>
      <c r="AG984">
        <v>1</v>
      </c>
      <c r="AH984">
        <v>13.63</v>
      </c>
      <c r="AI984">
        <v>66.63</v>
      </c>
      <c r="AJ984">
        <v>199.11</v>
      </c>
      <c r="AK984">
        <v>68.52</v>
      </c>
      <c r="AL984" t="s">
        <v>23</v>
      </c>
      <c r="AM984" t="s">
        <v>24</v>
      </c>
      <c r="AN984" t="str">
        <f t="shared" si="60"/>
        <v>Morning</v>
      </c>
      <c r="AO984" t="str">
        <f t="shared" si="61"/>
        <v>Peak</v>
      </c>
      <c r="AP984" t="str">
        <f t="shared" si="62"/>
        <v>Medium</v>
      </c>
      <c r="AQ984" t="str">
        <f t="shared" si="63"/>
        <v>Medium</v>
      </c>
    </row>
    <row r="985" spans="1:43" x14ac:dyDescent="0.3">
      <c r="A985">
        <v>984</v>
      </c>
      <c r="B985" t="s">
        <v>25</v>
      </c>
      <c r="C985" t="s">
        <v>17</v>
      </c>
      <c r="D985" s="1">
        <v>46258</v>
      </c>
      <c r="E985" t="s">
        <v>38</v>
      </c>
      <c r="F985">
        <v>0</v>
      </c>
      <c r="G985">
        <v>18</v>
      </c>
      <c r="H985" t="s">
        <v>40</v>
      </c>
      <c r="I985" t="s">
        <v>37</v>
      </c>
      <c r="J985">
        <v>1.02</v>
      </c>
      <c r="K985" t="s">
        <v>12</v>
      </c>
      <c r="L985">
        <v>0</v>
      </c>
      <c r="M985">
        <v>3.7</v>
      </c>
      <c r="N985">
        <v>45</v>
      </c>
      <c r="O985" t="s">
        <v>35</v>
      </c>
      <c r="P985">
        <v>8</v>
      </c>
      <c r="Q985">
        <v>1.05</v>
      </c>
      <c r="R985">
        <v>38.4</v>
      </c>
      <c r="S985">
        <v>84.41</v>
      </c>
      <c r="T985">
        <v>51.5</v>
      </c>
      <c r="U985">
        <v>1.31</v>
      </c>
      <c r="V985">
        <v>26.17</v>
      </c>
      <c r="W985">
        <v>162.08000000000001</v>
      </c>
      <c r="X985">
        <v>43.5</v>
      </c>
      <c r="Y985">
        <v>103.62</v>
      </c>
      <c r="Z985">
        <v>2.5</v>
      </c>
      <c r="AA985">
        <v>3.18</v>
      </c>
      <c r="AB985">
        <v>156.4</v>
      </c>
      <c r="AC985">
        <v>244.375</v>
      </c>
      <c r="AD985">
        <v>148.95238095238096</v>
      </c>
      <c r="AE985">
        <v>83.05</v>
      </c>
      <c r="AF985">
        <v>16.52</v>
      </c>
      <c r="AG985">
        <v>1</v>
      </c>
      <c r="AH985">
        <v>18.95</v>
      </c>
      <c r="AI985">
        <v>63.95</v>
      </c>
      <c r="AJ985">
        <v>226.83</v>
      </c>
      <c r="AK985">
        <v>71.989999999999995</v>
      </c>
      <c r="AL985" t="s">
        <v>23</v>
      </c>
      <c r="AM985" t="s">
        <v>24</v>
      </c>
      <c r="AN985" t="str">
        <f t="shared" si="60"/>
        <v>Night</v>
      </c>
      <c r="AO985" t="str">
        <f t="shared" si="61"/>
        <v>Peak</v>
      </c>
      <c r="AP985" t="str">
        <f t="shared" si="62"/>
        <v>Medium</v>
      </c>
      <c r="AQ985" t="str">
        <f t="shared" si="63"/>
        <v>Medium</v>
      </c>
    </row>
    <row r="986" spans="1:43" x14ac:dyDescent="0.3">
      <c r="A986">
        <v>985</v>
      </c>
      <c r="B986" t="s">
        <v>25</v>
      </c>
      <c r="C986" t="s">
        <v>17</v>
      </c>
      <c r="D986" s="1">
        <v>46228</v>
      </c>
      <c r="E986" t="s">
        <v>31</v>
      </c>
      <c r="F986">
        <v>1</v>
      </c>
      <c r="G986">
        <v>16</v>
      </c>
      <c r="H986" t="s">
        <v>19</v>
      </c>
      <c r="I986" t="s">
        <v>37</v>
      </c>
      <c r="J986">
        <v>1.02</v>
      </c>
      <c r="K986" t="s">
        <v>12</v>
      </c>
      <c r="L986">
        <v>0</v>
      </c>
      <c r="M986">
        <v>1.81</v>
      </c>
      <c r="N986">
        <v>39</v>
      </c>
      <c r="O986" t="s">
        <v>35</v>
      </c>
      <c r="P986">
        <v>6</v>
      </c>
      <c r="Q986">
        <v>3.17</v>
      </c>
      <c r="R986">
        <v>37.9</v>
      </c>
      <c r="S986">
        <v>112.87</v>
      </c>
      <c r="T986">
        <v>48.12</v>
      </c>
      <c r="U986">
        <v>1.02</v>
      </c>
      <c r="V986">
        <v>2.2599999999999998</v>
      </c>
      <c r="W986">
        <v>163.25</v>
      </c>
      <c r="X986">
        <v>37.200000000000003</v>
      </c>
      <c r="Y986">
        <v>109.3</v>
      </c>
      <c r="Z986">
        <v>9.31</v>
      </c>
      <c r="AA986">
        <v>9.6300000000000008</v>
      </c>
      <c r="AB986">
        <v>144.31</v>
      </c>
      <c r="AC986">
        <v>228.4591029023747</v>
      </c>
      <c r="AD986">
        <v>45.523659305993689</v>
      </c>
      <c r="AE986">
        <v>69.849999999999994</v>
      </c>
      <c r="AF986">
        <v>17.72</v>
      </c>
      <c r="AG986">
        <v>1</v>
      </c>
      <c r="AH986">
        <v>-38.21</v>
      </c>
      <c r="AI986">
        <v>5</v>
      </c>
      <c r="AJ986">
        <v>226.94</v>
      </c>
      <c r="AK986">
        <v>61.29</v>
      </c>
      <c r="AL986" t="s">
        <v>23</v>
      </c>
      <c r="AM986" t="s">
        <v>24</v>
      </c>
      <c r="AN986" t="str">
        <f t="shared" si="60"/>
        <v>Evening</v>
      </c>
      <c r="AO986" t="str">
        <f t="shared" si="61"/>
        <v>Off-Peak</v>
      </c>
      <c r="AP986" t="str">
        <f t="shared" si="62"/>
        <v>Medium</v>
      </c>
      <c r="AQ986" t="str">
        <f t="shared" si="63"/>
        <v>Medium</v>
      </c>
    </row>
    <row r="987" spans="1:43" x14ac:dyDescent="0.3">
      <c r="A987">
        <v>986</v>
      </c>
      <c r="B987" t="s">
        <v>25</v>
      </c>
      <c r="C987" t="s">
        <v>17</v>
      </c>
      <c r="D987" s="1">
        <v>46086</v>
      </c>
      <c r="E987" t="s">
        <v>41</v>
      </c>
      <c r="F987">
        <v>0</v>
      </c>
      <c r="G987">
        <v>16</v>
      </c>
      <c r="H987" t="s">
        <v>19</v>
      </c>
      <c r="I987" t="s">
        <v>42</v>
      </c>
      <c r="J987">
        <v>1.08</v>
      </c>
      <c r="K987" t="s">
        <v>21</v>
      </c>
      <c r="L987">
        <v>0</v>
      </c>
      <c r="M987">
        <v>3.87</v>
      </c>
      <c r="N987">
        <v>37</v>
      </c>
      <c r="O987" t="s">
        <v>35</v>
      </c>
      <c r="P987">
        <v>6</v>
      </c>
      <c r="Q987">
        <v>1</v>
      </c>
      <c r="R987">
        <v>31.5</v>
      </c>
      <c r="S987">
        <v>70.88</v>
      </c>
      <c r="T987">
        <v>32.799999999999997</v>
      </c>
      <c r="U987">
        <v>1</v>
      </c>
      <c r="V987">
        <v>0</v>
      </c>
      <c r="W987">
        <v>103.68</v>
      </c>
      <c r="X987">
        <v>41.1</v>
      </c>
      <c r="Y987">
        <v>109.36</v>
      </c>
      <c r="Z987">
        <v>2.66</v>
      </c>
      <c r="AA987">
        <v>10.63</v>
      </c>
      <c r="AB987">
        <v>90.39</v>
      </c>
      <c r="AC987">
        <v>172.17142857142858</v>
      </c>
      <c r="AD987">
        <v>90.39</v>
      </c>
      <c r="AE987">
        <v>59.1</v>
      </c>
      <c r="AF987">
        <v>14.77</v>
      </c>
      <c r="AG987">
        <v>0</v>
      </c>
      <c r="AH987">
        <v>27.2</v>
      </c>
      <c r="AI987">
        <v>64.2</v>
      </c>
      <c r="AJ987">
        <v>196.52</v>
      </c>
      <c r="AK987">
        <v>61.92</v>
      </c>
      <c r="AL987" t="s">
        <v>23</v>
      </c>
      <c r="AM987" t="s">
        <v>24</v>
      </c>
      <c r="AN987" t="str">
        <f t="shared" si="60"/>
        <v>Evening</v>
      </c>
      <c r="AO987" t="str">
        <f t="shared" si="61"/>
        <v>Off-Peak</v>
      </c>
      <c r="AP987" t="str">
        <f t="shared" si="62"/>
        <v>Medium</v>
      </c>
      <c r="AQ987" t="str">
        <f t="shared" si="63"/>
        <v>Medium</v>
      </c>
    </row>
    <row r="988" spans="1:43" x14ac:dyDescent="0.3">
      <c r="A988">
        <v>987</v>
      </c>
      <c r="B988" t="s">
        <v>25</v>
      </c>
      <c r="C988" t="s">
        <v>17</v>
      </c>
      <c r="D988" s="1">
        <v>46222</v>
      </c>
      <c r="E988" t="s">
        <v>26</v>
      </c>
      <c r="F988">
        <v>1</v>
      </c>
      <c r="G988">
        <v>10</v>
      </c>
      <c r="H988" t="s">
        <v>19</v>
      </c>
      <c r="I988" t="s">
        <v>50</v>
      </c>
      <c r="J988">
        <v>1.2</v>
      </c>
      <c r="K988" t="s">
        <v>12</v>
      </c>
      <c r="L988">
        <v>0</v>
      </c>
      <c r="M988">
        <v>1.95</v>
      </c>
      <c r="N988">
        <v>54</v>
      </c>
      <c r="O988" t="s">
        <v>35</v>
      </c>
      <c r="P988">
        <v>8</v>
      </c>
      <c r="Q988">
        <v>2.65</v>
      </c>
      <c r="R988">
        <v>29.5</v>
      </c>
      <c r="S988">
        <v>88.57</v>
      </c>
      <c r="T988">
        <v>60.63</v>
      </c>
      <c r="U988">
        <v>1</v>
      </c>
      <c r="V988">
        <v>0</v>
      </c>
      <c r="W988">
        <v>149.19999999999999</v>
      </c>
      <c r="X988">
        <v>42.7</v>
      </c>
      <c r="Y988">
        <v>108.46</v>
      </c>
      <c r="Z988">
        <v>6.74</v>
      </c>
      <c r="AA988">
        <v>6.57</v>
      </c>
      <c r="AB988">
        <v>135.88999999999999</v>
      </c>
      <c r="AC988">
        <v>276.38644067796611</v>
      </c>
      <c r="AD988">
        <v>51.279245283018867</v>
      </c>
      <c r="AE988">
        <v>67.75</v>
      </c>
      <c r="AF988">
        <v>10.81</v>
      </c>
      <c r="AG988">
        <v>1</v>
      </c>
      <c r="AH988">
        <v>7.96</v>
      </c>
      <c r="AI988">
        <v>61.96</v>
      </c>
      <c r="AJ988">
        <v>286.63</v>
      </c>
      <c r="AK988">
        <v>79.98</v>
      </c>
      <c r="AL988" t="s">
        <v>23</v>
      </c>
      <c r="AM988" t="s">
        <v>24</v>
      </c>
      <c r="AN988" t="str">
        <f t="shared" si="60"/>
        <v>Morning</v>
      </c>
      <c r="AO988" t="str">
        <f t="shared" si="61"/>
        <v>Peak</v>
      </c>
      <c r="AP988" t="str">
        <f t="shared" si="62"/>
        <v>High</v>
      </c>
      <c r="AQ988" t="str">
        <f t="shared" si="63"/>
        <v>Medium</v>
      </c>
    </row>
    <row r="989" spans="1:43" x14ac:dyDescent="0.3">
      <c r="A989">
        <v>988</v>
      </c>
      <c r="B989" t="s">
        <v>48</v>
      </c>
      <c r="C989" t="s">
        <v>30</v>
      </c>
      <c r="D989" s="1">
        <v>46213</v>
      </c>
      <c r="E989" t="s">
        <v>9</v>
      </c>
      <c r="F989">
        <v>0</v>
      </c>
      <c r="G989">
        <v>11</v>
      </c>
      <c r="H989" t="s">
        <v>43</v>
      </c>
      <c r="I989" t="s">
        <v>42</v>
      </c>
      <c r="J989">
        <v>1.08</v>
      </c>
      <c r="K989" t="s">
        <v>34</v>
      </c>
      <c r="L989">
        <v>1</v>
      </c>
      <c r="M989">
        <v>4.1399999999999997</v>
      </c>
      <c r="N989">
        <v>42</v>
      </c>
      <c r="O989" t="s">
        <v>35</v>
      </c>
      <c r="P989">
        <v>13</v>
      </c>
      <c r="Q989">
        <v>4.24</v>
      </c>
      <c r="R989">
        <v>34.299999999999997</v>
      </c>
      <c r="S989">
        <v>93.61</v>
      </c>
      <c r="T989">
        <v>46.93</v>
      </c>
      <c r="U989">
        <v>1</v>
      </c>
      <c r="V989">
        <v>0</v>
      </c>
      <c r="W989">
        <v>140.54</v>
      </c>
      <c r="X989">
        <v>35.5</v>
      </c>
      <c r="Y989">
        <v>105.68</v>
      </c>
      <c r="Z989">
        <v>12.64</v>
      </c>
      <c r="AA989">
        <v>2.6</v>
      </c>
      <c r="AB989">
        <v>125.3</v>
      </c>
      <c r="AC989">
        <v>219.18367346938774</v>
      </c>
      <c r="AD989">
        <v>29.551886792452827</v>
      </c>
      <c r="AE989">
        <v>70.599999999999994</v>
      </c>
      <c r="AF989">
        <v>17.47</v>
      </c>
      <c r="AG989">
        <v>0</v>
      </c>
      <c r="AH989">
        <v>23.02</v>
      </c>
      <c r="AI989">
        <v>65.02</v>
      </c>
      <c r="AJ989">
        <v>230.34</v>
      </c>
      <c r="AK989">
        <v>64.459999999999994</v>
      </c>
      <c r="AL989" t="s">
        <v>23</v>
      </c>
      <c r="AM989" t="s">
        <v>24</v>
      </c>
      <c r="AN989" t="str">
        <f t="shared" si="60"/>
        <v>Afternoon</v>
      </c>
      <c r="AO989" t="str">
        <f t="shared" si="61"/>
        <v>Off-Peak</v>
      </c>
      <c r="AP989" t="str">
        <f t="shared" si="62"/>
        <v>Medium</v>
      </c>
      <c r="AQ989" t="str">
        <f t="shared" si="63"/>
        <v>Medium</v>
      </c>
    </row>
    <row r="990" spans="1:43" x14ac:dyDescent="0.3">
      <c r="A990">
        <v>989</v>
      </c>
      <c r="B990" t="s">
        <v>14</v>
      </c>
      <c r="C990" t="s">
        <v>8</v>
      </c>
      <c r="D990" s="1">
        <v>46097</v>
      </c>
      <c r="E990" t="s">
        <v>38</v>
      </c>
      <c r="F990">
        <v>0</v>
      </c>
      <c r="G990">
        <v>16</v>
      </c>
      <c r="H990" t="s">
        <v>32</v>
      </c>
      <c r="I990" t="s">
        <v>20</v>
      </c>
      <c r="J990">
        <v>1.25</v>
      </c>
      <c r="K990" t="s">
        <v>12</v>
      </c>
      <c r="L990">
        <v>0</v>
      </c>
      <c r="M990">
        <v>2.44</v>
      </c>
      <c r="N990">
        <v>16</v>
      </c>
      <c r="O990" t="s">
        <v>22</v>
      </c>
      <c r="P990">
        <v>5</v>
      </c>
      <c r="Q990">
        <v>15</v>
      </c>
      <c r="R990">
        <v>86</v>
      </c>
      <c r="S990">
        <v>169.97</v>
      </c>
      <c r="T990">
        <v>15.35</v>
      </c>
      <c r="U990">
        <v>1</v>
      </c>
      <c r="V990">
        <v>0</v>
      </c>
      <c r="W990">
        <v>185.32</v>
      </c>
      <c r="X990">
        <v>44.2</v>
      </c>
      <c r="Y990">
        <v>109.19</v>
      </c>
      <c r="Z990">
        <v>37.090000000000003</v>
      </c>
      <c r="AA990">
        <v>2.67</v>
      </c>
      <c r="AB990">
        <v>145.56</v>
      </c>
      <c r="AC990">
        <v>101.55348837209303</v>
      </c>
      <c r="AD990">
        <v>9.7040000000000006</v>
      </c>
      <c r="AE990">
        <v>85.61</v>
      </c>
      <c r="AF990">
        <v>15.82</v>
      </c>
      <c r="AG990">
        <v>0</v>
      </c>
      <c r="AH990">
        <v>-14.62</v>
      </c>
      <c r="AI990">
        <v>5</v>
      </c>
      <c r="AJ990">
        <v>85.78</v>
      </c>
      <c r="AK990">
        <v>68.5</v>
      </c>
      <c r="AL990" t="s">
        <v>14</v>
      </c>
      <c r="AM990" t="s">
        <v>15</v>
      </c>
      <c r="AN990" t="str">
        <f t="shared" si="60"/>
        <v>Evening</v>
      </c>
      <c r="AO990" t="str">
        <f t="shared" si="61"/>
        <v>Off-Peak</v>
      </c>
      <c r="AP990" t="str">
        <f t="shared" si="62"/>
        <v>Low</v>
      </c>
      <c r="AQ990" t="str">
        <f t="shared" si="63"/>
        <v>Low</v>
      </c>
    </row>
    <row r="991" spans="1:43" x14ac:dyDescent="0.3">
      <c r="A991">
        <v>990</v>
      </c>
      <c r="B991" t="s">
        <v>16</v>
      </c>
      <c r="C991" t="s">
        <v>17</v>
      </c>
      <c r="D991" s="1">
        <v>46197</v>
      </c>
      <c r="E991" t="s">
        <v>18</v>
      </c>
      <c r="F991">
        <v>0</v>
      </c>
      <c r="G991">
        <v>11</v>
      </c>
      <c r="H991" t="s">
        <v>19</v>
      </c>
      <c r="I991" t="s">
        <v>39</v>
      </c>
      <c r="J991">
        <v>1.05</v>
      </c>
      <c r="K991" t="s">
        <v>12</v>
      </c>
      <c r="L991">
        <v>0</v>
      </c>
      <c r="M991">
        <v>4.28</v>
      </c>
      <c r="N991">
        <v>26</v>
      </c>
      <c r="O991" t="s">
        <v>22</v>
      </c>
      <c r="P991">
        <v>5</v>
      </c>
      <c r="Q991">
        <v>8.15</v>
      </c>
      <c r="R991">
        <v>59</v>
      </c>
      <c r="S991">
        <v>153.15</v>
      </c>
      <c r="T991">
        <v>26.5</v>
      </c>
      <c r="U991">
        <v>1.07</v>
      </c>
      <c r="V991">
        <v>10.72</v>
      </c>
      <c r="W991">
        <v>190.37</v>
      </c>
      <c r="X991">
        <v>46.3</v>
      </c>
      <c r="Y991">
        <v>106.5</v>
      </c>
      <c r="Z991">
        <v>18.75</v>
      </c>
      <c r="AA991">
        <v>7.99</v>
      </c>
      <c r="AB991">
        <v>163.63</v>
      </c>
      <c r="AC991">
        <v>166.40338983050847</v>
      </c>
      <c r="AD991">
        <v>20.077300613496931</v>
      </c>
      <c r="AE991">
        <v>73.13</v>
      </c>
      <c r="AF991">
        <v>18.190000000000001</v>
      </c>
      <c r="AG991">
        <v>0</v>
      </c>
      <c r="AH991">
        <v>-23.31</v>
      </c>
      <c r="AI991">
        <v>5</v>
      </c>
      <c r="AJ991">
        <v>155.29</v>
      </c>
      <c r="AK991">
        <v>63.46</v>
      </c>
      <c r="AL991" t="s">
        <v>23</v>
      </c>
      <c r="AM991" t="s">
        <v>24</v>
      </c>
      <c r="AN991" t="str">
        <f t="shared" si="60"/>
        <v>Afternoon</v>
      </c>
      <c r="AO991" t="str">
        <f t="shared" si="61"/>
        <v>Off-Peak</v>
      </c>
      <c r="AP991" t="str">
        <f t="shared" si="62"/>
        <v>Medium</v>
      </c>
      <c r="AQ991" t="str">
        <f t="shared" si="63"/>
        <v>Low</v>
      </c>
    </row>
    <row r="992" spans="1:43" x14ac:dyDescent="0.3">
      <c r="A992">
        <v>991</v>
      </c>
      <c r="B992" t="s">
        <v>48</v>
      </c>
      <c r="C992" t="s">
        <v>30</v>
      </c>
      <c r="D992" s="1">
        <v>46088</v>
      </c>
      <c r="E992" t="s">
        <v>31</v>
      </c>
      <c r="F992">
        <v>1</v>
      </c>
      <c r="G992">
        <v>18</v>
      </c>
      <c r="H992" t="s">
        <v>32</v>
      </c>
      <c r="I992" t="s">
        <v>50</v>
      </c>
      <c r="J992">
        <v>1.2</v>
      </c>
      <c r="K992" t="s">
        <v>12</v>
      </c>
      <c r="L992">
        <v>0</v>
      </c>
      <c r="M992">
        <v>4.7</v>
      </c>
      <c r="N992">
        <v>104</v>
      </c>
      <c r="O992" t="s">
        <v>13</v>
      </c>
      <c r="P992">
        <v>27</v>
      </c>
      <c r="Q992">
        <v>1</v>
      </c>
      <c r="R992">
        <v>27.2</v>
      </c>
      <c r="S992">
        <v>61.26</v>
      </c>
      <c r="T992">
        <v>100</v>
      </c>
      <c r="U992">
        <v>1</v>
      </c>
      <c r="V992">
        <v>0</v>
      </c>
      <c r="W992">
        <v>161.26</v>
      </c>
      <c r="X992">
        <v>49.3</v>
      </c>
      <c r="Y992">
        <v>108.75</v>
      </c>
      <c r="Z992">
        <v>2.2000000000000002</v>
      </c>
      <c r="AA992">
        <v>11.19</v>
      </c>
      <c r="AB992">
        <v>147.87</v>
      </c>
      <c r="AC992">
        <v>326.18382352941177</v>
      </c>
      <c r="AD992">
        <v>147.87</v>
      </c>
      <c r="AE992">
        <v>72.27</v>
      </c>
      <c r="AF992">
        <v>15.78</v>
      </c>
      <c r="AG992">
        <v>1</v>
      </c>
      <c r="AH992">
        <v>29.8</v>
      </c>
      <c r="AI992">
        <v>133.80000000000001</v>
      </c>
      <c r="AJ992">
        <v>354.17</v>
      </c>
      <c r="AK992">
        <v>79.41</v>
      </c>
      <c r="AL992" t="s">
        <v>14</v>
      </c>
      <c r="AM992" t="s">
        <v>15</v>
      </c>
      <c r="AN992" t="str">
        <f t="shared" si="60"/>
        <v>Night</v>
      </c>
      <c r="AO992" t="str">
        <f t="shared" si="61"/>
        <v>Peak</v>
      </c>
      <c r="AP992" t="str">
        <f t="shared" si="62"/>
        <v>High</v>
      </c>
      <c r="AQ992" t="str">
        <f t="shared" si="63"/>
        <v>High</v>
      </c>
    </row>
    <row r="993" spans="1:43" x14ac:dyDescent="0.3">
      <c r="A993">
        <v>992</v>
      </c>
      <c r="B993" t="s">
        <v>29</v>
      </c>
      <c r="C993" t="s">
        <v>30</v>
      </c>
      <c r="D993" s="1">
        <v>46157</v>
      </c>
      <c r="E993" t="s">
        <v>9</v>
      </c>
      <c r="F993">
        <v>0</v>
      </c>
      <c r="G993">
        <v>7</v>
      </c>
      <c r="H993" t="s">
        <v>47</v>
      </c>
      <c r="I993" t="s">
        <v>20</v>
      </c>
      <c r="J993">
        <v>1.25</v>
      </c>
      <c r="K993" t="s">
        <v>21</v>
      </c>
      <c r="L993">
        <v>0</v>
      </c>
      <c r="M993">
        <v>2.19</v>
      </c>
      <c r="N993">
        <v>33</v>
      </c>
      <c r="O993" t="s">
        <v>22</v>
      </c>
      <c r="P993">
        <v>11</v>
      </c>
      <c r="Q993">
        <v>1</v>
      </c>
      <c r="R993">
        <v>22</v>
      </c>
      <c r="S993">
        <v>55.83</v>
      </c>
      <c r="T993">
        <v>31.52</v>
      </c>
      <c r="U993">
        <v>1</v>
      </c>
      <c r="V993">
        <v>0</v>
      </c>
      <c r="W993">
        <v>87.35</v>
      </c>
      <c r="X993">
        <v>38</v>
      </c>
      <c r="Y993">
        <v>101.6</v>
      </c>
      <c r="Z993">
        <v>2.67</v>
      </c>
      <c r="AA993">
        <v>6</v>
      </c>
      <c r="AB993">
        <v>78.680000000000007</v>
      </c>
      <c r="AC993">
        <v>214.58181818181822</v>
      </c>
      <c r="AD993">
        <v>78.680000000000007</v>
      </c>
      <c r="AE993">
        <v>75.819999999999993</v>
      </c>
      <c r="AF993">
        <v>12.88</v>
      </c>
      <c r="AG993">
        <v>0</v>
      </c>
      <c r="AH993">
        <v>-10.9</v>
      </c>
      <c r="AI993">
        <v>22.1</v>
      </c>
      <c r="AJ993">
        <v>221.2</v>
      </c>
      <c r="AK993">
        <v>71.599999999999994</v>
      </c>
      <c r="AL993" t="s">
        <v>23</v>
      </c>
      <c r="AM993" t="s">
        <v>24</v>
      </c>
      <c r="AN993" t="str">
        <f t="shared" si="60"/>
        <v>Morning</v>
      </c>
      <c r="AO993" t="str">
        <f t="shared" si="61"/>
        <v>Peak</v>
      </c>
      <c r="AP993" t="str">
        <f t="shared" si="62"/>
        <v>Medium</v>
      </c>
      <c r="AQ993" t="str">
        <f t="shared" si="63"/>
        <v>Low</v>
      </c>
    </row>
    <row r="994" spans="1:43" x14ac:dyDescent="0.3">
      <c r="A994">
        <v>993</v>
      </c>
      <c r="B994" t="s">
        <v>14</v>
      </c>
      <c r="C994" t="s">
        <v>8</v>
      </c>
      <c r="D994" s="1">
        <v>46228</v>
      </c>
      <c r="E994" t="s">
        <v>31</v>
      </c>
      <c r="F994">
        <v>1</v>
      </c>
      <c r="G994">
        <v>8</v>
      </c>
      <c r="H994" t="s">
        <v>49</v>
      </c>
      <c r="I994" t="s">
        <v>42</v>
      </c>
      <c r="J994">
        <v>1.08</v>
      </c>
      <c r="K994" t="s">
        <v>34</v>
      </c>
      <c r="L994">
        <v>1</v>
      </c>
      <c r="M994">
        <v>2.77</v>
      </c>
      <c r="N994">
        <v>64</v>
      </c>
      <c r="O994" t="s">
        <v>35</v>
      </c>
      <c r="P994">
        <v>25</v>
      </c>
      <c r="Q994">
        <v>2.02</v>
      </c>
      <c r="R994">
        <v>25.8</v>
      </c>
      <c r="S994">
        <v>77.52</v>
      </c>
      <c r="T994">
        <v>66.19</v>
      </c>
      <c r="U994">
        <v>1</v>
      </c>
      <c r="V994">
        <v>0</v>
      </c>
      <c r="W994">
        <v>143.71</v>
      </c>
      <c r="X994">
        <v>38.1</v>
      </c>
      <c r="Y994">
        <v>109.04</v>
      </c>
      <c r="Z994">
        <v>5.78</v>
      </c>
      <c r="AA994">
        <v>8.51</v>
      </c>
      <c r="AB994">
        <v>129.41999999999999</v>
      </c>
      <c r="AC994">
        <v>300.97674418604646</v>
      </c>
      <c r="AD994">
        <v>64.06930693069306</v>
      </c>
      <c r="AE994">
        <v>66.760000000000005</v>
      </c>
      <c r="AF994">
        <v>10.94</v>
      </c>
      <c r="AG994">
        <v>1</v>
      </c>
      <c r="AH994">
        <v>-1.66</v>
      </c>
      <c r="AI994">
        <v>62.34</v>
      </c>
      <c r="AJ994">
        <v>319.22000000000003</v>
      </c>
      <c r="AK994">
        <v>77.12</v>
      </c>
      <c r="AL994" t="s">
        <v>23</v>
      </c>
      <c r="AM994" t="s">
        <v>24</v>
      </c>
      <c r="AN994" t="str">
        <f t="shared" si="60"/>
        <v>Morning</v>
      </c>
      <c r="AO994" t="str">
        <f t="shared" si="61"/>
        <v>Peak</v>
      </c>
      <c r="AP994" t="str">
        <f t="shared" si="62"/>
        <v>High</v>
      </c>
      <c r="AQ994" t="str">
        <f t="shared" si="63"/>
        <v>Medium</v>
      </c>
    </row>
    <row r="995" spans="1:43" x14ac:dyDescent="0.3">
      <c r="A995">
        <v>994</v>
      </c>
      <c r="B995" t="s">
        <v>29</v>
      </c>
      <c r="C995" t="s">
        <v>30</v>
      </c>
      <c r="D995" s="1">
        <v>46071</v>
      </c>
      <c r="E995" t="s">
        <v>18</v>
      </c>
      <c r="F995">
        <v>0</v>
      </c>
      <c r="G995">
        <v>18</v>
      </c>
      <c r="H995" t="s">
        <v>32</v>
      </c>
      <c r="I995" t="s">
        <v>42</v>
      </c>
      <c r="J995">
        <v>1.08</v>
      </c>
      <c r="K995" t="s">
        <v>12</v>
      </c>
      <c r="L995">
        <v>0</v>
      </c>
      <c r="M995">
        <v>4.58</v>
      </c>
      <c r="N995">
        <v>59</v>
      </c>
      <c r="O995" t="s">
        <v>35</v>
      </c>
      <c r="P995">
        <v>21</v>
      </c>
      <c r="Q995">
        <v>11.49</v>
      </c>
      <c r="R995">
        <v>82.4</v>
      </c>
      <c r="S995">
        <v>136.25</v>
      </c>
      <c r="T995">
        <v>77.72</v>
      </c>
      <c r="U995">
        <v>1</v>
      </c>
      <c r="V995">
        <v>0</v>
      </c>
      <c r="W995">
        <v>213.97</v>
      </c>
      <c r="X995">
        <v>39.6</v>
      </c>
      <c r="Y995">
        <v>106.62</v>
      </c>
      <c r="Z995">
        <v>30.97</v>
      </c>
      <c r="AA995">
        <v>7.42</v>
      </c>
      <c r="AB995">
        <v>175.58</v>
      </c>
      <c r="AC995">
        <v>127.84951456310679</v>
      </c>
      <c r="AD995">
        <v>15.28111401218451</v>
      </c>
      <c r="AE995">
        <v>80.83</v>
      </c>
      <c r="AF995">
        <v>17.38</v>
      </c>
      <c r="AG995">
        <v>1</v>
      </c>
      <c r="AH995">
        <v>10.91</v>
      </c>
      <c r="AI995">
        <v>69.91</v>
      </c>
      <c r="AJ995">
        <v>136.94999999999999</v>
      </c>
      <c r="AK995">
        <v>71.77</v>
      </c>
      <c r="AL995" t="s">
        <v>14</v>
      </c>
      <c r="AM995" t="s">
        <v>15</v>
      </c>
      <c r="AN995" t="str">
        <f t="shared" si="60"/>
        <v>Night</v>
      </c>
      <c r="AO995" t="str">
        <f t="shared" si="61"/>
        <v>Peak</v>
      </c>
      <c r="AP995" t="str">
        <f t="shared" si="62"/>
        <v>Low</v>
      </c>
      <c r="AQ995" t="str">
        <f t="shared" si="63"/>
        <v>Medium</v>
      </c>
    </row>
    <row r="996" spans="1:43" x14ac:dyDescent="0.3">
      <c r="A996">
        <v>995</v>
      </c>
      <c r="B996" t="s">
        <v>29</v>
      </c>
      <c r="C996" t="s">
        <v>30</v>
      </c>
      <c r="D996" s="1">
        <v>46109</v>
      </c>
      <c r="E996" t="s">
        <v>31</v>
      </c>
      <c r="F996">
        <v>1</v>
      </c>
      <c r="G996">
        <v>16</v>
      </c>
      <c r="H996" t="s">
        <v>32</v>
      </c>
      <c r="I996" t="s">
        <v>37</v>
      </c>
      <c r="J996">
        <v>1.02</v>
      </c>
      <c r="K996" t="s">
        <v>21</v>
      </c>
      <c r="L996">
        <v>0</v>
      </c>
      <c r="M996">
        <v>2.79</v>
      </c>
      <c r="N996">
        <v>53</v>
      </c>
      <c r="O996" t="s">
        <v>35</v>
      </c>
      <c r="P996">
        <v>18</v>
      </c>
      <c r="Q996">
        <v>1</v>
      </c>
      <c r="R996">
        <v>14</v>
      </c>
      <c r="S996">
        <v>64.8</v>
      </c>
      <c r="T996">
        <v>42.99</v>
      </c>
      <c r="U996">
        <v>1</v>
      </c>
      <c r="V996">
        <v>0</v>
      </c>
      <c r="W996">
        <v>107.79</v>
      </c>
      <c r="X996">
        <v>48.4</v>
      </c>
      <c r="Y996">
        <v>103.03</v>
      </c>
      <c r="Z996">
        <v>2.13</v>
      </c>
      <c r="AA996">
        <v>10.9</v>
      </c>
      <c r="AB996">
        <v>94.76</v>
      </c>
      <c r="AC996">
        <v>406.11428571428576</v>
      </c>
      <c r="AD996">
        <v>94.76</v>
      </c>
      <c r="AE996">
        <v>68.42</v>
      </c>
      <c r="AF996">
        <v>11.76</v>
      </c>
      <c r="AG996">
        <v>1</v>
      </c>
      <c r="AH996">
        <v>14.59</v>
      </c>
      <c r="AI996">
        <v>67.59</v>
      </c>
      <c r="AJ996">
        <v>400</v>
      </c>
      <c r="AK996">
        <v>70.05</v>
      </c>
      <c r="AL996" t="s">
        <v>14</v>
      </c>
      <c r="AM996" t="s">
        <v>15</v>
      </c>
      <c r="AN996" t="str">
        <f t="shared" si="60"/>
        <v>Evening</v>
      </c>
      <c r="AO996" t="str">
        <f t="shared" si="61"/>
        <v>Off-Peak</v>
      </c>
      <c r="AP996" t="str">
        <f t="shared" si="62"/>
        <v>High</v>
      </c>
      <c r="AQ996" t="str">
        <f t="shared" si="63"/>
        <v>Medium</v>
      </c>
    </row>
    <row r="997" spans="1:43" x14ac:dyDescent="0.3">
      <c r="A997">
        <v>996</v>
      </c>
      <c r="B997" t="s">
        <v>25</v>
      </c>
      <c r="C997" t="s">
        <v>17</v>
      </c>
      <c r="D997" s="1">
        <v>46228</v>
      </c>
      <c r="E997" t="s">
        <v>31</v>
      </c>
      <c r="F997">
        <v>1</v>
      </c>
      <c r="G997">
        <v>7</v>
      </c>
      <c r="H997" t="s">
        <v>27</v>
      </c>
      <c r="I997" t="s">
        <v>11</v>
      </c>
      <c r="J997">
        <v>1.18</v>
      </c>
      <c r="K997" t="s">
        <v>34</v>
      </c>
      <c r="L997">
        <v>1</v>
      </c>
      <c r="M997">
        <v>4.46</v>
      </c>
      <c r="N997">
        <v>71</v>
      </c>
      <c r="O997" t="s">
        <v>13</v>
      </c>
      <c r="P997">
        <v>10</v>
      </c>
      <c r="Q997">
        <v>2.12</v>
      </c>
      <c r="R997">
        <v>35.799999999999997</v>
      </c>
      <c r="S997">
        <v>92.01</v>
      </c>
      <c r="T997">
        <v>100</v>
      </c>
      <c r="U997">
        <v>1.38</v>
      </c>
      <c r="V997">
        <v>34.96</v>
      </c>
      <c r="W997">
        <v>226.97</v>
      </c>
      <c r="X997">
        <v>41.1</v>
      </c>
      <c r="Y997">
        <v>109.98</v>
      </c>
      <c r="Z997">
        <v>5.68</v>
      </c>
      <c r="AA997">
        <v>10.32</v>
      </c>
      <c r="AB997">
        <v>210.97</v>
      </c>
      <c r="AC997">
        <v>353.58100558659225</v>
      </c>
      <c r="AD997">
        <v>99.514150943396217</v>
      </c>
      <c r="AE997">
        <v>71.02</v>
      </c>
      <c r="AF997">
        <v>13.46</v>
      </c>
      <c r="AG997">
        <v>1</v>
      </c>
      <c r="AH997">
        <v>19.18</v>
      </c>
      <c r="AI997">
        <v>90.18</v>
      </c>
      <c r="AJ997">
        <v>378.27</v>
      </c>
      <c r="AK997">
        <v>68.08</v>
      </c>
      <c r="AL997" t="s">
        <v>23</v>
      </c>
      <c r="AM997" t="s">
        <v>24</v>
      </c>
      <c r="AN997" t="str">
        <f t="shared" si="60"/>
        <v>Morning</v>
      </c>
      <c r="AO997" t="str">
        <f t="shared" si="61"/>
        <v>Peak</v>
      </c>
      <c r="AP997" t="str">
        <f t="shared" si="62"/>
        <v>High</v>
      </c>
      <c r="AQ997" t="str">
        <f t="shared" si="63"/>
        <v>High</v>
      </c>
    </row>
    <row r="998" spans="1:43" x14ac:dyDescent="0.3">
      <c r="A998">
        <v>997</v>
      </c>
      <c r="B998" t="s">
        <v>29</v>
      </c>
      <c r="C998" t="s">
        <v>30</v>
      </c>
      <c r="D998" s="1">
        <v>46140</v>
      </c>
      <c r="E998" t="s">
        <v>44</v>
      </c>
      <c r="F998">
        <v>0</v>
      </c>
      <c r="G998">
        <v>21</v>
      </c>
      <c r="H998" t="s">
        <v>36</v>
      </c>
      <c r="I998" t="s">
        <v>42</v>
      </c>
      <c r="J998">
        <v>1.08</v>
      </c>
      <c r="K998" t="s">
        <v>12</v>
      </c>
      <c r="L998">
        <v>0</v>
      </c>
      <c r="M998">
        <v>4.0199999999999996</v>
      </c>
      <c r="N998">
        <v>28</v>
      </c>
      <c r="O998" t="s">
        <v>22</v>
      </c>
      <c r="P998">
        <v>8</v>
      </c>
      <c r="Q998">
        <v>2.11</v>
      </c>
      <c r="R998">
        <v>29.2</v>
      </c>
      <c r="S998">
        <v>57.85</v>
      </c>
      <c r="T998">
        <v>31.56</v>
      </c>
      <c r="U998">
        <v>1</v>
      </c>
      <c r="V998">
        <v>0</v>
      </c>
      <c r="W998">
        <v>89.41</v>
      </c>
      <c r="X998">
        <v>39.5</v>
      </c>
      <c r="Y998">
        <v>106.87</v>
      </c>
      <c r="Z998">
        <v>5.71</v>
      </c>
      <c r="AA998">
        <v>3.99</v>
      </c>
      <c r="AB998">
        <v>79.709999999999994</v>
      </c>
      <c r="AC998">
        <v>163.7876712328767</v>
      </c>
      <c r="AD998">
        <v>37.777251184834121</v>
      </c>
      <c r="AE998">
        <v>77.239999999999995</v>
      </c>
      <c r="AF998">
        <v>16.29</v>
      </c>
      <c r="AG998">
        <v>0</v>
      </c>
      <c r="AH998">
        <v>6.35</v>
      </c>
      <c r="AI998">
        <v>34.35</v>
      </c>
      <c r="AJ998">
        <v>167.78</v>
      </c>
      <c r="AK998">
        <v>64.19</v>
      </c>
      <c r="AL998" t="s">
        <v>14</v>
      </c>
      <c r="AM998" t="s">
        <v>15</v>
      </c>
      <c r="AN998" t="str">
        <f t="shared" si="60"/>
        <v>Night</v>
      </c>
      <c r="AO998" t="str">
        <f t="shared" si="61"/>
        <v>Off-Peak</v>
      </c>
      <c r="AP998" t="str">
        <f t="shared" si="62"/>
        <v>Medium</v>
      </c>
      <c r="AQ998" t="str">
        <f t="shared" si="63"/>
        <v>Low</v>
      </c>
    </row>
    <row r="999" spans="1:43" x14ac:dyDescent="0.3">
      <c r="A999">
        <v>998</v>
      </c>
      <c r="B999" t="s">
        <v>48</v>
      </c>
      <c r="C999" t="s">
        <v>30</v>
      </c>
      <c r="D999" s="1">
        <v>46270</v>
      </c>
      <c r="E999" t="s">
        <v>31</v>
      </c>
      <c r="F999">
        <v>1</v>
      </c>
      <c r="G999">
        <v>7</v>
      </c>
      <c r="H999" t="s">
        <v>47</v>
      </c>
      <c r="I999" t="s">
        <v>11</v>
      </c>
      <c r="J999">
        <v>1.18</v>
      </c>
      <c r="K999" t="s">
        <v>12</v>
      </c>
      <c r="L999">
        <v>0</v>
      </c>
      <c r="M999">
        <v>2.4</v>
      </c>
      <c r="N999">
        <v>77</v>
      </c>
      <c r="O999" t="s">
        <v>13</v>
      </c>
      <c r="P999">
        <v>16</v>
      </c>
      <c r="Q999">
        <v>4.9800000000000004</v>
      </c>
      <c r="R999">
        <v>38</v>
      </c>
      <c r="S999">
        <v>89.06</v>
      </c>
      <c r="T999">
        <v>88.4</v>
      </c>
      <c r="U999">
        <v>1</v>
      </c>
      <c r="V999">
        <v>0</v>
      </c>
      <c r="W999">
        <v>177.46</v>
      </c>
      <c r="X999">
        <v>46.1</v>
      </c>
      <c r="Y999">
        <v>109.08</v>
      </c>
      <c r="Z999">
        <v>11.79</v>
      </c>
      <c r="AA999">
        <v>8.7799999999999994</v>
      </c>
      <c r="AB999">
        <v>156.88999999999999</v>
      </c>
      <c r="AC999">
        <v>247.72105263157894</v>
      </c>
      <c r="AD999">
        <v>31.504016064257023</v>
      </c>
      <c r="AE999">
        <v>92.16</v>
      </c>
      <c r="AF999">
        <v>13.77</v>
      </c>
      <c r="AG999">
        <v>1</v>
      </c>
      <c r="AH999">
        <v>-12.81</v>
      </c>
      <c r="AI999">
        <v>64.19</v>
      </c>
      <c r="AJ999">
        <v>245.25</v>
      </c>
      <c r="AK999">
        <v>75.66</v>
      </c>
      <c r="AL999" t="s">
        <v>23</v>
      </c>
      <c r="AM999" t="s">
        <v>24</v>
      </c>
      <c r="AN999" t="str">
        <f t="shared" si="60"/>
        <v>Morning</v>
      </c>
      <c r="AO999" t="str">
        <f t="shared" si="61"/>
        <v>Peak</v>
      </c>
      <c r="AP999" t="str">
        <f t="shared" si="62"/>
        <v>Medium</v>
      </c>
      <c r="AQ999" t="str">
        <f t="shared" si="63"/>
        <v>High</v>
      </c>
    </row>
    <row r="1000" spans="1:43" x14ac:dyDescent="0.3">
      <c r="A1000">
        <v>999</v>
      </c>
      <c r="B1000" t="s">
        <v>23</v>
      </c>
      <c r="C1000" t="s">
        <v>17</v>
      </c>
      <c r="D1000" s="1">
        <v>46025</v>
      </c>
      <c r="E1000" t="s">
        <v>31</v>
      </c>
      <c r="F1000">
        <v>1</v>
      </c>
      <c r="G1000">
        <v>22</v>
      </c>
      <c r="H1000" t="s">
        <v>19</v>
      </c>
      <c r="I1000" t="s">
        <v>39</v>
      </c>
      <c r="J1000">
        <v>1.05</v>
      </c>
      <c r="K1000" t="s">
        <v>21</v>
      </c>
      <c r="L1000">
        <v>0</v>
      </c>
      <c r="M1000">
        <v>3.07</v>
      </c>
      <c r="N1000">
        <v>25</v>
      </c>
      <c r="O1000" t="s">
        <v>22</v>
      </c>
      <c r="P1000">
        <v>6</v>
      </c>
      <c r="Q1000">
        <v>6.59</v>
      </c>
      <c r="R1000">
        <v>51.5</v>
      </c>
      <c r="S1000">
        <v>125.9</v>
      </c>
      <c r="T1000">
        <v>42.75</v>
      </c>
      <c r="U1000">
        <v>1</v>
      </c>
      <c r="V1000">
        <v>0</v>
      </c>
      <c r="W1000">
        <v>168.65</v>
      </c>
      <c r="X1000">
        <v>35.6</v>
      </c>
      <c r="Y1000">
        <v>100.06</v>
      </c>
      <c r="Z1000">
        <v>18.55</v>
      </c>
      <c r="AA1000">
        <v>10.48</v>
      </c>
      <c r="AB1000">
        <v>139.62</v>
      </c>
      <c r="AC1000">
        <v>162.66407766990292</v>
      </c>
      <c r="AD1000">
        <v>21.186646433990898</v>
      </c>
      <c r="AE1000">
        <v>91.58</v>
      </c>
      <c r="AF1000">
        <v>19.71</v>
      </c>
      <c r="AG1000">
        <v>1</v>
      </c>
      <c r="AH1000">
        <v>13.6</v>
      </c>
      <c r="AI1000">
        <v>38.6</v>
      </c>
      <c r="AJ1000">
        <v>141.47999999999999</v>
      </c>
      <c r="AK1000">
        <v>64.180000000000007</v>
      </c>
      <c r="AL1000" t="s">
        <v>23</v>
      </c>
      <c r="AM1000" t="s">
        <v>24</v>
      </c>
      <c r="AN1000" t="str">
        <f t="shared" si="60"/>
        <v>Night</v>
      </c>
      <c r="AO1000" t="str">
        <f t="shared" si="61"/>
        <v>Off-Peak</v>
      </c>
      <c r="AP1000" t="str">
        <f t="shared" si="62"/>
        <v>Medium</v>
      </c>
      <c r="AQ1000" t="str">
        <f t="shared" si="63"/>
        <v>Low</v>
      </c>
    </row>
    <row r="1001" spans="1:43" x14ac:dyDescent="0.3">
      <c r="A1001">
        <v>1000</v>
      </c>
      <c r="B1001" t="s">
        <v>29</v>
      </c>
      <c r="C1001" t="s">
        <v>30</v>
      </c>
      <c r="D1001" s="1">
        <v>46209</v>
      </c>
      <c r="E1001" t="s">
        <v>38</v>
      </c>
      <c r="F1001">
        <v>0</v>
      </c>
      <c r="G1001">
        <v>18</v>
      </c>
      <c r="H1001" t="s">
        <v>32</v>
      </c>
      <c r="I1001" t="s">
        <v>46</v>
      </c>
      <c r="J1001">
        <v>1.1499999999999999</v>
      </c>
      <c r="K1001" t="s">
        <v>21</v>
      </c>
      <c r="L1001">
        <v>0</v>
      </c>
      <c r="M1001">
        <v>4.8600000000000003</v>
      </c>
      <c r="N1001">
        <v>67</v>
      </c>
      <c r="O1001" t="s">
        <v>35</v>
      </c>
      <c r="P1001">
        <v>20</v>
      </c>
      <c r="Q1001">
        <v>5.65</v>
      </c>
      <c r="R1001">
        <v>47.3</v>
      </c>
      <c r="S1001">
        <v>101.12</v>
      </c>
      <c r="T1001">
        <v>70.22</v>
      </c>
      <c r="U1001">
        <v>1</v>
      </c>
      <c r="V1001">
        <v>0</v>
      </c>
      <c r="W1001">
        <v>171.34</v>
      </c>
      <c r="X1001">
        <v>43.2</v>
      </c>
      <c r="Y1001">
        <v>105.52</v>
      </c>
      <c r="Z1001">
        <v>13.78</v>
      </c>
      <c r="AA1001">
        <v>11.3</v>
      </c>
      <c r="AB1001">
        <v>146.26</v>
      </c>
      <c r="AC1001">
        <v>185.53065539112049</v>
      </c>
      <c r="AD1001">
        <v>25.88672566371681</v>
      </c>
      <c r="AE1001">
        <v>69.040000000000006</v>
      </c>
      <c r="AF1001">
        <v>18.91</v>
      </c>
      <c r="AG1001">
        <v>1</v>
      </c>
      <c r="AH1001">
        <v>13.84</v>
      </c>
      <c r="AI1001">
        <v>80.84</v>
      </c>
      <c r="AJ1001">
        <v>207.93</v>
      </c>
      <c r="AK1001">
        <v>70.37</v>
      </c>
      <c r="AL1001" t="s">
        <v>14</v>
      </c>
      <c r="AM1001" t="s">
        <v>15</v>
      </c>
      <c r="AN1001" t="str">
        <f t="shared" si="60"/>
        <v>Night</v>
      </c>
      <c r="AO1001" t="str">
        <f t="shared" si="61"/>
        <v>Peak</v>
      </c>
      <c r="AP1001" t="str">
        <f t="shared" si="62"/>
        <v>Medium</v>
      </c>
      <c r="AQ1001" t="str">
        <f t="shared" si="63"/>
        <v>Medium</v>
      </c>
    </row>
    <row r="1002" spans="1:43" x14ac:dyDescent="0.3">
      <c r="A1002">
        <v>1001</v>
      </c>
      <c r="B1002" t="s">
        <v>16</v>
      </c>
      <c r="C1002" t="s">
        <v>17</v>
      </c>
      <c r="D1002" s="1">
        <v>46233</v>
      </c>
      <c r="E1002" t="s">
        <v>41</v>
      </c>
      <c r="F1002">
        <v>0</v>
      </c>
      <c r="G1002">
        <v>22</v>
      </c>
      <c r="H1002" t="s">
        <v>19</v>
      </c>
      <c r="I1002" t="s">
        <v>50</v>
      </c>
      <c r="J1002">
        <v>1.2</v>
      </c>
      <c r="K1002" t="s">
        <v>12</v>
      </c>
      <c r="L1002">
        <v>0</v>
      </c>
      <c r="M1002">
        <v>3.65</v>
      </c>
      <c r="N1002">
        <v>26</v>
      </c>
      <c r="O1002" t="s">
        <v>22</v>
      </c>
      <c r="P1002">
        <v>4</v>
      </c>
      <c r="Q1002">
        <v>4.5</v>
      </c>
      <c r="R1002">
        <v>43.7</v>
      </c>
      <c r="S1002">
        <v>108.97</v>
      </c>
      <c r="T1002">
        <v>19.260000000000002</v>
      </c>
      <c r="U1002">
        <v>1</v>
      </c>
      <c r="V1002">
        <v>0</v>
      </c>
      <c r="W1002">
        <v>128.22999999999999</v>
      </c>
      <c r="X1002">
        <v>41.8</v>
      </c>
      <c r="Y1002">
        <v>107.13</v>
      </c>
      <c r="Z1002">
        <v>11.55</v>
      </c>
      <c r="AA1002">
        <v>7.9</v>
      </c>
      <c r="AB1002">
        <v>108.78</v>
      </c>
      <c r="AC1002">
        <v>149.35469107551486</v>
      </c>
      <c r="AD1002">
        <v>24.173333333333332</v>
      </c>
      <c r="AE1002">
        <v>69.31</v>
      </c>
      <c r="AF1002">
        <v>19.43</v>
      </c>
      <c r="AG1002">
        <v>0</v>
      </c>
      <c r="AH1002">
        <v>-24.23</v>
      </c>
      <c r="AI1002">
        <v>5</v>
      </c>
      <c r="AJ1002">
        <v>156.04</v>
      </c>
      <c r="AK1002">
        <v>61.85</v>
      </c>
      <c r="AL1002" t="s">
        <v>23</v>
      </c>
      <c r="AM1002" t="s">
        <v>24</v>
      </c>
      <c r="AN1002" t="str">
        <f t="shared" si="60"/>
        <v>Night</v>
      </c>
      <c r="AO1002" t="str">
        <f t="shared" si="61"/>
        <v>Off-Peak</v>
      </c>
      <c r="AP1002" t="str">
        <f t="shared" si="62"/>
        <v>Low</v>
      </c>
      <c r="AQ1002" t="str">
        <f t="shared" si="63"/>
        <v>Low</v>
      </c>
    </row>
    <row r="1003" spans="1:43" x14ac:dyDescent="0.3">
      <c r="A1003">
        <v>1002</v>
      </c>
      <c r="B1003" t="s">
        <v>16</v>
      </c>
      <c r="C1003" t="s">
        <v>17</v>
      </c>
      <c r="D1003" s="1">
        <v>46259</v>
      </c>
      <c r="E1003" t="s">
        <v>44</v>
      </c>
      <c r="F1003">
        <v>0</v>
      </c>
      <c r="G1003">
        <v>22</v>
      </c>
      <c r="H1003" t="s">
        <v>19</v>
      </c>
      <c r="I1003" t="s">
        <v>45</v>
      </c>
      <c r="J1003">
        <v>1</v>
      </c>
      <c r="K1003" t="s">
        <v>21</v>
      </c>
      <c r="L1003">
        <v>0</v>
      </c>
      <c r="M1003">
        <v>2.87</v>
      </c>
      <c r="N1003">
        <v>16</v>
      </c>
      <c r="O1003" t="s">
        <v>22</v>
      </c>
      <c r="P1003">
        <v>2</v>
      </c>
      <c r="Q1003">
        <v>1.01</v>
      </c>
      <c r="R1003">
        <v>23</v>
      </c>
      <c r="S1003">
        <v>72.48</v>
      </c>
      <c r="T1003">
        <v>9.08</v>
      </c>
      <c r="U1003">
        <v>1</v>
      </c>
      <c r="V1003">
        <v>0</v>
      </c>
      <c r="W1003">
        <v>81.56</v>
      </c>
      <c r="X1003">
        <v>44.4</v>
      </c>
      <c r="Y1003">
        <v>100.14</v>
      </c>
      <c r="Z1003">
        <v>2.27</v>
      </c>
      <c r="AA1003">
        <v>3.76</v>
      </c>
      <c r="AB1003">
        <v>75.53</v>
      </c>
      <c r="AC1003">
        <v>197.03478260869565</v>
      </c>
      <c r="AD1003">
        <v>74.78217821782178</v>
      </c>
      <c r="AE1003">
        <v>77.400000000000006</v>
      </c>
      <c r="AF1003">
        <v>17.059999999999999</v>
      </c>
      <c r="AG1003">
        <v>0</v>
      </c>
      <c r="AH1003">
        <v>24.28</v>
      </c>
      <c r="AI1003">
        <v>40.28</v>
      </c>
      <c r="AJ1003">
        <v>188.29</v>
      </c>
      <c r="AK1003">
        <v>60.9</v>
      </c>
      <c r="AL1003" t="s">
        <v>23</v>
      </c>
      <c r="AM1003" t="s">
        <v>24</v>
      </c>
      <c r="AN1003" t="str">
        <f t="shared" si="60"/>
        <v>Night</v>
      </c>
      <c r="AO1003" t="str">
        <f t="shared" si="61"/>
        <v>Off-Peak</v>
      </c>
      <c r="AP1003" t="str">
        <f t="shared" si="62"/>
        <v>Medium</v>
      </c>
      <c r="AQ1003" t="str">
        <f t="shared" si="63"/>
        <v>Low</v>
      </c>
    </row>
    <row r="1004" spans="1:43" x14ac:dyDescent="0.3">
      <c r="A1004">
        <v>1003</v>
      </c>
      <c r="B1004" t="s">
        <v>29</v>
      </c>
      <c r="C1004" t="s">
        <v>30</v>
      </c>
      <c r="D1004" s="1">
        <v>46063</v>
      </c>
      <c r="E1004" t="s">
        <v>44</v>
      </c>
      <c r="F1004">
        <v>0</v>
      </c>
      <c r="G1004">
        <v>12</v>
      </c>
      <c r="H1004" t="s">
        <v>43</v>
      </c>
      <c r="I1004" t="s">
        <v>45</v>
      </c>
      <c r="J1004">
        <v>1</v>
      </c>
      <c r="K1004" t="s">
        <v>12</v>
      </c>
      <c r="L1004">
        <v>0</v>
      </c>
      <c r="M1004">
        <v>2.77</v>
      </c>
      <c r="N1004">
        <v>34</v>
      </c>
      <c r="O1004" t="s">
        <v>22</v>
      </c>
      <c r="P1004">
        <v>9</v>
      </c>
      <c r="Q1004">
        <v>4.01</v>
      </c>
      <c r="R1004">
        <v>33.799999999999997</v>
      </c>
      <c r="S1004">
        <v>73.89</v>
      </c>
      <c r="T1004">
        <v>33.130000000000003</v>
      </c>
      <c r="U1004">
        <v>1</v>
      </c>
      <c r="V1004">
        <v>0</v>
      </c>
      <c r="W1004">
        <v>107.02</v>
      </c>
      <c r="X1004">
        <v>46</v>
      </c>
      <c r="Y1004">
        <v>107.63</v>
      </c>
      <c r="Z1004">
        <v>9.39</v>
      </c>
      <c r="AA1004">
        <v>7.58</v>
      </c>
      <c r="AB1004">
        <v>90.05</v>
      </c>
      <c r="AC1004">
        <v>159.85207100591717</v>
      </c>
      <c r="AD1004">
        <v>22.456359102244388</v>
      </c>
      <c r="AE1004">
        <v>84.07</v>
      </c>
      <c r="AF1004">
        <v>15.7</v>
      </c>
      <c r="AG1004">
        <v>0</v>
      </c>
      <c r="AH1004">
        <v>-34.31</v>
      </c>
      <c r="AI1004">
        <v>5</v>
      </c>
      <c r="AJ1004">
        <v>177.43</v>
      </c>
      <c r="AK1004">
        <v>60</v>
      </c>
      <c r="AL1004" t="s">
        <v>14</v>
      </c>
      <c r="AM1004" t="s">
        <v>15</v>
      </c>
      <c r="AN1004" t="str">
        <f t="shared" si="60"/>
        <v>Afternoon</v>
      </c>
      <c r="AO1004" t="str">
        <f t="shared" si="61"/>
        <v>Off-Peak</v>
      </c>
      <c r="AP1004" t="str">
        <f t="shared" si="62"/>
        <v>Medium</v>
      </c>
      <c r="AQ1004" t="str">
        <f t="shared" si="63"/>
        <v>Low</v>
      </c>
    </row>
    <row r="1005" spans="1:43" x14ac:dyDescent="0.3">
      <c r="A1005">
        <v>1004</v>
      </c>
      <c r="B1005" t="s">
        <v>23</v>
      </c>
      <c r="C1005" t="s">
        <v>17</v>
      </c>
      <c r="D1005" s="1">
        <v>46276</v>
      </c>
      <c r="E1005" t="s">
        <v>9</v>
      </c>
      <c r="F1005">
        <v>0</v>
      </c>
      <c r="G1005">
        <v>19</v>
      </c>
      <c r="H1005" t="s">
        <v>40</v>
      </c>
      <c r="I1005" t="s">
        <v>50</v>
      </c>
      <c r="J1005">
        <v>1.2</v>
      </c>
      <c r="K1005" t="s">
        <v>34</v>
      </c>
      <c r="L1005">
        <v>1</v>
      </c>
      <c r="M1005">
        <v>3.21</v>
      </c>
      <c r="N1005">
        <v>95</v>
      </c>
      <c r="O1005" t="s">
        <v>13</v>
      </c>
      <c r="P1005">
        <v>22</v>
      </c>
      <c r="Q1005">
        <v>8.9499999999999993</v>
      </c>
      <c r="R1005">
        <v>58.8</v>
      </c>
      <c r="S1005">
        <v>172.71</v>
      </c>
      <c r="T1005">
        <v>100</v>
      </c>
      <c r="U1005">
        <v>1.41</v>
      </c>
      <c r="V1005">
        <v>70.81</v>
      </c>
      <c r="W1005">
        <v>343.52</v>
      </c>
      <c r="X1005">
        <v>39.9</v>
      </c>
      <c r="Y1005">
        <v>106.51</v>
      </c>
      <c r="Z1005">
        <v>23.9</v>
      </c>
      <c r="AA1005">
        <v>8.66</v>
      </c>
      <c r="AB1005">
        <v>310.95999999999998</v>
      </c>
      <c r="AC1005">
        <v>317.30612244897958</v>
      </c>
      <c r="AD1005">
        <v>34.744134078212291</v>
      </c>
      <c r="AE1005">
        <v>62.29</v>
      </c>
      <c r="AF1005">
        <v>18.5</v>
      </c>
      <c r="AG1005">
        <v>1</v>
      </c>
      <c r="AH1005">
        <v>18.52</v>
      </c>
      <c r="AI1005">
        <v>113.52</v>
      </c>
      <c r="AJ1005">
        <v>334.24</v>
      </c>
      <c r="AK1005">
        <v>81.8</v>
      </c>
      <c r="AL1005" t="s">
        <v>23</v>
      </c>
      <c r="AM1005" t="s">
        <v>24</v>
      </c>
      <c r="AN1005" t="str">
        <f t="shared" si="60"/>
        <v>Night</v>
      </c>
      <c r="AO1005" t="str">
        <f t="shared" si="61"/>
        <v>Peak</v>
      </c>
      <c r="AP1005" t="str">
        <f t="shared" si="62"/>
        <v>High</v>
      </c>
      <c r="AQ1005" t="str">
        <f t="shared" si="63"/>
        <v>High</v>
      </c>
    </row>
    <row r="1006" spans="1:43" x14ac:dyDescent="0.3">
      <c r="A1006">
        <v>1005</v>
      </c>
      <c r="B1006" t="s">
        <v>7</v>
      </c>
      <c r="C1006" t="s">
        <v>8</v>
      </c>
      <c r="D1006" s="1">
        <v>46124</v>
      </c>
      <c r="E1006" t="s">
        <v>26</v>
      </c>
      <c r="F1006">
        <v>1</v>
      </c>
      <c r="G1006">
        <v>10</v>
      </c>
      <c r="H1006" t="s">
        <v>49</v>
      </c>
      <c r="I1006" t="s">
        <v>20</v>
      </c>
      <c r="J1006">
        <v>1.25</v>
      </c>
      <c r="K1006" t="s">
        <v>34</v>
      </c>
      <c r="L1006">
        <v>1</v>
      </c>
      <c r="M1006">
        <v>2.66</v>
      </c>
      <c r="N1006">
        <v>67</v>
      </c>
      <c r="O1006" t="s">
        <v>35</v>
      </c>
      <c r="P1006">
        <v>33</v>
      </c>
      <c r="Q1006">
        <v>10.95</v>
      </c>
      <c r="R1006">
        <v>67.099999999999994</v>
      </c>
      <c r="S1006">
        <v>136.09</v>
      </c>
      <c r="T1006">
        <v>67.459999999999994</v>
      </c>
      <c r="U1006">
        <v>1</v>
      </c>
      <c r="V1006">
        <v>0</v>
      </c>
      <c r="W1006">
        <v>203.55</v>
      </c>
      <c r="X1006">
        <v>44.5</v>
      </c>
      <c r="Y1006">
        <v>102.75</v>
      </c>
      <c r="Z1006">
        <v>25.25</v>
      </c>
      <c r="AA1006">
        <v>4.72</v>
      </c>
      <c r="AB1006">
        <v>173.58</v>
      </c>
      <c r="AC1006">
        <v>155.2131147540984</v>
      </c>
      <c r="AD1006">
        <v>15.85205479452055</v>
      </c>
      <c r="AE1006">
        <v>78.06</v>
      </c>
      <c r="AF1006">
        <v>10.99</v>
      </c>
      <c r="AG1006">
        <v>1</v>
      </c>
      <c r="AH1006">
        <v>-6.51</v>
      </c>
      <c r="AI1006">
        <v>60.49</v>
      </c>
      <c r="AJ1006">
        <v>164.13</v>
      </c>
      <c r="AK1006">
        <v>78.099999999999994</v>
      </c>
      <c r="AL1006" t="s">
        <v>14</v>
      </c>
      <c r="AM1006" t="s">
        <v>15</v>
      </c>
      <c r="AN1006" t="str">
        <f t="shared" si="60"/>
        <v>Morning</v>
      </c>
      <c r="AO1006" t="str">
        <f t="shared" si="61"/>
        <v>Peak</v>
      </c>
      <c r="AP1006" t="str">
        <f t="shared" si="62"/>
        <v>Medium</v>
      </c>
      <c r="AQ1006" t="str">
        <f t="shared" si="63"/>
        <v>Medium</v>
      </c>
    </row>
    <row r="1007" spans="1:43" x14ac:dyDescent="0.3">
      <c r="A1007">
        <v>1006</v>
      </c>
      <c r="B1007" t="s">
        <v>23</v>
      </c>
      <c r="C1007" t="s">
        <v>17</v>
      </c>
      <c r="D1007" s="1">
        <v>46113</v>
      </c>
      <c r="E1007" t="s">
        <v>18</v>
      </c>
      <c r="F1007">
        <v>0</v>
      </c>
      <c r="G1007">
        <v>14</v>
      </c>
      <c r="H1007" t="s">
        <v>19</v>
      </c>
      <c r="I1007" t="s">
        <v>33</v>
      </c>
      <c r="J1007">
        <v>1</v>
      </c>
      <c r="K1007" t="s">
        <v>21</v>
      </c>
      <c r="L1007">
        <v>0</v>
      </c>
      <c r="M1007">
        <v>3.25</v>
      </c>
      <c r="N1007">
        <v>32</v>
      </c>
      <c r="O1007" t="s">
        <v>22</v>
      </c>
      <c r="P1007">
        <v>4</v>
      </c>
      <c r="Q1007">
        <v>4.8899999999999997</v>
      </c>
      <c r="R1007">
        <v>39.200000000000003</v>
      </c>
      <c r="S1007">
        <v>115.29</v>
      </c>
      <c r="T1007">
        <v>39.880000000000003</v>
      </c>
      <c r="U1007">
        <v>1.08</v>
      </c>
      <c r="V1007">
        <v>9.2200000000000006</v>
      </c>
      <c r="W1007">
        <v>164.39</v>
      </c>
      <c r="X1007">
        <v>42.9</v>
      </c>
      <c r="Y1007">
        <v>106.89</v>
      </c>
      <c r="Z1007">
        <v>12.2</v>
      </c>
      <c r="AA1007">
        <v>11.73</v>
      </c>
      <c r="AB1007">
        <v>140.46</v>
      </c>
      <c r="AC1007">
        <v>214.98979591836732</v>
      </c>
      <c r="AD1007">
        <v>28.723926380368102</v>
      </c>
      <c r="AE1007">
        <v>70.66</v>
      </c>
      <c r="AF1007">
        <v>14.94</v>
      </c>
      <c r="AG1007">
        <v>0</v>
      </c>
      <c r="AH1007">
        <v>13.58</v>
      </c>
      <c r="AI1007">
        <v>45.58</v>
      </c>
      <c r="AJ1007">
        <v>228.31</v>
      </c>
      <c r="AK1007">
        <v>75.8</v>
      </c>
      <c r="AL1007" t="s">
        <v>14</v>
      </c>
      <c r="AM1007" t="s">
        <v>15</v>
      </c>
      <c r="AN1007" t="str">
        <f t="shared" si="60"/>
        <v>Afternoon</v>
      </c>
      <c r="AO1007" t="str">
        <f t="shared" si="61"/>
        <v>Off-Peak</v>
      </c>
      <c r="AP1007" t="str">
        <f t="shared" si="62"/>
        <v>Medium</v>
      </c>
      <c r="AQ1007" t="str">
        <f t="shared" si="63"/>
        <v>Low</v>
      </c>
    </row>
    <row r="1008" spans="1:43" x14ac:dyDescent="0.3">
      <c r="A1008">
        <v>1007</v>
      </c>
      <c r="B1008" t="s">
        <v>16</v>
      </c>
      <c r="C1008" t="s">
        <v>17</v>
      </c>
      <c r="D1008" s="1">
        <v>46114</v>
      </c>
      <c r="E1008" t="s">
        <v>41</v>
      </c>
      <c r="F1008">
        <v>0</v>
      </c>
      <c r="G1008">
        <v>10</v>
      </c>
      <c r="H1008" t="s">
        <v>19</v>
      </c>
      <c r="I1008" t="s">
        <v>46</v>
      </c>
      <c r="J1008">
        <v>1.1499999999999999</v>
      </c>
      <c r="K1008" t="s">
        <v>12</v>
      </c>
      <c r="L1008">
        <v>0</v>
      </c>
      <c r="M1008">
        <v>2.89</v>
      </c>
      <c r="N1008">
        <v>26</v>
      </c>
      <c r="O1008" t="s">
        <v>22</v>
      </c>
      <c r="P1008">
        <v>4</v>
      </c>
      <c r="Q1008">
        <v>1</v>
      </c>
      <c r="R1008">
        <v>24.1</v>
      </c>
      <c r="S1008">
        <v>69.22</v>
      </c>
      <c r="T1008">
        <v>4.72</v>
      </c>
      <c r="U1008">
        <v>1.1000000000000001</v>
      </c>
      <c r="V1008">
        <v>6.92</v>
      </c>
      <c r="W1008">
        <v>80.86</v>
      </c>
      <c r="X1008">
        <v>37</v>
      </c>
      <c r="Y1008">
        <v>101.31</v>
      </c>
      <c r="Z1008">
        <v>2.74</v>
      </c>
      <c r="AA1008">
        <v>4.29</v>
      </c>
      <c r="AB1008">
        <v>73.83</v>
      </c>
      <c r="AC1008">
        <v>183.80912863070537</v>
      </c>
      <c r="AD1008">
        <v>73.83</v>
      </c>
      <c r="AE1008">
        <v>58.69</v>
      </c>
      <c r="AF1008">
        <v>14.75</v>
      </c>
      <c r="AG1008">
        <v>0</v>
      </c>
      <c r="AH1008">
        <v>10.65</v>
      </c>
      <c r="AI1008">
        <v>36.65</v>
      </c>
      <c r="AJ1008">
        <v>193.88</v>
      </c>
      <c r="AK1008">
        <v>65.88</v>
      </c>
      <c r="AL1008" t="s">
        <v>23</v>
      </c>
      <c r="AM1008" t="s">
        <v>24</v>
      </c>
      <c r="AN1008" t="str">
        <f t="shared" si="60"/>
        <v>Morning</v>
      </c>
      <c r="AO1008" t="str">
        <f t="shared" si="61"/>
        <v>Peak</v>
      </c>
      <c r="AP1008" t="str">
        <f t="shared" si="62"/>
        <v>Medium</v>
      </c>
      <c r="AQ1008" t="str">
        <f t="shared" si="63"/>
        <v>Low</v>
      </c>
    </row>
    <row r="1009" spans="1:43" x14ac:dyDescent="0.3">
      <c r="A1009">
        <v>1008</v>
      </c>
      <c r="B1009" t="s">
        <v>29</v>
      </c>
      <c r="C1009" t="s">
        <v>30</v>
      </c>
      <c r="D1009" s="1">
        <v>46187</v>
      </c>
      <c r="E1009" t="s">
        <v>26</v>
      </c>
      <c r="F1009">
        <v>1</v>
      </c>
      <c r="G1009">
        <v>14</v>
      </c>
      <c r="H1009" t="s">
        <v>43</v>
      </c>
      <c r="I1009" t="s">
        <v>11</v>
      </c>
      <c r="J1009">
        <v>1.18</v>
      </c>
      <c r="K1009" t="s">
        <v>12</v>
      </c>
      <c r="L1009">
        <v>0</v>
      </c>
      <c r="M1009">
        <v>3.06</v>
      </c>
      <c r="N1009">
        <v>84</v>
      </c>
      <c r="O1009" t="s">
        <v>13</v>
      </c>
      <c r="P1009">
        <v>21</v>
      </c>
      <c r="Q1009">
        <v>4.95</v>
      </c>
      <c r="R1009">
        <v>41.1</v>
      </c>
      <c r="S1009">
        <v>87.03</v>
      </c>
      <c r="T1009">
        <v>84.74</v>
      </c>
      <c r="U1009">
        <v>1</v>
      </c>
      <c r="V1009">
        <v>0</v>
      </c>
      <c r="W1009">
        <v>171.77</v>
      </c>
      <c r="X1009">
        <v>48.2</v>
      </c>
      <c r="Y1009">
        <v>108.24</v>
      </c>
      <c r="Z1009">
        <v>11.11</v>
      </c>
      <c r="AA1009">
        <v>11.11</v>
      </c>
      <c r="AB1009">
        <v>149.55000000000001</v>
      </c>
      <c r="AC1009">
        <v>218.32116788321167</v>
      </c>
      <c r="AD1009">
        <v>30.212121212121215</v>
      </c>
      <c r="AE1009">
        <v>68.02</v>
      </c>
      <c r="AF1009">
        <v>15.44</v>
      </c>
      <c r="AG1009">
        <v>1</v>
      </c>
      <c r="AH1009">
        <v>2.44</v>
      </c>
      <c r="AI1009">
        <v>86.44</v>
      </c>
      <c r="AJ1009">
        <v>222.6</v>
      </c>
      <c r="AK1009">
        <v>82.76</v>
      </c>
      <c r="AL1009" t="s">
        <v>14</v>
      </c>
      <c r="AM1009" t="s">
        <v>15</v>
      </c>
      <c r="AN1009" t="str">
        <f t="shared" si="60"/>
        <v>Afternoon</v>
      </c>
      <c r="AO1009" t="str">
        <f t="shared" si="61"/>
        <v>Off-Peak</v>
      </c>
      <c r="AP1009" t="str">
        <f t="shared" si="62"/>
        <v>Medium</v>
      </c>
      <c r="AQ1009" t="str">
        <f t="shared" si="63"/>
        <v>High</v>
      </c>
    </row>
    <row r="1010" spans="1:43" x14ac:dyDescent="0.3">
      <c r="A1010">
        <v>1009</v>
      </c>
      <c r="B1010" t="s">
        <v>16</v>
      </c>
      <c r="C1010" t="s">
        <v>17</v>
      </c>
      <c r="D1010" s="1">
        <v>46193</v>
      </c>
      <c r="E1010" t="s">
        <v>31</v>
      </c>
      <c r="F1010">
        <v>1</v>
      </c>
      <c r="G1010">
        <v>20</v>
      </c>
      <c r="H1010" t="s">
        <v>40</v>
      </c>
      <c r="I1010" t="s">
        <v>42</v>
      </c>
      <c r="J1010">
        <v>1.08</v>
      </c>
      <c r="K1010" t="s">
        <v>12</v>
      </c>
      <c r="L1010">
        <v>0</v>
      </c>
      <c r="M1010">
        <v>4.93</v>
      </c>
      <c r="N1010">
        <v>91</v>
      </c>
      <c r="O1010" t="s">
        <v>13</v>
      </c>
      <c r="P1010">
        <v>18</v>
      </c>
      <c r="Q1010">
        <v>3.34</v>
      </c>
      <c r="R1010">
        <v>39.700000000000003</v>
      </c>
      <c r="S1010">
        <v>112.08</v>
      </c>
      <c r="T1010">
        <v>100</v>
      </c>
      <c r="U1010">
        <v>1.18</v>
      </c>
      <c r="V1010">
        <v>20.170000000000002</v>
      </c>
      <c r="W1010">
        <v>232.25</v>
      </c>
      <c r="X1010">
        <v>46.3</v>
      </c>
      <c r="Y1010">
        <v>108.66</v>
      </c>
      <c r="Z1010">
        <v>7.83</v>
      </c>
      <c r="AA1010">
        <v>6.25</v>
      </c>
      <c r="AB1010">
        <v>218.17</v>
      </c>
      <c r="AC1010">
        <v>329.72795969773296</v>
      </c>
      <c r="AD1010">
        <v>65.320359281437121</v>
      </c>
      <c r="AE1010">
        <v>74.739999999999995</v>
      </c>
      <c r="AF1010">
        <v>14.25</v>
      </c>
      <c r="AG1010">
        <v>1</v>
      </c>
      <c r="AH1010">
        <v>9.77</v>
      </c>
      <c r="AI1010">
        <v>100.77</v>
      </c>
      <c r="AJ1010">
        <v>335.06</v>
      </c>
      <c r="AK1010">
        <v>76.209999999999994</v>
      </c>
      <c r="AL1010" t="s">
        <v>23</v>
      </c>
      <c r="AM1010" t="s">
        <v>24</v>
      </c>
      <c r="AN1010" t="str">
        <f t="shared" si="60"/>
        <v>Night</v>
      </c>
      <c r="AO1010" t="str">
        <f t="shared" si="61"/>
        <v>Peak</v>
      </c>
      <c r="AP1010" t="str">
        <f t="shared" si="62"/>
        <v>High</v>
      </c>
      <c r="AQ1010" t="str">
        <f t="shared" si="63"/>
        <v>High</v>
      </c>
    </row>
    <row r="1011" spans="1:43" x14ac:dyDescent="0.3">
      <c r="A1011">
        <v>1010</v>
      </c>
      <c r="B1011" t="s">
        <v>29</v>
      </c>
      <c r="C1011" t="s">
        <v>30</v>
      </c>
      <c r="D1011" s="1">
        <v>46145</v>
      </c>
      <c r="E1011" t="s">
        <v>26</v>
      </c>
      <c r="F1011">
        <v>1</v>
      </c>
      <c r="G1011">
        <v>13</v>
      </c>
      <c r="H1011" t="s">
        <v>43</v>
      </c>
      <c r="I1011" t="s">
        <v>46</v>
      </c>
      <c r="J1011">
        <v>1.1499999999999999</v>
      </c>
      <c r="K1011" t="s">
        <v>12</v>
      </c>
      <c r="L1011">
        <v>0</v>
      </c>
      <c r="M1011">
        <v>2.0499999999999998</v>
      </c>
      <c r="N1011">
        <v>48</v>
      </c>
      <c r="O1011" t="s">
        <v>35</v>
      </c>
      <c r="P1011">
        <v>9</v>
      </c>
      <c r="Q1011">
        <v>1</v>
      </c>
      <c r="R1011">
        <v>28.6</v>
      </c>
      <c r="S1011">
        <v>46.58</v>
      </c>
      <c r="T1011">
        <v>54.49</v>
      </c>
      <c r="U1011">
        <v>1</v>
      </c>
      <c r="V1011">
        <v>0</v>
      </c>
      <c r="W1011">
        <v>101.07</v>
      </c>
      <c r="X1011">
        <v>48.8</v>
      </c>
      <c r="Y1011">
        <v>104.85</v>
      </c>
      <c r="Z1011">
        <v>2.15</v>
      </c>
      <c r="AA1011">
        <v>2.0099999999999998</v>
      </c>
      <c r="AB1011">
        <v>96.91</v>
      </c>
      <c r="AC1011">
        <v>203.30769230769229</v>
      </c>
      <c r="AD1011">
        <v>96.91</v>
      </c>
      <c r="AE1011">
        <v>76.31</v>
      </c>
      <c r="AF1011">
        <v>14.92</v>
      </c>
      <c r="AG1011">
        <v>1</v>
      </c>
      <c r="AH1011">
        <v>1.7</v>
      </c>
      <c r="AI1011">
        <v>49.7</v>
      </c>
      <c r="AJ1011">
        <v>232.7</v>
      </c>
      <c r="AK1011">
        <v>72.28</v>
      </c>
      <c r="AL1011" t="s">
        <v>14</v>
      </c>
      <c r="AM1011" t="s">
        <v>15</v>
      </c>
      <c r="AN1011" t="str">
        <f t="shared" si="60"/>
        <v>Afternoon</v>
      </c>
      <c r="AO1011" t="str">
        <f t="shared" si="61"/>
        <v>Off-Peak</v>
      </c>
      <c r="AP1011" t="str">
        <f t="shared" si="62"/>
        <v>Medium</v>
      </c>
      <c r="AQ1011" t="str">
        <f t="shared" si="63"/>
        <v>Medium</v>
      </c>
    </row>
    <row r="1012" spans="1:43" x14ac:dyDescent="0.3">
      <c r="A1012">
        <v>1011</v>
      </c>
      <c r="B1012" t="s">
        <v>14</v>
      </c>
      <c r="C1012" t="s">
        <v>8</v>
      </c>
      <c r="D1012" s="1">
        <v>46041</v>
      </c>
      <c r="E1012" t="s">
        <v>38</v>
      </c>
      <c r="F1012">
        <v>0</v>
      </c>
      <c r="G1012">
        <v>8</v>
      </c>
      <c r="H1012" t="s">
        <v>49</v>
      </c>
      <c r="I1012" t="s">
        <v>37</v>
      </c>
      <c r="J1012">
        <v>1.02</v>
      </c>
      <c r="K1012" t="s">
        <v>21</v>
      </c>
      <c r="L1012">
        <v>0</v>
      </c>
      <c r="M1012">
        <v>2.81</v>
      </c>
      <c r="N1012">
        <v>5</v>
      </c>
      <c r="O1012" t="s">
        <v>22</v>
      </c>
      <c r="P1012">
        <v>2</v>
      </c>
      <c r="Q1012">
        <v>1.49</v>
      </c>
      <c r="R1012">
        <v>28</v>
      </c>
      <c r="S1012">
        <v>63.85</v>
      </c>
      <c r="T1012">
        <v>1.21</v>
      </c>
      <c r="U1012">
        <v>1</v>
      </c>
      <c r="V1012">
        <v>0</v>
      </c>
      <c r="W1012">
        <v>65.06</v>
      </c>
      <c r="X1012">
        <v>45.8</v>
      </c>
      <c r="Y1012">
        <v>105.07</v>
      </c>
      <c r="Z1012">
        <v>3.41</v>
      </c>
      <c r="AA1012">
        <v>7.43</v>
      </c>
      <c r="AB1012">
        <v>54.22</v>
      </c>
      <c r="AC1012">
        <v>116.18571428571428</v>
      </c>
      <c r="AD1012">
        <v>36.38926174496644</v>
      </c>
      <c r="AE1012">
        <v>80.459999999999994</v>
      </c>
      <c r="AF1012">
        <v>17.2</v>
      </c>
      <c r="AG1012">
        <v>0</v>
      </c>
      <c r="AH1012">
        <v>13.71</v>
      </c>
      <c r="AI1012">
        <v>18.71</v>
      </c>
      <c r="AJ1012">
        <v>105.12</v>
      </c>
      <c r="AK1012">
        <v>71.849999999999994</v>
      </c>
      <c r="AL1012" t="s">
        <v>14</v>
      </c>
      <c r="AM1012" t="s">
        <v>15</v>
      </c>
      <c r="AN1012" t="str">
        <f t="shared" si="60"/>
        <v>Morning</v>
      </c>
      <c r="AO1012" t="str">
        <f t="shared" si="61"/>
        <v>Peak</v>
      </c>
      <c r="AP1012" t="str">
        <f t="shared" si="62"/>
        <v>Low</v>
      </c>
      <c r="AQ1012" t="str">
        <f t="shared" si="63"/>
        <v>Low</v>
      </c>
    </row>
    <row r="1013" spans="1:43" x14ac:dyDescent="0.3">
      <c r="A1013">
        <v>1012</v>
      </c>
      <c r="B1013" t="s">
        <v>16</v>
      </c>
      <c r="C1013" t="s">
        <v>17</v>
      </c>
      <c r="D1013" s="1">
        <v>46277</v>
      </c>
      <c r="E1013" t="s">
        <v>31</v>
      </c>
      <c r="F1013">
        <v>1</v>
      </c>
      <c r="G1013">
        <v>12</v>
      </c>
      <c r="H1013" t="s">
        <v>19</v>
      </c>
      <c r="I1013" t="s">
        <v>33</v>
      </c>
      <c r="J1013">
        <v>1</v>
      </c>
      <c r="K1013" t="s">
        <v>12</v>
      </c>
      <c r="L1013">
        <v>0</v>
      </c>
      <c r="M1013">
        <v>3.15</v>
      </c>
      <c r="N1013">
        <v>35</v>
      </c>
      <c r="O1013" t="s">
        <v>22</v>
      </c>
      <c r="P1013">
        <v>9</v>
      </c>
      <c r="Q1013">
        <v>1.75</v>
      </c>
      <c r="R1013">
        <v>26.5</v>
      </c>
      <c r="S1013">
        <v>72.72</v>
      </c>
      <c r="T1013">
        <v>37.93</v>
      </c>
      <c r="U1013">
        <v>1.08</v>
      </c>
      <c r="V1013">
        <v>5.82</v>
      </c>
      <c r="W1013">
        <v>116.47</v>
      </c>
      <c r="X1013">
        <v>38.700000000000003</v>
      </c>
      <c r="Y1013">
        <v>104.02</v>
      </c>
      <c r="Z1013">
        <v>4.6900000000000004</v>
      </c>
      <c r="AA1013">
        <v>8.2799999999999994</v>
      </c>
      <c r="AB1013">
        <v>103.5</v>
      </c>
      <c r="AC1013">
        <v>234.33962264150944</v>
      </c>
      <c r="AD1013">
        <v>59.142857142857146</v>
      </c>
      <c r="AE1013">
        <v>77.63</v>
      </c>
      <c r="AF1013">
        <v>17.13</v>
      </c>
      <c r="AG1013">
        <v>1</v>
      </c>
      <c r="AH1013">
        <v>35.78</v>
      </c>
      <c r="AI1013">
        <v>70.78</v>
      </c>
      <c r="AJ1013">
        <v>245.15</v>
      </c>
      <c r="AK1013">
        <v>60</v>
      </c>
      <c r="AL1013" t="s">
        <v>14</v>
      </c>
      <c r="AM1013" t="s">
        <v>15</v>
      </c>
      <c r="AN1013" t="str">
        <f t="shared" si="60"/>
        <v>Afternoon</v>
      </c>
      <c r="AO1013" t="str">
        <f t="shared" si="61"/>
        <v>Off-Peak</v>
      </c>
      <c r="AP1013" t="str">
        <f t="shared" si="62"/>
        <v>Medium</v>
      </c>
      <c r="AQ1013" t="str">
        <f t="shared" si="63"/>
        <v>Low</v>
      </c>
    </row>
    <row r="1014" spans="1:43" x14ac:dyDescent="0.3">
      <c r="A1014">
        <v>1013</v>
      </c>
      <c r="B1014" t="s">
        <v>14</v>
      </c>
      <c r="C1014" t="s">
        <v>8</v>
      </c>
      <c r="D1014" s="1">
        <v>46080</v>
      </c>
      <c r="E1014" t="s">
        <v>9</v>
      </c>
      <c r="F1014">
        <v>0</v>
      </c>
      <c r="G1014">
        <v>19</v>
      </c>
      <c r="H1014" t="s">
        <v>51</v>
      </c>
      <c r="I1014" t="s">
        <v>37</v>
      </c>
      <c r="J1014">
        <v>1.02</v>
      </c>
      <c r="K1014" t="s">
        <v>12</v>
      </c>
      <c r="L1014">
        <v>0</v>
      </c>
      <c r="M1014">
        <v>3.54</v>
      </c>
      <c r="N1014">
        <v>81</v>
      </c>
      <c r="O1014" t="s">
        <v>13</v>
      </c>
      <c r="P1014">
        <v>32</v>
      </c>
      <c r="Q1014">
        <v>6.02</v>
      </c>
      <c r="R1014">
        <v>50</v>
      </c>
      <c r="S1014">
        <v>95.3</v>
      </c>
      <c r="T1014">
        <v>59.62</v>
      </c>
      <c r="U1014">
        <v>1</v>
      </c>
      <c r="V1014">
        <v>0</v>
      </c>
      <c r="W1014">
        <v>154.91999999999999</v>
      </c>
      <c r="X1014">
        <v>41.5</v>
      </c>
      <c r="Y1014">
        <v>103.45</v>
      </c>
      <c r="Z1014">
        <v>15.01</v>
      </c>
      <c r="AA1014">
        <v>10.69</v>
      </c>
      <c r="AB1014">
        <v>129.22</v>
      </c>
      <c r="AC1014">
        <v>155.06399999999999</v>
      </c>
      <c r="AD1014">
        <v>21.465116279069768</v>
      </c>
      <c r="AE1014">
        <v>86.06</v>
      </c>
      <c r="AF1014">
        <v>16.059999999999999</v>
      </c>
      <c r="AG1014">
        <v>1</v>
      </c>
      <c r="AH1014">
        <v>-17.12</v>
      </c>
      <c r="AI1014">
        <v>63.88</v>
      </c>
      <c r="AJ1014">
        <v>161.96</v>
      </c>
      <c r="AK1014">
        <v>64.38</v>
      </c>
      <c r="AL1014" t="s">
        <v>14</v>
      </c>
      <c r="AM1014" t="s">
        <v>15</v>
      </c>
      <c r="AN1014" t="str">
        <f t="shared" si="60"/>
        <v>Night</v>
      </c>
      <c r="AO1014" t="str">
        <f t="shared" si="61"/>
        <v>Peak</v>
      </c>
      <c r="AP1014" t="str">
        <f t="shared" si="62"/>
        <v>Medium</v>
      </c>
      <c r="AQ1014" t="str">
        <f t="shared" si="63"/>
        <v>High</v>
      </c>
    </row>
    <row r="1015" spans="1:43" x14ac:dyDescent="0.3">
      <c r="A1015">
        <v>1014</v>
      </c>
      <c r="B1015" t="s">
        <v>48</v>
      </c>
      <c r="C1015" t="s">
        <v>30</v>
      </c>
      <c r="D1015" s="1">
        <v>46047</v>
      </c>
      <c r="E1015" t="s">
        <v>26</v>
      </c>
      <c r="F1015">
        <v>1</v>
      </c>
      <c r="G1015">
        <v>15</v>
      </c>
      <c r="H1015" t="s">
        <v>43</v>
      </c>
      <c r="I1015" t="s">
        <v>46</v>
      </c>
      <c r="J1015">
        <v>1.1499999999999999</v>
      </c>
      <c r="K1015" t="s">
        <v>12</v>
      </c>
      <c r="L1015">
        <v>0</v>
      </c>
      <c r="M1015">
        <v>4.1500000000000004</v>
      </c>
      <c r="N1015">
        <v>29</v>
      </c>
      <c r="O1015" t="s">
        <v>22</v>
      </c>
      <c r="P1015">
        <v>9</v>
      </c>
      <c r="Q1015">
        <v>10.65</v>
      </c>
      <c r="R1015">
        <v>67.400000000000006</v>
      </c>
      <c r="S1015">
        <v>135.72999999999999</v>
      </c>
      <c r="T1015">
        <v>28.98</v>
      </c>
      <c r="U1015">
        <v>1</v>
      </c>
      <c r="V1015">
        <v>0</v>
      </c>
      <c r="W1015">
        <v>164.71</v>
      </c>
      <c r="X1015">
        <v>40.799999999999997</v>
      </c>
      <c r="Y1015">
        <v>108.73</v>
      </c>
      <c r="Z1015">
        <v>28.38</v>
      </c>
      <c r="AA1015">
        <v>7.41</v>
      </c>
      <c r="AB1015">
        <v>128.91999999999999</v>
      </c>
      <c r="AC1015">
        <v>114.7655786350148</v>
      </c>
      <c r="AD1015">
        <v>12.105164319248825</v>
      </c>
      <c r="AE1015">
        <v>74.53</v>
      </c>
      <c r="AF1015">
        <v>20</v>
      </c>
      <c r="AG1015">
        <v>1</v>
      </c>
      <c r="AH1015">
        <v>-44.82</v>
      </c>
      <c r="AI1015">
        <v>5</v>
      </c>
      <c r="AJ1015">
        <v>121.64</v>
      </c>
      <c r="AK1015">
        <v>60</v>
      </c>
      <c r="AL1015" t="s">
        <v>14</v>
      </c>
      <c r="AM1015" t="s">
        <v>15</v>
      </c>
      <c r="AN1015" t="str">
        <f t="shared" si="60"/>
        <v>Evening</v>
      </c>
      <c r="AO1015" t="str">
        <f t="shared" si="61"/>
        <v>Off-Peak</v>
      </c>
      <c r="AP1015" t="str">
        <f t="shared" si="62"/>
        <v>Low</v>
      </c>
      <c r="AQ1015" t="str">
        <f t="shared" si="63"/>
        <v>Low</v>
      </c>
    </row>
    <row r="1016" spans="1:43" x14ac:dyDescent="0.3">
      <c r="A1016">
        <v>1015</v>
      </c>
      <c r="B1016" t="s">
        <v>29</v>
      </c>
      <c r="C1016" t="s">
        <v>30</v>
      </c>
      <c r="D1016" s="1">
        <v>46177</v>
      </c>
      <c r="E1016" t="s">
        <v>41</v>
      </c>
      <c r="F1016">
        <v>0</v>
      </c>
      <c r="G1016">
        <v>15</v>
      </c>
      <c r="H1016" t="s">
        <v>43</v>
      </c>
      <c r="I1016" t="s">
        <v>46</v>
      </c>
      <c r="J1016">
        <v>1.1499999999999999</v>
      </c>
      <c r="K1016" t="s">
        <v>12</v>
      </c>
      <c r="L1016">
        <v>0</v>
      </c>
      <c r="M1016">
        <v>3.73</v>
      </c>
      <c r="N1016">
        <v>5</v>
      </c>
      <c r="O1016" t="s">
        <v>22</v>
      </c>
      <c r="P1016">
        <v>1</v>
      </c>
      <c r="Q1016">
        <v>5.4</v>
      </c>
      <c r="R1016">
        <v>45</v>
      </c>
      <c r="S1016">
        <v>88.27</v>
      </c>
      <c r="T1016">
        <v>20.07</v>
      </c>
      <c r="U1016">
        <v>1</v>
      </c>
      <c r="V1016">
        <v>0</v>
      </c>
      <c r="W1016">
        <v>108.34</v>
      </c>
      <c r="X1016">
        <v>35.5</v>
      </c>
      <c r="Y1016">
        <v>103.05</v>
      </c>
      <c r="Z1016">
        <v>15.65</v>
      </c>
      <c r="AA1016">
        <v>2.94</v>
      </c>
      <c r="AB1016">
        <v>89.75</v>
      </c>
      <c r="AC1016">
        <v>119.66666666666667</v>
      </c>
      <c r="AD1016">
        <v>16.62037037037037</v>
      </c>
      <c r="AE1016">
        <v>66.760000000000005</v>
      </c>
      <c r="AF1016">
        <v>17.32</v>
      </c>
      <c r="AG1016">
        <v>0</v>
      </c>
      <c r="AH1016">
        <v>-3.24</v>
      </c>
      <c r="AI1016">
        <v>5</v>
      </c>
      <c r="AJ1016">
        <v>138.15</v>
      </c>
      <c r="AK1016">
        <v>60</v>
      </c>
      <c r="AL1016" t="s">
        <v>14</v>
      </c>
      <c r="AM1016" t="s">
        <v>15</v>
      </c>
      <c r="AN1016" t="str">
        <f t="shared" si="60"/>
        <v>Evening</v>
      </c>
      <c r="AO1016" t="str">
        <f t="shared" si="61"/>
        <v>Off-Peak</v>
      </c>
      <c r="AP1016" t="str">
        <f t="shared" si="62"/>
        <v>Low</v>
      </c>
      <c r="AQ1016" t="str">
        <f t="shared" si="63"/>
        <v>Low</v>
      </c>
    </row>
    <row r="1017" spans="1:43" x14ac:dyDescent="0.3">
      <c r="A1017">
        <v>1016</v>
      </c>
      <c r="B1017" t="s">
        <v>16</v>
      </c>
      <c r="C1017" t="s">
        <v>17</v>
      </c>
      <c r="D1017" s="1">
        <v>46129</v>
      </c>
      <c r="E1017" t="s">
        <v>9</v>
      </c>
      <c r="F1017">
        <v>0</v>
      </c>
      <c r="G1017">
        <v>13</v>
      </c>
      <c r="H1017" t="s">
        <v>19</v>
      </c>
      <c r="I1017" t="s">
        <v>50</v>
      </c>
      <c r="J1017">
        <v>1.2</v>
      </c>
      <c r="K1017" t="s">
        <v>12</v>
      </c>
      <c r="L1017">
        <v>0</v>
      </c>
      <c r="M1017">
        <v>3.23</v>
      </c>
      <c r="N1017">
        <v>27</v>
      </c>
      <c r="O1017" t="s">
        <v>22</v>
      </c>
      <c r="P1017">
        <v>5</v>
      </c>
      <c r="Q1017">
        <v>6.15</v>
      </c>
      <c r="R1017">
        <v>47</v>
      </c>
      <c r="S1017">
        <v>129.88</v>
      </c>
      <c r="T1017">
        <v>23.47</v>
      </c>
      <c r="U1017">
        <v>1.07</v>
      </c>
      <c r="V1017">
        <v>9.09</v>
      </c>
      <c r="W1017">
        <v>162.44</v>
      </c>
      <c r="X1017">
        <v>41.2</v>
      </c>
      <c r="Y1017">
        <v>104.03</v>
      </c>
      <c r="Z1017">
        <v>15.54</v>
      </c>
      <c r="AA1017">
        <v>11.27</v>
      </c>
      <c r="AB1017">
        <v>135.63</v>
      </c>
      <c r="AC1017">
        <v>173.14468085106384</v>
      </c>
      <c r="AD1017">
        <v>22.053658536585363</v>
      </c>
      <c r="AE1017">
        <v>72.69</v>
      </c>
      <c r="AF1017">
        <v>16.96</v>
      </c>
      <c r="AG1017">
        <v>0</v>
      </c>
      <c r="AH1017">
        <v>-4.26</v>
      </c>
      <c r="AI1017">
        <v>22.74</v>
      </c>
      <c r="AJ1017">
        <v>168.49</v>
      </c>
      <c r="AK1017">
        <v>66.540000000000006</v>
      </c>
      <c r="AL1017" t="s">
        <v>14</v>
      </c>
      <c r="AM1017" t="s">
        <v>15</v>
      </c>
      <c r="AN1017" t="str">
        <f t="shared" si="60"/>
        <v>Afternoon</v>
      </c>
      <c r="AO1017" t="str">
        <f t="shared" si="61"/>
        <v>Off-Peak</v>
      </c>
      <c r="AP1017" t="str">
        <f t="shared" si="62"/>
        <v>Medium</v>
      </c>
      <c r="AQ1017" t="str">
        <f t="shared" si="63"/>
        <v>Low</v>
      </c>
    </row>
    <row r="1018" spans="1:43" x14ac:dyDescent="0.3">
      <c r="A1018">
        <v>1017</v>
      </c>
      <c r="B1018" t="s">
        <v>48</v>
      </c>
      <c r="C1018" t="s">
        <v>30</v>
      </c>
      <c r="D1018" s="1">
        <v>46181</v>
      </c>
      <c r="E1018" t="s">
        <v>38</v>
      </c>
      <c r="F1018">
        <v>0</v>
      </c>
      <c r="G1018">
        <v>11</v>
      </c>
      <c r="H1018" t="s">
        <v>43</v>
      </c>
      <c r="I1018" t="s">
        <v>20</v>
      </c>
      <c r="J1018">
        <v>1.25</v>
      </c>
      <c r="K1018" t="s">
        <v>21</v>
      </c>
      <c r="L1018">
        <v>0</v>
      </c>
      <c r="M1018">
        <v>4.4400000000000004</v>
      </c>
      <c r="N1018">
        <v>44</v>
      </c>
      <c r="O1018" t="s">
        <v>35</v>
      </c>
      <c r="P1018">
        <v>13</v>
      </c>
      <c r="Q1018">
        <v>3.52</v>
      </c>
      <c r="R1018">
        <v>35.299999999999997</v>
      </c>
      <c r="S1018">
        <v>65.150000000000006</v>
      </c>
      <c r="T1018">
        <v>39.950000000000003</v>
      </c>
      <c r="U1018">
        <v>1</v>
      </c>
      <c r="V1018">
        <v>0</v>
      </c>
      <c r="W1018">
        <v>105.1</v>
      </c>
      <c r="X1018">
        <v>40.200000000000003</v>
      </c>
      <c r="Y1018">
        <v>103</v>
      </c>
      <c r="Z1018">
        <v>9.01</v>
      </c>
      <c r="AA1018">
        <v>7.65</v>
      </c>
      <c r="AB1018">
        <v>88.44</v>
      </c>
      <c r="AC1018">
        <v>150.32294617563741</v>
      </c>
      <c r="AD1018">
        <v>25.125</v>
      </c>
      <c r="AE1018">
        <v>81.08</v>
      </c>
      <c r="AF1018">
        <v>15.64</v>
      </c>
      <c r="AG1018">
        <v>0</v>
      </c>
      <c r="AH1018">
        <v>-2.66</v>
      </c>
      <c r="AI1018">
        <v>41.34</v>
      </c>
      <c r="AJ1018">
        <v>159.24</v>
      </c>
      <c r="AK1018">
        <v>70.099999999999994</v>
      </c>
      <c r="AL1018" t="s">
        <v>14</v>
      </c>
      <c r="AM1018" t="s">
        <v>15</v>
      </c>
      <c r="AN1018" t="str">
        <f t="shared" si="60"/>
        <v>Afternoon</v>
      </c>
      <c r="AO1018" t="str">
        <f t="shared" si="61"/>
        <v>Off-Peak</v>
      </c>
      <c r="AP1018" t="str">
        <f t="shared" si="62"/>
        <v>Medium</v>
      </c>
      <c r="AQ1018" t="str">
        <f t="shared" si="63"/>
        <v>Medium</v>
      </c>
    </row>
    <row r="1019" spans="1:43" x14ac:dyDescent="0.3">
      <c r="A1019">
        <v>1018</v>
      </c>
      <c r="B1019" t="s">
        <v>29</v>
      </c>
      <c r="C1019" t="s">
        <v>30</v>
      </c>
      <c r="D1019" s="1">
        <v>46248</v>
      </c>
      <c r="E1019" t="s">
        <v>9</v>
      </c>
      <c r="F1019">
        <v>0</v>
      </c>
      <c r="G1019">
        <v>16</v>
      </c>
      <c r="H1019" t="s">
        <v>32</v>
      </c>
      <c r="I1019" t="s">
        <v>28</v>
      </c>
      <c r="J1019">
        <v>1.03</v>
      </c>
      <c r="K1019" t="s">
        <v>21</v>
      </c>
      <c r="L1019">
        <v>0</v>
      </c>
      <c r="M1019">
        <v>1.8</v>
      </c>
      <c r="N1019">
        <v>23</v>
      </c>
      <c r="O1019" t="s">
        <v>22</v>
      </c>
      <c r="P1019">
        <v>5</v>
      </c>
      <c r="Q1019">
        <v>2.36</v>
      </c>
      <c r="R1019">
        <v>27.8</v>
      </c>
      <c r="S1019">
        <v>68.66</v>
      </c>
      <c r="T1019">
        <v>2.38</v>
      </c>
      <c r="U1019">
        <v>1</v>
      </c>
      <c r="V1019">
        <v>0</v>
      </c>
      <c r="W1019">
        <v>71.040000000000006</v>
      </c>
      <c r="X1019">
        <v>35.1</v>
      </c>
      <c r="Y1019">
        <v>106.57</v>
      </c>
      <c r="Z1019">
        <v>7.17</v>
      </c>
      <c r="AA1019">
        <v>4.72</v>
      </c>
      <c r="AB1019">
        <v>59.15</v>
      </c>
      <c r="AC1019">
        <v>127.66187050359713</v>
      </c>
      <c r="AD1019">
        <v>25.0635593220339</v>
      </c>
      <c r="AE1019">
        <v>82.1</v>
      </c>
      <c r="AF1019">
        <v>11.97</v>
      </c>
      <c r="AG1019">
        <v>0</v>
      </c>
      <c r="AH1019">
        <v>-10.9</v>
      </c>
      <c r="AI1019">
        <v>12.1</v>
      </c>
      <c r="AJ1019">
        <v>131.85</v>
      </c>
      <c r="AK1019">
        <v>67.23</v>
      </c>
      <c r="AL1019" t="s">
        <v>14</v>
      </c>
      <c r="AM1019" t="s">
        <v>15</v>
      </c>
      <c r="AN1019" t="str">
        <f t="shared" si="60"/>
        <v>Evening</v>
      </c>
      <c r="AO1019" t="str">
        <f t="shared" si="61"/>
        <v>Off-Peak</v>
      </c>
      <c r="AP1019" t="str">
        <f t="shared" si="62"/>
        <v>Low</v>
      </c>
      <c r="AQ1019" t="str">
        <f t="shared" si="63"/>
        <v>Low</v>
      </c>
    </row>
    <row r="1020" spans="1:43" x14ac:dyDescent="0.3">
      <c r="A1020">
        <v>1019</v>
      </c>
      <c r="B1020" t="s">
        <v>7</v>
      </c>
      <c r="C1020" t="s">
        <v>8</v>
      </c>
      <c r="D1020" s="1">
        <v>46048</v>
      </c>
      <c r="E1020" t="s">
        <v>38</v>
      </c>
      <c r="F1020">
        <v>0</v>
      </c>
      <c r="G1020">
        <v>17</v>
      </c>
      <c r="H1020" t="s">
        <v>32</v>
      </c>
      <c r="I1020" t="s">
        <v>42</v>
      </c>
      <c r="J1020">
        <v>1.08</v>
      </c>
      <c r="K1020" t="s">
        <v>12</v>
      </c>
      <c r="L1020">
        <v>0</v>
      </c>
      <c r="M1020">
        <v>2.99</v>
      </c>
      <c r="N1020">
        <v>20</v>
      </c>
      <c r="O1020" t="s">
        <v>22</v>
      </c>
      <c r="P1020">
        <v>7</v>
      </c>
      <c r="Q1020">
        <v>5.5</v>
      </c>
      <c r="R1020">
        <v>42.2</v>
      </c>
      <c r="S1020">
        <v>91.36</v>
      </c>
      <c r="T1020">
        <v>6.69</v>
      </c>
      <c r="U1020">
        <v>1</v>
      </c>
      <c r="V1020">
        <v>0</v>
      </c>
      <c r="W1020">
        <v>98.05</v>
      </c>
      <c r="X1020">
        <v>47.7</v>
      </c>
      <c r="Y1020">
        <v>108.14</v>
      </c>
      <c r="Z1020">
        <v>12.47</v>
      </c>
      <c r="AA1020">
        <v>10.99</v>
      </c>
      <c r="AB1020">
        <v>74.59</v>
      </c>
      <c r="AC1020">
        <v>106.0521327014218</v>
      </c>
      <c r="AD1020">
        <v>13.561818181818182</v>
      </c>
      <c r="AE1020">
        <v>72.42</v>
      </c>
      <c r="AF1020">
        <v>19.32</v>
      </c>
      <c r="AG1020">
        <v>0</v>
      </c>
      <c r="AH1020">
        <v>16.09</v>
      </c>
      <c r="AI1020">
        <v>36.090000000000003</v>
      </c>
      <c r="AJ1020">
        <v>96.44</v>
      </c>
      <c r="AK1020">
        <v>60</v>
      </c>
      <c r="AL1020" t="s">
        <v>14</v>
      </c>
      <c r="AM1020" t="s">
        <v>15</v>
      </c>
      <c r="AN1020" t="str">
        <f t="shared" si="60"/>
        <v>Evening</v>
      </c>
      <c r="AO1020" t="str">
        <f t="shared" si="61"/>
        <v>Peak</v>
      </c>
      <c r="AP1020" t="str">
        <f t="shared" si="62"/>
        <v>Low</v>
      </c>
      <c r="AQ1020" t="str">
        <f t="shared" si="63"/>
        <v>Low</v>
      </c>
    </row>
    <row r="1021" spans="1:43" x14ac:dyDescent="0.3">
      <c r="A1021">
        <v>1020</v>
      </c>
      <c r="B1021" t="s">
        <v>7</v>
      </c>
      <c r="C1021" t="s">
        <v>8</v>
      </c>
      <c r="D1021" s="1">
        <v>46096</v>
      </c>
      <c r="E1021" t="s">
        <v>26</v>
      </c>
      <c r="F1021">
        <v>1</v>
      </c>
      <c r="G1021">
        <v>21</v>
      </c>
      <c r="H1021" t="s">
        <v>51</v>
      </c>
      <c r="I1021" t="s">
        <v>46</v>
      </c>
      <c r="J1021">
        <v>1.1499999999999999</v>
      </c>
      <c r="K1021" t="s">
        <v>34</v>
      </c>
      <c r="L1021">
        <v>1</v>
      </c>
      <c r="M1021">
        <v>4.8899999999999997</v>
      </c>
      <c r="N1021">
        <v>86</v>
      </c>
      <c r="O1021" t="s">
        <v>13</v>
      </c>
      <c r="P1021">
        <v>47</v>
      </c>
      <c r="Q1021">
        <v>4.55</v>
      </c>
      <c r="R1021">
        <v>46.3</v>
      </c>
      <c r="S1021">
        <v>74.849999999999994</v>
      </c>
      <c r="T1021">
        <v>100</v>
      </c>
      <c r="U1021">
        <v>1</v>
      </c>
      <c r="V1021">
        <v>0</v>
      </c>
      <c r="W1021">
        <v>174.85</v>
      </c>
      <c r="X1021">
        <v>37.200000000000003</v>
      </c>
      <c r="Y1021">
        <v>101.64</v>
      </c>
      <c r="Z1021">
        <v>12.44</v>
      </c>
      <c r="AA1021">
        <v>3.21</v>
      </c>
      <c r="AB1021">
        <v>159.19999999999999</v>
      </c>
      <c r="AC1021">
        <v>206.30669546436286</v>
      </c>
      <c r="AD1021">
        <v>34.989010989010985</v>
      </c>
      <c r="AE1021">
        <v>71.45</v>
      </c>
      <c r="AF1021">
        <v>14.71</v>
      </c>
      <c r="AG1021">
        <v>1</v>
      </c>
      <c r="AH1021">
        <v>-17.72</v>
      </c>
      <c r="AI1021">
        <v>68.28</v>
      </c>
      <c r="AJ1021">
        <v>238.39</v>
      </c>
      <c r="AK1021">
        <v>78.599999999999994</v>
      </c>
      <c r="AL1021" t="s">
        <v>14</v>
      </c>
      <c r="AM1021" t="s">
        <v>15</v>
      </c>
      <c r="AN1021" t="str">
        <f t="shared" si="60"/>
        <v>Night</v>
      </c>
      <c r="AO1021" t="str">
        <f t="shared" si="61"/>
        <v>Off-Peak</v>
      </c>
      <c r="AP1021" t="str">
        <f t="shared" si="62"/>
        <v>Medium</v>
      </c>
      <c r="AQ1021" t="str">
        <f t="shared" si="63"/>
        <v>High</v>
      </c>
    </row>
    <row r="1022" spans="1:43" x14ac:dyDescent="0.3">
      <c r="A1022">
        <v>1021</v>
      </c>
      <c r="B1022" t="s">
        <v>7</v>
      </c>
      <c r="C1022" t="s">
        <v>8</v>
      </c>
      <c r="D1022" s="1">
        <v>46156</v>
      </c>
      <c r="E1022" t="s">
        <v>41</v>
      </c>
      <c r="F1022">
        <v>0</v>
      </c>
      <c r="G1022">
        <v>16</v>
      </c>
      <c r="H1022" t="s">
        <v>32</v>
      </c>
      <c r="I1022" t="s">
        <v>28</v>
      </c>
      <c r="J1022">
        <v>1.03</v>
      </c>
      <c r="K1022" t="s">
        <v>34</v>
      </c>
      <c r="L1022">
        <v>1</v>
      </c>
      <c r="M1022">
        <v>2.77</v>
      </c>
      <c r="N1022">
        <v>46</v>
      </c>
      <c r="O1022" t="s">
        <v>35</v>
      </c>
      <c r="P1022">
        <v>23</v>
      </c>
      <c r="Q1022">
        <v>1.89</v>
      </c>
      <c r="R1022">
        <v>24.7</v>
      </c>
      <c r="S1022">
        <v>73.69</v>
      </c>
      <c r="T1022">
        <v>52.57</v>
      </c>
      <c r="U1022">
        <v>1</v>
      </c>
      <c r="V1022">
        <v>0</v>
      </c>
      <c r="W1022">
        <v>126.26</v>
      </c>
      <c r="X1022">
        <v>42.5</v>
      </c>
      <c r="Y1022">
        <v>102.55</v>
      </c>
      <c r="Z1022">
        <v>4.55</v>
      </c>
      <c r="AA1022">
        <v>2.97</v>
      </c>
      <c r="AB1022">
        <v>118.74</v>
      </c>
      <c r="AC1022">
        <v>288.43724696356276</v>
      </c>
      <c r="AD1022">
        <v>62.825396825396822</v>
      </c>
      <c r="AE1022">
        <v>78.37</v>
      </c>
      <c r="AF1022">
        <v>15.83</v>
      </c>
      <c r="AG1022">
        <v>0</v>
      </c>
      <c r="AH1022">
        <v>9.76</v>
      </c>
      <c r="AI1022">
        <v>55.76</v>
      </c>
      <c r="AJ1022">
        <v>303.83</v>
      </c>
      <c r="AK1022">
        <v>63.49</v>
      </c>
      <c r="AL1022" t="s">
        <v>14</v>
      </c>
      <c r="AM1022" t="s">
        <v>15</v>
      </c>
      <c r="AN1022" t="str">
        <f t="shared" si="60"/>
        <v>Evening</v>
      </c>
      <c r="AO1022" t="str">
        <f t="shared" si="61"/>
        <v>Off-Peak</v>
      </c>
      <c r="AP1022" t="str">
        <f t="shared" si="62"/>
        <v>High</v>
      </c>
      <c r="AQ1022" t="str">
        <f t="shared" si="63"/>
        <v>Medium</v>
      </c>
    </row>
    <row r="1023" spans="1:43" x14ac:dyDescent="0.3">
      <c r="A1023">
        <v>1022</v>
      </c>
      <c r="B1023" t="s">
        <v>7</v>
      </c>
      <c r="C1023" t="s">
        <v>8</v>
      </c>
      <c r="D1023" s="1">
        <v>46226</v>
      </c>
      <c r="E1023" t="s">
        <v>41</v>
      </c>
      <c r="F1023">
        <v>0</v>
      </c>
      <c r="G1023">
        <v>22</v>
      </c>
      <c r="H1023" t="s">
        <v>51</v>
      </c>
      <c r="I1023" t="s">
        <v>46</v>
      </c>
      <c r="J1023">
        <v>1.1499999999999999</v>
      </c>
      <c r="K1023" t="s">
        <v>12</v>
      </c>
      <c r="L1023">
        <v>0</v>
      </c>
      <c r="M1023">
        <v>3.24</v>
      </c>
      <c r="N1023">
        <v>33</v>
      </c>
      <c r="O1023" t="s">
        <v>22</v>
      </c>
      <c r="P1023">
        <v>15</v>
      </c>
      <c r="Q1023">
        <v>4.33</v>
      </c>
      <c r="R1023">
        <v>55.2</v>
      </c>
      <c r="S1023">
        <v>78.48</v>
      </c>
      <c r="T1023">
        <v>21.73</v>
      </c>
      <c r="U1023">
        <v>1</v>
      </c>
      <c r="V1023">
        <v>0</v>
      </c>
      <c r="W1023">
        <v>100.21</v>
      </c>
      <c r="X1023">
        <v>46.8</v>
      </c>
      <c r="Y1023">
        <v>101.04</v>
      </c>
      <c r="Z1023">
        <v>9.36</v>
      </c>
      <c r="AA1023">
        <v>7.35</v>
      </c>
      <c r="AB1023">
        <v>83.5</v>
      </c>
      <c r="AC1023">
        <v>90.760869565217391</v>
      </c>
      <c r="AD1023">
        <v>19.284064665127019</v>
      </c>
      <c r="AE1023">
        <v>78.459999999999994</v>
      </c>
      <c r="AF1023">
        <v>16.77</v>
      </c>
      <c r="AG1023">
        <v>0</v>
      </c>
      <c r="AH1023">
        <v>12.58</v>
      </c>
      <c r="AI1023">
        <v>45.58</v>
      </c>
      <c r="AJ1023">
        <v>84.17</v>
      </c>
      <c r="AK1023">
        <v>67.41</v>
      </c>
      <c r="AL1023" t="s">
        <v>14</v>
      </c>
      <c r="AM1023" t="s">
        <v>15</v>
      </c>
      <c r="AN1023" t="str">
        <f t="shared" si="60"/>
        <v>Night</v>
      </c>
      <c r="AO1023" t="str">
        <f t="shared" si="61"/>
        <v>Off-Peak</v>
      </c>
      <c r="AP1023" t="str">
        <f t="shared" si="62"/>
        <v>Low</v>
      </c>
      <c r="AQ1023" t="str">
        <f t="shared" si="63"/>
        <v>Low</v>
      </c>
    </row>
    <row r="1024" spans="1:43" x14ac:dyDescent="0.3">
      <c r="A1024">
        <v>1023</v>
      </c>
      <c r="B1024" t="s">
        <v>23</v>
      </c>
      <c r="C1024" t="s">
        <v>17</v>
      </c>
      <c r="D1024" s="1">
        <v>46177</v>
      </c>
      <c r="E1024" t="s">
        <v>41</v>
      </c>
      <c r="F1024">
        <v>0</v>
      </c>
      <c r="G1024">
        <v>20</v>
      </c>
      <c r="H1024" t="s">
        <v>40</v>
      </c>
      <c r="I1024" t="s">
        <v>45</v>
      </c>
      <c r="J1024">
        <v>1</v>
      </c>
      <c r="K1024" t="s">
        <v>21</v>
      </c>
      <c r="L1024">
        <v>0</v>
      </c>
      <c r="M1024">
        <v>3.21</v>
      </c>
      <c r="N1024">
        <v>46</v>
      </c>
      <c r="O1024" t="s">
        <v>35</v>
      </c>
      <c r="P1024">
        <v>6</v>
      </c>
      <c r="Q1024">
        <v>3.69</v>
      </c>
      <c r="R1024">
        <v>34.1</v>
      </c>
      <c r="S1024">
        <v>96.92</v>
      </c>
      <c r="T1024">
        <v>52.09</v>
      </c>
      <c r="U1024">
        <v>1.29</v>
      </c>
      <c r="V1024">
        <v>28.11</v>
      </c>
      <c r="W1024">
        <v>177.12</v>
      </c>
      <c r="X1024">
        <v>44.1</v>
      </c>
      <c r="Y1024">
        <v>101.6</v>
      </c>
      <c r="Z1024">
        <v>8.51</v>
      </c>
      <c r="AA1024">
        <v>8.25</v>
      </c>
      <c r="AB1024">
        <v>160.36000000000001</v>
      </c>
      <c r="AC1024">
        <v>282.15835777126102</v>
      </c>
      <c r="AD1024">
        <v>43.457994579945805</v>
      </c>
      <c r="AE1024">
        <v>85.54</v>
      </c>
      <c r="AF1024">
        <v>17.559999999999999</v>
      </c>
      <c r="AG1024">
        <v>1</v>
      </c>
      <c r="AH1024">
        <v>7.75</v>
      </c>
      <c r="AI1024">
        <v>53.75</v>
      </c>
      <c r="AJ1024">
        <v>306.3</v>
      </c>
      <c r="AK1024">
        <v>70.5</v>
      </c>
      <c r="AL1024" t="s">
        <v>23</v>
      </c>
      <c r="AM1024" t="s">
        <v>24</v>
      </c>
      <c r="AN1024" t="str">
        <f t="shared" si="60"/>
        <v>Night</v>
      </c>
      <c r="AO1024" t="str">
        <f t="shared" si="61"/>
        <v>Peak</v>
      </c>
      <c r="AP1024" t="str">
        <f t="shared" si="62"/>
        <v>High</v>
      </c>
      <c r="AQ1024" t="str">
        <f t="shared" si="63"/>
        <v>Medium</v>
      </c>
    </row>
    <row r="1025" spans="1:43" x14ac:dyDescent="0.3">
      <c r="A1025">
        <v>1024</v>
      </c>
      <c r="B1025" t="s">
        <v>16</v>
      </c>
      <c r="C1025" t="s">
        <v>17</v>
      </c>
      <c r="D1025" s="1">
        <v>46121</v>
      </c>
      <c r="E1025" t="s">
        <v>41</v>
      </c>
      <c r="F1025">
        <v>0</v>
      </c>
      <c r="G1025">
        <v>8</v>
      </c>
      <c r="H1025" t="s">
        <v>27</v>
      </c>
      <c r="I1025" t="s">
        <v>20</v>
      </c>
      <c r="J1025">
        <v>1.25</v>
      </c>
      <c r="K1025" t="s">
        <v>12</v>
      </c>
      <c r="L1025">
        <v>0</v>
      </c>
      <c r="M1025">
        <v>4.6500000000000004</v>
      </c>
      <c r="N1025">
        <v>86</v>
      </c>
      <c r="O1025" t="s">
        <v>13</v>
      </c>
      <c r="P1025">
        <v>11</v>
      </c>
      <c r="Q1025">
        <v>2.91</v>
      </c>
      <c r="R1025">
        <v>29.4</v>
      </c>
      <c r="S1025">
        <v>89.84</v>
      </c>
      <c r="T1025">
        <v>94.11</v>
      </c>
      <c r="U1025">
        <v>1.32</v>
      </c>
      <c r="V1025">
        <v>28.75</v>
      </c>
      <c r="W1025">
        <v>212.7</v>
      </c>
      <c r="X1025">
        <v>37.5</v>
      </c>
      <c r="Y1025">
        <v>104.07</v>
      </c>
      <c r="Z1025">
        <v>8.06</v>
      </c>
      <c r="AA1025">
        <v>7.11</v>
      </c>
      <c r="AB1025">
        <v>197.53</v>
      </c>
      <c r="AC1025">
        <v>403.12244897959187</v>
      </c>
      <c r="AD1025">
        <v>67.87972508591065</v>
      </c>
      <c r="AE1025">
        <v>73.45</v>
      </c>
      <c r="AF1025">
        <v>12.65</v>
      </c>
      <c r="AG1025">
        <v>1</v>
      </c>
      <c r="AH1025">
        <v>10.31</v>
      </c>
      <c r="AI1025">
        <v>96.31</v>
      </c>
      <c r="AJ1025">
        <v>399.33</v>
      </c>
      <c r="AK1025">
        <v>80.08</v>
      </c>
      <c r="AL1025" t="s">
        <v>23</v>
      </c>
      <c r="AM1025" t="s">
        <v>24</v>
      </c>
      <c r="AN1025" t="str">
        <f t="shared" si="60"/>
        <v>Morning</v>
      </c>
      <c r="AO1025" t="str">
        <f t="shared" si="61"/>
        <v>Peak</v>
      </c>
      <c r="AP1025" t="str">
        <f t="shared" si="62"/>
        <v>High</v>
      </c>
      <c r="AQ1025" t="str">
        <f t="shared" si="63"/>
        <v>High</v>
      </c>
    </row>
    <row r="1026" spans="1:43" x14ac:dyDescent="0.3">
      <c r="A1026">
        <v>1025</v>
      </c>
      <c r="B1026" t="s">
        <v>16</v>
      </c>
      <c r="C1026" t="s">
        <v>17</v>
      </c>
      <c r="D1026" s="1">
        <v>46180</v>
      </c>
      <c r="E1026" t="s">
        <v>26</v>
      </c>
      <c r="F1026">
        <v>1</v>
      </c>
      <c r="G1026">
        <v>13</v>
      </c>
      <c r="H1026" t="s">
        <v>19</v>
      </c>
      <c r="I1026" t="s">
        <v>20</v>
      </c>
      <c r="J1026">
        <v>1.25</v>
      </c>
      <c r="K1026" t="s">
        <v>12</v>
      </c>
      <c r="L1026">
        <v>0</v>
      </c>
      <c r="M1026">
        <v>3.85</v>
      </c>
      <c r="N1026">
        <v>57</v>
      </c>
      <c r="O1026" t="s">
        <v>35</v>
      </c>
      <c r="P1026">
        <v>8</v>
      </c>
      <c r="Q1026">
        <v>2.29</v>
      </c>
      <c r="R1026">
        <v>25.7</v>
      </c>
      <c r="S1026">
        <v>86.64</v>
      </c>
      <c r="T1026">
        <v>52.34</v>
      </c>
      <c r="U1026">
        <v>1.1000000000000001</v>
      </c>
      <c r="V1026">
        <v>8.66</v>
      </c>
      <c r="W1026">
        <v>147.63999999999999</v>
      </c>
      <c r="X1026">
        <v>44.3</v>
      </c>
      <c r="Y1026">
        <v>107.76</v>
      </c>
      <c r="Z1026">
        <v>5.58</v>
      </c>
      <c r="AA1026">
        <v>11.29</v>
      </c>
      <c r="AB1026">
        <v>130.77000000000001</v>
      </c>
      <c r="AC1026">
        <v>305.29961089494162</v>
      </c>
      <c r="AD1026">
        <v>57.104803493449786</v>
      </c>
      <c r="AE1026">
        <v>71.22</v>
      </c>
      <c r="AF1026">
        <v>17.559999999999999</v>
      </c>
      <c r="AG1026">
        <v>1</v>
      </c>
      <c r="AH1026">
        <v>17.239999999999998</v>
      </c>
      <c r="AI1026">
        <v>74.239999999999995</v>
      </c>
      <c r="AJ1026">
        <v>304.91000000000003</v>
      </c>
      <c r="AK1026">
        <v>71.06</v>
      </c>
      <c r="AL1026" t="s">
        <v>14</v>
      </c>
      <c r="AM1026" t="s">
        <v>15</v>
      </c>
      <c r="AN1026" t="str">
        <f t="shared" si="60"/>
        <v>Afternoon</v>
      </c>
      <c r="AO1026" t="str">
        <f t="shared" si="61"/>
        <v>Off-Peak</v>
      </c>
      <c r="AP1026" t="str">
        <f t="shared" si="62"/>
        <v>High</v>
      </c>
      <c r="AQ1026" t="str">
        <f t="shared" si="63"/>
        <v>Medium</v>
      </c>
    </row>
    <row r="1027" spans="1:43" x14ac:dyDescent="0.3">
      <c r="A1027">
        <v>1026</v>
      </c>
      <c r="B1027" t="s">
        <v>7</v>
      </c>
      <c r="C1027" t="s">
        <v>8</v>
      </c>
      <c r="D1027" s="1">
        <v>46275</v>
      </c>
      <c r="E1027" t="s">
        <v>41</v>
      </c>
      <c r="F1027">
        <v>0</v>
      </c>
      <c r="G1027">
        <v>13</v>
      </c>
      <c r="H1027" t="s">
        <v>10</v>
      </c>
      <c r="I1027" t="s">
        <v>37</v>
      </c>
      <c r="J1027">
        <v>1.02</v>
      </c>
      <c r="K1027" t="s">
        <v>12</v>
      </c>
      <c r="L1027">
        <v>0</v>
      </c>
      <c r="M1027">
        <v>4.32</v>
      </c>
      <c r="N1027">
        <v>81</v>
      </c>
      <c r="O1027" t="s">
        <v>13</v>
      </c>
      <c r="P1027">
        <v>43</v>
      </c>
      <c r="Q1027">
        <v>4.8899999999999997</v>
      </c>
      <c r="R1027">
        <v>51.1</v>
      </c>
      <c r="S1027">
        <v>96.26</v>
      </c>
      <c r="T1027">
        <v>69.86</v>
      </c>
      <c r="U1027">
        <v>1</v>
      </c>
      <c r="V1027">
        <v>0</v>
      </c>
      <c r="W1027">
        <v>166.12</v>
      </c>
      <c r="X1027">
        <v>46.4</v>
      </c>
      <c r="Y1027">
        <v>105.42</v>
      </c>
      <c r="Z1027">
        <v>11.11</v>
      </c>
      <c r="AA1027">
        <v>4.63</v>
      </c>
      <c r="AB1027">
        <v>150.38</v>
      </c>
      <c r="AC1027">
        <v>176.57142857142856</v>
      </c>
      <c r="AD1027">
        <v>30.752556237218815</v>
      </c>
      <c r="AE1027">
        <v>84.53</v>
      </c>
      <c r="AF1027">
        <v>15.53</v>
      </c>
      <c r="AG1027">
        <v>1</v>
      </c>
      <c r="AH1027">
        <v>3.8</v>
      </c>
      <c r="AI1027">
        <v>84.8</v>
      </c>
      <c r="AJ1027">
        <v>178.26</v>
      </c>
      <c r="AK1027">
        <v>83.38</v>
      </c>
      <c r="AL1027" t="s">
        <v>14</v>
      </c>
      <c r="AM1027" t="s">
        <v>15</v>
      </c>
      <c r="AN1027" t="str">
        <f t="shared" ref="AN1027:AN1090" si="64">IF(G1027&lt;11,"Morning",IF(G1027&lt;15,"Afternoon",IF(G1027&lt;18,"Evening","Night")))</f>
        <v>Afternoon</v>
      </c>
      <c r="AO1027" t="str">
        <f t="shared" ref="AO1027:AO1090" si="65">IF(OR(AND(G1027&gt;=7,G1027&lt;=10),AND(G1027&gt;=17,G1027&lt;=20)),"Peak","Off-Peak")</f>
        <v>Off-Peak</v>
      </c>
      <c r="AP1027" t="str">
        <f t="shared" ref="AP1027:AP1090" si="66">IF(AC1027&lt;150,"Low",IF(AC1027&lt;=250,"Medium","High"))</f>
        <v>Medium</v>
      </c>
      <c r="AQ1027" t="str">
        <f t="shared" ref="AQ1027:AQ1090" si="67">IF(N1027&lt;=35,"Low",IF(N1027&lt;=70,"Medium","High"))</f>
        <v>High</v>
      </c>
    </row>
    <row r="1028" spans="1:43" x14ac:dyDescent="0.3">
      <c r="A1028">
        <v>1027</v>
      </c>
      <c r="B1028" t="s">
        <v>7</v>
      </c>
      <c r="C1028" t="s">
        <v>8</v>
      </c>
      <c r="D1028" s="1">
        <v>46146</v>
      </c>
      <c r="E1028" t="s">
        <v>38</v>
      </c>
      <c r="F1028">
        <v>0</v>
      </c>
      <c r="G1028">
        <v>7</v>
      </c>
      <c r="H1028" t="s">
        <v>49</v>
      </c>
      <c r="I1028" t="s">
        <v>11</v>
      </c>
      <c r="J1028">
        <v>1.18</v>
      </c>
      <c r="K1028" t="s">
        <v>12</v>
      </c>
      <c r="L1028">
        <v>0</v>
      </c>
      <c r="M1028">
        <v>1.52</v>
      </c>
      <c r="N1028">
        <v>33</v>
      </c>
      <c r="O1028" t="s">
        <v>22</v>
      </c>
      <c r="P1028">
        <v>16</v>
      </c>
      <c r="Q1028">
        <v>2.42</v>
      </c>
      <c r="R1028">
        <v>31.6</v>
      </c>
      <c r="S1028">
        <v>84.63</v>
      </c>
      <c r="T1028">
        <v>33.11</v>
      </c>
      <c r="U1028">
        <v>1</v>
      </c>
      <c r="V1028">
        <v>0</v>
      </c>
      <c r="W1028">
        <v>117.74</v>
      </c>
      <c r="X1028">
        <v>47.8</v>
      </c>
      <c r="Y1028">
        <v>100.53</v>
      </c>
      <c r="Z1028">
        <v>5.08</v>
      </c>
      <c r="AA1028">
        <v>11.9</v>
      </c>
      <c r="AB1028">
        <v>100.76</v>
      </c>
      <c r="AC1028">
        <v>191.31645569620252</v>
      </c>
      <c r="AD1028">
        <v>41.63636363636364</v>
      </c>
      <c r="AE1028">
        <v>71.38</v>
      </c>
      <c r="AF1028">
        <v>11.92</v>
      </c>
      <c r="AG1028">
        <v>0</v>
      </c>
      <c r="AH1028">
        <v>-2.2000000000000002</v>
      </c>
      <c r="AI1028">
        <v>30.8</v>
      </c>
      <c r="AJ1028">
        <v>202.45</v>
      </c>
      <c r="AK1028">
        <v>70.62</v>
      </c>
      <c r="AL1028" t="s">
        <v>14</v>
      </c>
      <c r="AM1028" t="s">
        <v>15</v>
      </c>
      <c r="AN1028" t="str">
        <f t="shared" si="64"/>
        <v>Morning</v>
      </c>
      <c r="AO1028" t="str">
        <f t="shared" si="65"/>
        <v>Peak</v>
      </c>
      <c r="AP1028" t="str">
        <f t="shared" si="66"/>
        <v>Medium</v>
      </c>
      <c r="AQ1028" t="str">
        <f t="shared" si="67"/>
        <v>Low</v>
      </c>
    </row>
    <row r="1029" spans="1:43" x14ac:dyDescent="0.3">
      <c r="A1029">
        <v>1028</v>
      </c>
      <c r="B1029" t="s">
        <v>14</v>
      </c>
      <c r="C1029" t="s">
        <v>8</v>
      </c>
      <c r="D1029" s="1">
        <v>46250</v>
      </c>
      <c r="E1029" t="s">
        <v>26</v>
      </c>
      <c r="F1029">
        <v>1</v>
      </c>
      <c r="G1029">
        <v>9</v>
      </c>
      <c r="H1029" t="s">
        <v>49</v>
      </c>
      <c r="I1029" t="s">
        <v>28</v>
      </c>
      <c r="J1029">
        <v>1.03</v>
      </c>
      <c r="K1029" t="s">
        <v>34</v>
      </c>
      <c r="L1029">
        <v>1</v>
      </c>
      <c r="M1029">
        <v>2.73</v>
      </c>
      <c r="N1029">
        <v>69</v>
      </c>
      <c r="O1029" t="s">
        <v>35</v>
      </c>
      <c r="P1029">
        <v>28</v>
      </c>
      <c r="Q1029">
        <v>13.43</v>
      </c>
      <c r="R1029">
        <v>75.900000000000006</v>
      </c>
      <c r="S1029">
        <v>162.63999999999999</v>
      </c>
      <c r="T1029">
        <v>80.83</v>
      </c>
      <c r="U1029">
        <v>1</v>
      </c>
      <c r="V1029">
        <v>0</v>
      </c>
      <c r="W1029">
        <v>243.47</v>
      </c>
      <c r="X1029">
        <v>39.799999999999997</v>
      </c>
      <c r="Y1029">
        <v>106.25</v>
      </c>
      <c r="Z1029">
        <v>35.86</v>
      </c>
      <c r="AA1029">
        <v>2.19</v>
      </c>
      <c r="AB1029">
        <v>205.42</v>
      </c>
      <c r="AC1029">
        <v>162.3873517786561</v>
      </c>
      <c r="AD1029">
        <v>15.295606850335069</v>
      </c>
      <c r="AE1029">
        <v>73.92</v>
      </c>
      <c r="AF1029">
        <v>13.17</v>
      </c>
      <c r="AG1029">
        <v>1</v>
      </c>
      <c r="AH1029">
        <v>10.3</v>
      </c>
      <c r="AI1029">
        <v>79.3</v>
      </c>
      <c r="AJ1029">
        <v>160.13999999999999</v>
      </c>
      <c r="AK1029">
        <v>72.37</v>
      </c>
      <c r="AL1029" t="s">
        <v>23</v>
      </c>
      <c r="AM1029" t="s">
        <v>24</v>
      </c>
      <c r="AN1029" t="str">
        <f t="shared" si="64"/>
        <v>Morning</v>
      </c>
      <c r="AO1029" t="str">
        <f t="shared" si="65"/>
        <v>Peak</v>
      </c>
      <c r="AP1029" t="str">
        <f t="shared" si="66"/>
        <v>Medium</v>
      </c>
      <c r="AQ1029" t="str">
        <f t="shared" si="67"/>
        <v>Medium</v>
      </c>
    </row>
    <row r="1030" spans="1:43" x14ac:dyDescent="0.3">
      <c r="A1030">
        <v>1029</v>
      </c>
      <c r="B1030" t="s">
        <v>29</v>
      </c>
      <c r="C1030" t="s">
        <v>30</v>
      </c>
      <c r="D1030" s="1">
        <v>46224</v>
      </c>
      <c r="E1030" t="s">
        <v>44</v>
      </c>
      <c r="F1030">
        <v>0</v>
      </c>
      <c r="G1030">
        <v>19</v>
      </c>
      <c r="H1030" t="s">
        <v>32</v>
      </c>
      <c r="I1030" t="s">
        <v>42</v>
      </c>
      <c r="J1030">
        <v>1.08</v>
      </c>
      <c r="K1030" t="s">
        <v>34</v>
      </c>
      <c r="L1030">
        <v>1</v>
      </c>
      <c r="M1030">
        <v>5</v>
      </c>
      <c r="N1030">
        <v>93</v>
      </c>
      <c r="O1030" t="s">
        <v>13</v>
      </c>
      <c r="P1030">
        <v>33</v>
      </c>
      <c r="Q1030">
        <v>5.27</v>
      </c>
      <c r="R1030">
        <v>58.1</v>
      </c>
      <c r="S1030">
        <v>101.78</v>
      </c>
      <c r="T1030">
        <v>100</v>
      </c>
      <c r="U1030">
        <v>1</v>
      </c>
      <c r="V1030">
        <v>0</v>
      </c>
      <c r="W1030">
        <v>201.78</v>
      </c>
      <c r="X1030">
        <v>35.5</v>
      </c>
      <c r="Y1030">
        <v>107.95</v>
      </c>
      <c r="Z1030">
        <v>16.02</v>
      </c>
      <c r="AA1030">
        <v>3.19</v>
      </c>
      <c r="AB1030">
        <v>182.57</v>
      </c>
      <c r="AC1030">
        <v>188.5404475043029</v>
      </c>
      <c r="AD1030">
        <v>34.643263757115754</v>
      </c>
      <c r="AE1030">
        <v>89.47</v>
      </c>
      <c r="AF1030">
        <v>18.32</v>
      </c>
      <c r="AG1030">
        <v>1</v>
      </c>
      <c r="AH1030">
        <v>12.01</v>
      </c>
      <c r="AI1030">
        <v>105.01</v>
      </c>
      <c r="AJ1030">
        <v>212.89</v>
      </c>
      <c r="AK1030">
        <v>78.8</v>
      </c>
      <c r="AL1030" t="s">
        <v>23</v>
      </c>
      <c r="AM1030" t="s">
        <v>24</v>
      </c>
      <c r="AN1030" t="str">
        <f t="shared" si="64"/>
        <v>Night</v>
      </c>
      <c r="AO1030" t="str">
        <f t="shared" si="65"/>
        <v>Peak</v>
      </c>
      <c r="AP1030" t="str">
        <f t="shared" si="66"/>
        <v>Medium</v>
      </c>
      <c r="AQ1030" t="str">
        <f t="shared" si="67"/>
        <v>High</v>
      </c>
    </row>
    <row r="1031" spans="1:43" x14ac:dyDescent="0.3">
      <c r="A1031">
        <v>1030</v>
      </c>
      <c r="B1031" t="s">
        <v>48</v>
      </c>
      <c r="C1031" t="s">
        <v>30</v>
      </c>
      <c r="D1031" s="1">
        <v>46100</v>
      </c>
      <c r="E1031" t="s">
        <v>41</v>
      </c>
      <c r="F1031">
        <v>0</v>
      </c>
      <c r="G1031">
        <v>12</v>
      </c>
      <c r="H1031" t="s">
        <v>43</v>
      </c>
      <c r="I1031" t="s">
        <v>28</v>
      </c>
      <c r="J1031">
        <v>1.03</v>
      </c>
      <c r="K1031" t="s">
        <v>21</v>
      </c>
      <c r="L1031">
        <v>0</v>
      </c>
      <c r="M1031">
        <v>3.02</v>
      </c>
      <c r="N1031">
        <v>33</v>
      </c>
      <c r="O1031" t="s">
        <v>22</v>
      </c>
      <c r="P1031">
        <v>6</v>
      </c>
      <c r="Q1031">
        <v>4.95</v>
      </c>
      <c r="R1031">
        <v>46</v>
      </c>
      <c r="S1031">
        <v>106.58</v>
      </c>
      <c r="T1031">
        <v>43.45</v>
      </c>
      <c r="U1031">
        <v>1</v>
      </c>
      <c r="V1031">
        <v>0</v>
      </c>
      <c r="W1031">
        <v>150.03</v>
      </c>
      <c r="X1031">
        <v>44.1</v>
      </c>
      <c r="Y1031">
        <v>103.93</v>
      </c>
      <c r="Z1031">
        <v>11.65</v>
      </c>
      <c r="AA1031">
        <v>3.86</v>
      </c>
      <c r="AB1031">
        <v>134.52000000000001</v>
      </c>
      <c r="AC1031">
        <v>175.46086956521739</v>
      </c>
      <c r="AD1031">
        <v>27.175757575757576</v>
      </c>
      <c r="AE1031">
        <v>63.67</v>
      </c>
      <c r="AF1031">
        <v>16.829999999999998</v>
      </c>
      <c r="AG1031">
        <v>0</v>
      </c>
      <c r="AH1031">
        <v>16.350000000000001</v>
      </c>
      <c r="AI1031">
        <v>49.35</v>
      </c>
      <c r="AJ1031">
        <v>184.25</v>
      </c>
      <c r="AK1031">
        <v>70.53</v>
      </c>
      <c r="AL1031" t="s">
        <v>14</v>
      </c>
      <c r="AM1031" t="s">
        <v>15</v>
      </c>
      <c r="AN1031" t="str">
        <f t="shared" si="64"/>
        <v>Afternoon</v>
      </c>
      <c r="AO1031" t="str">
        <f t="shared" si="65"/>
        <v>Off-Peak</v>
      </c>
      <c r="AP1031" t="str">
        <f t="shared" si="66"/>
        <v>Medium</v>
      </c>
      <c r="AQ1031" t="str">
        <f t="shared" si="67"/>
        <v>Low</v>
      </c>
    </row>
    <row r="1032" spans="1:43" x14ac:dyDescent="0.3">
      <c r="A1032">
        <v>1031</v>
      </c>
      <c r="B1032" t="s">
        <v>29</v>
      </c>
      <c r="C1032" t="s">
        <v>30</v>
      </c>
      <c r="D1032" s="1">
        <v>46087</v>
      </c>
      <c r="E1032" t="s">
        <v>9</v>
      </c>
      <c r="F1032">
        <v>0</v>
      </c>
      <c r="G1032">
        <v>9</v>
      </c>
      <c r="H1032" t="s">
        <v>47</v>
      </c>
      <c r="I1032" t="s">
        <v>37</v>
      </c>
      <c r="J1032">
        <v>1.02</v>
      </c>
      <c r="K1032" t="s">
        <v>12</v>
      </c>
      <c r="L1032">
        <v>0</v>
      </c>
      <c r="M1032">
        <v>1</v>
      </c>
      <c r="N1032">
        <v>5</v>
      </c>
      <c r="O1032" t="s">
        <v>22</v>
      </c>
      <c r="P1032">
        <v>1</v>
      </c>
      <c r="Q1032">
        <v>3.24</v>
      </c>
      <c r="R1032">
        <v>25.6</v>
      </c>
      <c r="S1032">
        <v>79.64</v>
      </c>
      <c r="T1032">
        <v>0</v>
      </c>
      <c r="U1032">
        <v>1</v>
      </c>
      <c r="V1032">
        <v>0</v>
      </c>
      <c r="W1032">
        <v>79.64</v>
      </c>
      <c r="X1032">
        <v>38.4</v>
      </c>
      <c r="Y1032">
        <v>102.45</v>
      </c>
      <c r="Z1032">
        <v>8.64</v>
      </c>
      <c r="AA1032">
        <v>2.8</v>
      </c>
      <c r="AB1032">
        <v>68.2</v>
      </c>
      <c r="AC1032">
        <v>159.84375</v>
      </c>
      <c r="AD1032">
        <v>21.049382716049383</v>
      </c>
      <c r="AE1032">
        <v>88.85</v>
      </c>
      <c r="AF1032">
        <v>13.07</v>
      </c>
      <c r="AG1032">
        <v>0</v>
      </c>
      <c r="AH1032">
        <v>-22.69</v>
      </c>
      <c r="AI1032">
        <v>5</v>
      </c>
      <c r="AJ1032">
        <v>154.1</v>
      </c>
      <c r="AK1032">
        <v>62.97</v>
      </c>
      <c r="AL1032" t="s">
        <v>23</v>
      </c>
      <c r="AM1032" t="s">
        <v>24</v>
      </c>
      <c r="AN1032" t="str">
        <f t="shared" si="64"/>
        <v>Morning</v>
      </c>
      <c r="AO1032" t="str">
        <f t="shared" si="65"/>
        <v>Peak</v>
      </c>
      <c r="AP1032" t="str">
        <f t="shared" si="66"/>
        <v>Medium</v>
      </c>
      <c r="AQ1032" t="str">
        <f t="shared" si="67"/>
        <v>Low</v>
      </c>
    </row>
    <row r="1033" spans="1:43" x14ac:dyDescent="0.3">
      <c r="A1033">
        <v>1032</v>
      </c>
      <c r="B1033" t="s">
        <v>14</v>
      </c>
      <c r="C1033" t="s">
        <v>8</v>
      </c>
      <c r="D1033" s="1">
        <v>46221</v>
      </c>
      <c r="E1033" t="s">
        <v>31</v>
      </c>
      <c r="F1033">
        <v>1</v>
      </c>
      <c r="G1033">
        <v>11</v>
      </c>
      <c r="H1033" t="s">
        <v>10</v>
      </c>
      <c r="I1033" t="s">
        <v>45</v>
      </c>
      <c r="J1033">
        <v>1</v>
      </c>
      <c r="K1033" t="s">
        <v>12</v>
      </c>
      <c r="L1033">
        <v>0</v>
      </c>
      <c r="M1033">
        <v>3.99</v>
      </c>
      <c r="N1033">
        <v>24</v>
      </c>
      <c r="O1033" t="s">
        <v>22</v>
      </c>
      <c r="P1033">
        <v>7</v>
      </c>
      <c r="Q1033">
        <v>2.71</v>
      </c>
      <c r="R1033">
        <v>34.9</v>
      </c>
      <c r="S1033">
        <v>82.68</v>
      </c>
      <c r="T1033">
        <v>35.18</v>
      </c>
      <c r="U1033">
        <v>1</v>
      </c>
      <c r="V1033">
        <v>0</v>
      </c>
      <c r="W1033">
        <v>117.86</v>
      </c>
      <c r="X1033">
        <v>46.7</v>
      </c>
      <c r="Y1033">
        <v>107.64</v>
      </c>
      <c r="Z1033">
        <v>6.25</v>
      </c>
      <c r="AA1033">
        <v>6.38</v>
      </c>
      <c r="AB1033">
        <v>105.23</v>
      </c>
      <c r="AC1033">
        <v>180.91117478510029</v>
      </c>
      <c r="AD1033">
        <v>38.830258302583026</v>
      </c>
      <c r="AE1033">
        <v>69.02</v>
      </c>
      <c r="AF1033">
        <v>14.87</v>
      </c>
      <c r="AG1033">
        <v>1</v>
      </c>
      <c r="AH1033">
        <v>0.25</v>
      </c>
      <c r="AI1033">
        <v>24.25</v>
      </c>
      <c r="AJ1033">
        <v>208.48</v>
      </c>
      <c r="AK1033">
        <v>72.790000000000006</v>
      </c>
      <c r="AL1033" t="s">
        <v>14</v>
      </c>
      <c r="AM1033" t="s">
        <v>15</v>
      </c>
      <c r="AN1033" t="str">
        <f t="shared" si="64"/>
        <v>Afternoon</v>
      </c>
      <c r="AO1033" t="str">
        <f t="shared" si="65"/>
        <v>Off-Peak</v>
      </c>
      <c r="AP1033" t="str">
        <f t="shared" si="66"/>
        <v>Medium</v>
      </c>
      <c r="AQ1033" t="str">
        <f t="shared" si="67"/>
        <v>Low</v>
      </c>
    </row>
    <row r="1034" spans="1:43" x14ac:dyDescent="0.3">
      <c r="A1034">
        <v>1033</v>
      </c>
      <c r="B1034" t="s">
        <v>16</v>
      </c>
      <c r="C1034" t="s">
        <v>17</v>
      </c>
      <c r="D1034" s="1">
        <v>46076</v>
      </c>
      <c r="E1034" t="s">
        <v>38</v>
      </c>
      <c r="F1034">
        <v>0</v>
      </c>
      <c r="G1034">
        <v>11</v>
      </c>
      <c r="H1034" t="s">
        <v>19</v>
      </c>
      <c r="I1034" t="s">
        <v>28</v>
      </c>
      <c r="J1034">
        <v>1.03</v>
      </c>
      <c r="K1034" t="s">
        <v>34</v>
      </c>
      <c r="L1034">
        <v>1</v>
      </c>
      <c r="M1034">
        <v>3.61</v>
      </c>
      <c r="N1034">
        <v>32</v>
      </c>
      <c r="O1034" t="s">
        <v>22</v>
      </c>
      <c r="P1034">
        <v>5</v>
      </c>
      <c r="Q1034">
        <v>1</v>
      </c>
      <c r="R1034">
        <v>27.8</v>
      </c>
      <c r="S1034">
        <v>78.55</v>
      </c>
      <c r="T1034">
        <v>31.12</v>
      </c>
      <c r="U1034">
        <v>1.1599999999999999</v>
      </c>
      <c r="V1034">
        <v>12.57</v>
      </c>
      <c r="W1034">
        <v>122.24</v>
      </c>
      <c r="X1034">
        <v>45.2</v>
      </c>
      <c r="Y1034">
        <v>100.24</v>
      </c>
      <c r="Z1034">
        <v>2.2200000000000002</v>
      </c>
      <c r="AA1034">
        <v>10.65</v>
      </c>
      <c r="AB1034">
        <v>109.37</v>
      </c>
      <c r="AC1034">
        <v>236.05035971223023</v>
      </c>
      <c r="AD1034">
        <v>109.37</v>
      </c>
      <c r="AE1034">
        <v>81.489999999999995</v>
      </c>
      <c r="AF1034">
        <v>14.16</v>
      </c>
      <c r="AG1034">
        <v>0</v>
      </c>
      <c r="AH1034">
        <v>-12.98</v>
      </c>
      <c r="AI1034">
        <v>19.02</v>
      </c>
      <c r="AJ1034">
        <v>229.52</v>
      </c>
      <c r="AK1034">
        <v>68.540000000000006</v>
      </c>
      <c r="AL1034" t="s">
        <v>23</v>
      </c>
      <c r="AM1034" t="s">
        <v>24</v>
      </c>
      <c r="AN1034" t="str">
        <f t="shared" si="64"/>
        <v>Afternoon</v>
      </c>
      <c r="AO1034" t="str">
        <f t="shared" si="65"/>
        <v>Off-Peak</v>
      </c>
      <c r="AP1034" t="str">
        <f t="shared" si="66"/>
        <v>Medium</v>
      </c>
      <c r="AQ1034" t="str">
        <f t="shared" si="67"/>
        <v>Low</v>
      </c>
    </row>
    <row r="1035" spans="1:43" x14ac:dyDescent="0.3">
      <c r="A1035">
        <v>1034</v>
      </c>
      <c r="B1035" t="s">
        <v>48</v>
      </c>
      <c r="C1035" t="s">
        <v>30</v>
      </c>
      <c r="D1035" s="1">
        <v>46109</v>
      </c>
      <c r="E1035" t="s">
        <v>31</v>
      </c>
      <c r="F1035">
        <v>1</v>
      </c>
      <c r="G1035">
        <v>9</v>
      </c>
      <c r="H1035" t="s">
        <v>47</v>
      </c>
      <c r="I1035" t="s">
        <v>46</v>
      </c>
      <c r="J1035">
        <v>1.1499999999999999</v>
      </c>
      <c r="K1035" t="s">
        <v>12</v>
      </c>
      <c r="L1035">
        <v>0</v>
      </c>
      <c r="M1035">
        <v>2.34</v>
      </c>
      <c r="N1035">
        <v>44</v>
      </c>
      <c r="O1035" t="s">
        <v>35</v>
      </c>
      <c r="P1035">
        <v>15</v>
      </c>
      <c r="Q1035">
        <v>2</v>
      </c>
      <c r="R1035">
        <v>30.8</v>
      </c>
      <c r="S1035">
        <v>71.98</v>
      </c>
      <c r="T1035">
        <v>51.73</v>
      </c>
      <c r="U1035">
        <v>1</v>
      </c>
      <c r="V1035">
        <v>0</v>
      </c>
      <c r="W1035">
        <v>123.71</v>
      </c>
      <c r="X1035">
        <v>46.6</v>
      </c>
      <c r="Y1035">
        <v>108.16</v>
      </c>
      <c r="Z1035">
        <v>4.63</v>
      </c>
      <c r="AA1035">
        <v>10.210000000000001</v>
      </c>
      <c r="AB1035">
        <v>108.87</v>
      </c>
      <c r="AC1035">
        <v>212.08441558441561</v>
      </c>
      <c r="AD1035">
        <v>54.435000000000002</v>
      </c>
      <c r="AE1035">
        <v>74.650000000000006</v>
      </c>
      <c r="AF1035">
        <v>15.48</v>
      </c>
      <c r="AG1035">
        <v>1</v>
      </c>
      <c r="AH1035">
        <v>11.41</v>
      </c>
      <c r="AI1035">
        <v>55.41</v>
      </c>
      <c r="AJ1035">
        <v>191.28</v>
      </c>
      <c r="AK1035">
        <v>69.89</v>
      </c>
      <c r="AL1035" t="s">
        <v>23</v>
      </c>
      <c r="AM1035" t="s">
        <v>24</v>
      </c>
      <c r="AN1035" t="str">
        <f t="shared" si="64"/>
        <v>Morning</v>
      </c>
      <c r="AO1035" t="str">
        <f t="shared" si="65"/>
        <v>Peak</v>
      </c>
      <c r="AP1035" t="str">
        <f t="shared" si="66"/>
        <v>Medium</v>
      </c>
      <c r="AQ1035" t="str">
        <f t="shared" si="67"/>
        <v>Medium</v>
      </c>
    </row>
    <row r="1036" spans="1:43" x14ac:dyDescent="0.3">
      <c r="A1036">
        <v>1035</v>
      </c>
      <c r="B1036" t="s">
        <v>7</v>
      </c>
      <c r="C1036" t="s">
        <v>8</v>
      </c>
      <c r="D1036" s="1">
        <v>46083</v>
      </c>
      <c r="E1036" t="s">
        <v>38</v>
      </c>
      <c r="F1036">
        <v>0</v>
      </c>
      <c r="G1036">
        <v>8</v>
      </c>
      <c r="H1036" t="s">
        <v>49</v>
      </c>
      <c r="I1036" t="s">
        <v>39</v>
      </c>
      <c r="J1036">
        <v>1.05</v>
      </c>
      <c r="K1036" t="s">
        <v>12</v>
      </c>
      <c r="L1036">
        <v>0</v>
      </c>
      <c r="M1036">
        <v>3.8</v>
      </c>
      <c r="N1036">
        <v>28</v>
      </c>
      <c r="O1036" t="s">
        <v>22</v>
      </c>
      <c r="P1036">
        <v>14</v>
      </c>
      <c r="Q1036">
        <v>1</v>
      </c>
      <c r="R1036">
        <v>29.7</v>
      </c>
      <c r="S1036">
        <v>58.45</v>
      </c>
      <c r="T1036">
        <v>28.08</v>
      </c>
      <c r="U1036">
        <v>1</v>
      </c>
      <c r="V1036">
        <v>0</v>
      </c>
      <c r="W1036">
        <v>86.53</v>
      </c>
      <c r="X1036">
        <v>49.5</v>
      </c>
      <c r="Y1036">
        <v>108.04</v>
      </c>
      <c r="Z1036">
        <v>2.1800000000000002</v>
      </c>
      <c r="AA1036">
        <v>9.4499999999999993</v>
      </c>
      <c r="AB1036">
        <v>74.900000000000006</v>
      </c>
      <c r="AC1036">
        <v>151.31313131313132</v>
      </c>
      <c r="AD1036">
        <v>74.900000000000006</v>
      </c>
      <c r="AE1036">
        <v>76.41</v>
      </c>
      <c r="AF1036">
        <v>14.16</v>
      </c>
      <c r="AG1036">
        <v>0</v>
      </c>
      <c r="AH1036">
        <v>13.9</v>
      </c>
      <c r="AI1036">
        <v>41.9</v>
      </c>
      <c r="AJ1036">
        <v>164.3</v>
      </c>
      <c r="AK1036">
        <v>68.28</v>
      </c>
      <c r="AL1036" t="s">
        <v>14</v>
      </c>
      <c r="AM1036" t="s">
        <v>15</v>
      </c>
      <c r="AN1036" t="str">
        <f t="shared" si="64"/>
        <v>Morning</v>
      </c>
      <c r="AO1036" t="str">
        <f t="shared" si="65"/>
        <v>Peak</v>
      </c>
      <c r="AP1036" t="str">
        <f t="shared" si="66"/>
        <v>Medium</v>
      </c>
      <c r="AQ1036" t="str">
        <f t="shared" si="67"/>
        <v>Low</v>
      </c>
    </row>
    <row r="1037" spans="1:43" x14ac:dyDescent="0.3">
      <c r="A1037">
        <v>1036</v>
      </c>
      <c r="B1037" t="s">
        <v>16</v>
      </c>
      <c r="C1037" t="s">
        <v>17</v>
      </c>
      <c r="D1037" s="1">
        <v>46179</v>
      </c>
      <c r="E1037" t="s">
        <v>31</v>
      </c>
      <c r="F1037">
        <v>1</v>
      </c>
      <c r="G1037">
        <v>19</v>
      </c>
      <c r="H1037" t="s">
        <v>40</v>
      </c>
      <c r="I1037" t="s">
        <v>33</v>
      </c>
      <c r="J1037">
        <v>1</v>
      </c>
      <c r="K1037" t="s">
        <v>12</v>
      </c>
      <c r="L1037">
        <v>0</v>
      </c>
      <c r="M1037">
        <v>3.56</v>
      </c>
      <c r="N1037">
        <v>91</v>
      </c>
      <c r="O1037" t="s">
        <v>13</v>
      </c>
      <c r="P1037">
        <v>12</v>
      </c>
      <c r="Q1037">
        <v>1</v>
      </c>
      <c r="R1037">
        <v>23.3</v>
      </c>
      <c r="S1037">
        <v>60.25</v>
      </c>
      <c r="T1037">
        <v>100</v>
      </c>
      <c r="U1037">
        <v>1.29</v>
      </c>
      <c r="V1037">
        <v>17.47</v>
      </c>
      <c r="W1037">
        <v>177.72</v>
      </c>
      <c r="X1037">
        <v>43.8</v>
      </c>
      <c r="Y1037">
        <v>108.88</v>
      </c>
      <c r="Z1037">
        <v>2.4900000000000002</v>
      </c>
      <c r="AA1037">
        <v>2.0699999999999998</v>
      </c>
      <c r="AB1037">
        <v>173.16</v>
      </c>
      <c r="AC1037">
        <v>445.90557939914157</v>
      </c>
      <c r="AD1037">
        <v>173.16</v>
      </c>
      <c r="AE1037">
        <v>77.180000000000007</v>
      </c>
      <c r="AF1037">
        <v>13.92</v>
      </c>
      <c r="AG1037">
        <v>1</v>
      </c>
      <c r="AH1037">
        <v>-1.1200000000000001</v>
      </c>
      <c r="AI1037">
        <v>89.88</v>
      </c>
      <c r="AJ1037">
        <v>400</v>
      </c>
      <c r="AK1037">
        <v>89.34</v>
      </c>
      <c r="AL1037" t="s">
        <v>23</v>
      </c>
      <c r="AM1037" t="s">
        <v>24</v>
      </c>
      <c r="AN1037" t="str">
        <f t="shared" si="64"/>
        <v>Night</v>
      </c>
      <c r="AO1037" t="str">
        <f t="shared" si="65"/>
        <v>Peak</v>
      </c>
      <c r="AP1037" t="str">
        <f t="shared" si="66"/>
        <v>High</v>
      </c>
      <c r="AQ1037" t="str">
        <f t="shared" si="67"/>
        <v>High</v>
      </c>
    </row>
    <row r="1038" spans="1:43" x14ac:dyDescent="0.3">
      <c r="A1038">
        <v>1037</v>
      </c>
      <c r="B1038" t="s">
        <v>23</v>
      </c>
      <c r="C1038" t="s">
        <v>17</v>
      </c>
      <c r="D1038" s="1">
        <v>46098</v>
      </c>
      <c r="E1038" t="s">
        <v>44</v>
      </c>
      <c r="F1038">
        <v>0</v>
      </c>
      <c r="G1038">
        <v>20</v>
      </c>
      <c r="H1038" t="s">
        <v>40</v>
      </c>
      <c r="I1038" t="s">
        <v>42</v>
      </c>
      <c r="J1038">
        <v>1.08</v>
      </c>
      <c r="K1038" t="s">
        <v>12</v>
      </c>
      <c r="L1038">
        <v>0</v>
      </c>
      <c r="M1038">
        <v>3.55</v>
      </c>
      <c r="N1038">
        <v>82</v>
      </c>
      <c r="O1038" t="s">
        <v>13</v>
      </c>
      <c r="P1038">
        <v>13</v>
      </c>
      <c r="Q1038">
        <v>1.29</v>
      </c>
      <c r="R1038">
        <v>27.1</v>
      </c>
      <c r="S1038">
        <v>74.239999999999995</v>
      </c>
      <c r="T1038">
        <v>60.62</v>
      </c>
      <c r="U1038">
        <v>1.3</v>
      </c>
      <c r="V1038">
        <v>22.27</v>
      </c>
      <c r="W1038">
        <v>157.13</v>
      </c>
      <c r="X1038">
        <v>48.6</v>
      </c>
      <c r="Y1038">
        <v>100.89</v>
      </c>
      <c r="Z1038">
        <v>2.68</v>
      </c>
      <c r="AA1038">
        <v>10.66</v>
      </c>
      <c r="AB1038">
        <v>143.79</v>
      </c>
      <c r="AC1038">
        <v>318.35424354243537</v>
      </c>
      <c r="AD1038">
        <v>111.46511627906976</v>
      </c>
      <c r="AE1038">
        <v>85.41</v>
      </c>
      <c r="AF1038">
        <v>19.82</v>
      </c>
      <c r="AG1038">
        <v>1</v>
      </c>
      <c r="AH1038">
        <v>-7.94</v>
      </c>
      <c r="AI1038">
        <v>74.06</v>
      </c>
      <c r="AJ1038">
        <v>348.36</v>
      </c>
      <c r="AK1038">
        <v>76.150000000000006</v>
      </c>
      <c r="AL1038" t="s">
        <v>23</v>
      </c>
      <c r="AM1038" t="s">
        <v>24</v>
      </c>
      <c r="AN1038" t="str">
        <f t="shared" si="64"/>
        <v>Night</v>
      </c>
      <c r="AO1038" t="str">
        <f t="shared" si="65"/>
        <v>Peak</v>
      </c>
      <c r="AP1038" t="str">
        <f t="shared" si="66"/>
        <v>High</v>
      </c>
      <c r="AQ1038" t="str">
        <f t="shared" si="67"/>
        <v>High</v>
      </c>
    </row>
    <row r="1039" spans="1:43" x14ac:dyDescent="0.3">
      <c r="A1039">
        <v>1038</v>
      </c>
      <c r="B1039" t="s">
        <v>7</v>
      </c>
      <c r="C1039" t="s">
        <v>8</v>
      </c>
      <c r="D1039" s="1">
        <v>46192</v>
      </c>
      <c r="E1039" t="s">
        <v>9</v>
      </c>
      <c r="F1039">
        <v>0</v>
      </c>
      <c r="G1039">
        <v>14</v>
      </c>
      <c r="H1039" t="s">
        <v>10</v>
      </c>
      <c r="I1039" t="s">
        <v>42</v>
      </c>
      <c r="J1039">
        <v>1.08</v>
      </c>
      <c r="K1039" t="s">
        <v>12</v>
      </c>
      <c r="L1039">
        <v>0</v>
      </c>
      <c r="M1039">
        <v>4.3899999999999997</v>
      </c>
      <c r="N1039">
        <v>83</v>
      </c>
      <c r="O1039" t="s">
        <v>13</v>
      </c>
      <c r="P1039">
        <v>35</v>
      </c>
      <c r="Q1039">
        <v>8.34</v>
      </c>
      <c r="R1039">
        <v>73</v>
      </c>
      <c r="S1039">
        <v>103.88</v>
      </c>
      <c r="T1039">
        <v>100</v>
      </c>
      <c r="U1039">
        <v>1</v>
      </c>
      <c r="V1039">
        <v>0</v>
      </c>
      <c r="W1039">
        <v>203.88</v>
      </c>
      <c r="X1039">
        <v>44.6</v>
      </c>
      <c r="Y1039">
        <v>101.08</v>
      </c>
      <c r="Z1039">
        <v>18.88</v>
      </c>
      <c r="AA1039">
        <v>5.96</v>
      </c>
      <c r="AB1039">
        <v>179.04</v>
      </c>
      <c r="AC1039">
        <v>147.15616438356165</v>
      </c>
      <c r="AD1039">
        <v>21.467625899280574</v>
      </c>
      <c r="AE1039">
        <v>75.86</v>
      </c>
      <c r="AF1039">
        <v>16.59</v>
      </c>
      <c r="AG1039">
        <v>1</v>
      </c>
      <c r="AH1039">
        <v>11.95</v>
      </c>
      <c r="AI1039">
        <v>94.95</v>
      </c>
      <c r="AJ1039">
        <v>156.76</v>
      </c>
      <c r="AK1039">
        <v>74.209999999999994</v>
      </c>
      <c r="AL1039" t="s">
        <v>14</v>
      </c>
      <c r="AM1039" t="s">
        <v>15</v>
      </c>
      <c r="AN1039" t="str">
        <f t="shared" si="64"/>
        <v>Afternoon</v>
      </c>
      <c r="AO1039" t="str">
        <f t="shared" si="65"/>
        <v>Off-Peak</v>
      </c>
      <c r="AP1039" t="str">
        <f t="shared" si="66"/>
        <v>Low</v>
      </c>
      <c r="AQ1039" t="str">
        <f t="shared" si="67"/>
        <v>High</v>
      </c>
    </row>
    <row r="1040" spans="1:43" x14ac:dyDescent="0.3">
      <c r="A1040">
        <v>1039</v>
      </c>
      <c r="B1040" t="s">
        <v>29</v>
      </c>
      <c r="C1040" t="s">
        <v>30</v>
      </c>
      <c r="D1040" s="1">
        <v>46264</v>
      </c>
      <c r="E1040" t="s">
        <v>26</v>
      </c>
      <c r="F1040">
        <v>1</v>
      </c>
      <c r="G1040">
        <v>16</v>
      </c>
      <c r="H1040" t="s">
        <v>32</v>
      </c>
      <c r="I1040" t="s">
        <v>20</v>
      </c>
      <c r="J1040">
        <v>1.25</v>
      </c>
      <c r="K1040" t="s">
        <v>12</v>
      </c>
      <c r="L1040">
        <v>0</v>
      </c>
      <c r="M1040">
        <v>4.42</v>
      </c>
      <c r="N1040">
        <v>37</v>
      </c>
      <c r="O1040" t="s">
        <v>35</v>
      </c>
      <c r="P1040">
        <v>7</v>
      </c>
      <c r="Q1040">
        <v>8.31</v>
      </c>
      <c r="R1040">
        <v>64.3</v>
      </c>
      <c r="S1040">
        <v>107.09</v>
      </c>
      <c r="T1040">
        <v>49.6</v>
      </c>
      <c r="U1040">
        <v>1</v>
      </c>
      <c r="V1040">
        <v>0</v>
      </c>
      <c r="W1040">
        <v>156.69</v>
      </c>
      <c r="X1040">
        <v>37.700000000000003</v>
      </c>
      <c r="Y1040">
        <v>108.73</v>
      </c>
      <c r="Z1040">
        <v>23.95</v>
      </c>
      <c r="AA1040">
        <v>9.32</v>
      </c>
      <c r="AB1040">
        <v>123.42</v>
      </c>
      <c r="AC1040">
        <v>115.16640746500779</v>
      </c>
      <c r="AD1040">
        <v>14.851985559566787</v>
      </c>
      <c r="AE1040">
        <v>70.38</v>
      </c>
      <c r="AF1040">
        <v>18.829999999999998</v>
      </c>
      <c r="AG1040">
        <v>1</v>
      </c>
      <c r="AH1040">
        <v>1</v>
      </c>
      <c r="AI1040">
        <v>38</v>
      </c>
      <c r="AJ1040">
        <v>93.69</v>
      </c>
      <c r="AK1040">
        <v>71.39</v>
      </c>
      <c r="AL1040" t="s">
        <v>14</v>
      </c>
      <c r="AM1040" t="s">
        <v>15</v>
      </c>
      <c r="AN1040" t="str">
        <f t="shared" si="64"/>
        <v>Evening</v>
      </c>
      <c r="AO1040" t="str">
        <f t="shared" si="65"/>
        <v>Off-Peak</v>
      </c>
      <c r="AP1040" t="str">
        <f t="shared" si="66"/>
        <v>Low</v>
      </c>
      <c r="AQ1040" t="str">
        <f t="shared" si="67"/>
        <v>Medium</v>
      </c>
    </row>
    <row r="1041" spans="1:43" x14ac:dyDescent="0.3">
      <c r="A1041">
        <v>1040</v>
      </c>
      <c r="B1041" t="s">
        <v>16</v>
      </c>
      <c r="C1041" t="s">
        <v>17</v>
      </c>
      <c r="D1041" s="1">
        <v>46237</v>
      </c>
      <c r="E1041" t="s">
        <v>38</v>
      </c>
      <c r="F1041">
        <v>0</v>
      </c>
      <c r="G1041">
        <v>21</v>
      </c>
      <c r="H1041" t="s">
        <v>19</v>
      </c>
      <c r="I1041" t="s">
        <v>11</v>
      </c>
      <c r="J1041">
        <v>1.18</v>
      </c>
      <c r="K1041" t="s">
        <v>12</v>
      </c>
      <c r="L1041">
        <v>0</v>
      </c>
      <c r="M1041">
        <v>5</v>
      </c>
      <c r="N1041">
        <v>74</v>
      </c>
      <c r="O1041" t="s">
        <v>13</v>
      </c>
      <c r="P1041">
        <v>15</v>
      </c>
      <c r="Q1041">
        <v>2.04</v>
      </c>
      <c r="R1041">
        <v>41.5</v>
      </c>
      <c r="S1041">
        <v>85.75</v>
      </c>
      <c r="T1041">
        <v>68.760000000000005</v>
      </c>
      <c r="U1041">
        <v>1.3</v>
      </c>
      <c r="V1041">
        <v>25.73</v>
      </c>
      <c r="W1041">
        <v>180.24</v>
      </c>
      <c r="X1041">
        <v>47</v>
      </c>
      <c r="Y1041">
        <v>104.75</v>
      </c>
      <c r="Z1041">
        <v>4.54</v>
      </c>
      <c r="AA1041">
        <v>9.27</v>
      </c>
      <c r="AB1041">
        <v>166.43</v>
      </c>
      <c r="AC1041">
        <v>240.62168674698796</v>
      </c>
      <c r="AD1041">
        <v>81.583333333333329</v>
      </c>
      <c r="AE1041">
        <v>92.43</v>
      </c>
      <c r="AF1041">
        <v>14.79</v>
      </c>
      <c r="AG1041">
        <v>1</v>
      </c>
      <c r="AH1041">
        <v>24.4</v>
      </c>
      <c r="AI1041">
        <v>98.4</v>
      </c>
      <c r="AJ1041">
        <v>234.33</v>
      </c>
      <c r="AK1041">
        <v>70.900000000000006</v>
      </c>
      <c r="AL1041" t="s">
        <v>14</v>
      </c>
      <c r="AM1041" t="s">
        <v>15</v>
      </c>
      <c r="AN1041" t="str">
        <f t="shared" si="64"/>
        <v>Night</v>
      </c>
      <c r="AO1041" t="str">
        <f t="shared" si="65"/>
        <v>Off-Peak</v>
      </c>
      <c r="AP1041" t="str">
        <f t="shared" si="66"/>
        <v>Medium</v>
      </c>
      <c r="AQ1041" t="str">
        <f t="shared" si="67"/>
        <v>High</v>
      </c>
    </row>
    <row r="1042" spans="1:43" x14ac:dyDescent="0.3">
      <c r="A1042">
        <v>1041</v>
      </c>
      <c r="B1042" t="s">
        <v>25</v>
      </c>
      <c r="C1042" t="s">
        <v>17</v>
      </c>
      <c r="D1042" s="1">
        <v>46267</v>
      </c>
      <c r="E1042" t="s">
        <v>18</v>
      </c>
      <c r="F1042">
        <v>0</v>
      </c>
      <c r="G1042">
        <v>20</v>
      </c>
      <c r="H1042" t="s">
        <v>40</v>
      </c>
      <c r="I1042" t="s">
        <v>42</v>
      </c>
      <c r="J1042">
        <v>1.08</v>
      </c>
      <c r="K1042" t="s">
        <v>12</v>
      </c>
      <c r="L1042">
        <v>0</v>
      </c>
      <c r="M1042">
        <v>4.3899999999999997</v>
      </c>
      <c r="N1042">
        <v>59</v>
      </c>
      <c r="O1042" t="s">
        <v>35</v>
      </c>
      <c r="P1042">
        <v>12</v>
      </c>
      <c r="Q1042">
        <v>1</v>
      </c>
      <c r="R1042">
        <v>32.799999999999997</v>
      </c>
      <c r="S1042">
        <v>68.2</v>
      </c>
      <c r="T1042">
        <v>74.83</v>
      </c>
      <c r="U1042">
        <v>1.19</v>
      </c>
      <c r="V1042">
        <v>12.96</v>
      </c>
      <c r="W1042">
        <v>155.99</v>
      </c>
      <c r="X1042">
        <v>45.4</v>
      </c>
      <c r="Y1042">
        <v>103.92</v>
      </c>
      <c r="Z1042">
        <v>2.29</v>
      </c>
      <c r="AA1042">
        <v>3.78</v>
      </c>
      <c r="AB1042">
        <v>149.91999999999999</v>
      </c>
      <c r="AC1042">
        <v>274.2439024390244</v>
      </c>
      <c r="AD1042">
        <v>149.91999999999999</v>
      </c>
      <c r="AE1042">
        <v>76.959999999999994</v>
      </c>
      <c r="AF1042">
        <v>14.06</v>
      </c>
      <c r="AG1042">
        <v>1</v>
      </c>
      <c r="AH1042">
        <v>29.59</v>
      </c>
      <c r="AI1042">
        <v>88.59</v>
      </c>
      <c r="AJ1042">
        <v>258.14999999999998</v>
      </c>
      <c r="AK1042">
        <v>60</v>
      </c>
      <c r="AL1042" t="s">
        <v>23</v>
      </c>
      <c r="AM1042" t="s">
        <v>24</v>
      </c>
      <c r="AN1042" t="str">
        <f t="shared" si="64"/>
        <v>Night</v>
      </c>
      <c r="AO1042" t="str">
        <f t="shared" si="65"/>
        <v>Peak</v>
      </c>
      <c r="AP1042" t="str">
        <f t="shared" si="66"/>
        <v>High</v>
      </c>
      <c r="AQ1042" t="str">
        <f t="shared" si="67"/>
        <v>Medium</v>
      </c>
    </row>
    <row r="1043" spans="1:43" x14ac:dyDescent="0.3">
      <c r="A1043">
        <v>1042</v>
      </c>
      <c r="B1043" t="s">
        <v>16</v>
      </c>
      <c r="C1043" t="s">
        <v>17</v>
      </c>
      <c r="D1043" s="1">
        <v>46029</v>
      </c>
      <c r="E1043" t="s">
        <v>18</v>
      </c>
      <c r="F1043">
        <v>0</v>
      </c>
      <c r="G1043">
        <v>7</v>
      </c>
      <c r="H1043" t="s">
        <v>27</v>
      </c>
      <c r="I1043" t="s">
        <v>37</v>
      </c>
      <c r="J1043">
        <v>1.02</v>
      </c>
      <c r="K1043" t="s">
        <v>12</v>
      </c>
      <c r="L1043">
        <v>0</v>
      </c>
      <c r="M1043">
        <v>4.47</v>
      </c>
      <c r="N1043">
        <v>65</v>
      </c>
      <c r="O1043" t="s">
        <v>35</v>
      </c>
      <c r="P1043">
        <v>10</v>
      </c>
      <c r="Q1043">
        <v>2.62</v>
      </c>
      <c r="R1043">
        <v>39</v>
      </c>
      <c r="S1043">
        <v>90.72</v>
      </c>
      <c r="T1043">
        <v>71.03</v>
      </c>
      <c r="U1043">
        <v>1.21</v>
      </c>
      <c r="V1043">
        <v>19.05</v>
      </c>
      <c r="W1043">
        <v>180.8</v>
      </c>
      <c r="X1043">
        <v>49.7</v>
      </c>
      <c r="Y1043">
        <v>105.73</v>
      </c>
      <c r="Z1043">
        <v>5.57</v>
      </c>
      <c r="AA1043">
        <v>7.15</v>
      </c>
      <c r="AB1043">
        <v>168.08</v>
      </c>
      <c r="AC1043">
        <v>258.5846153846154</v>
      </c>
      <c r="AD1043">
        <v>64.152671755725194</v>
      </c>
      <c r="AE1043">
        <v>71.790000000000006</v>
      </c>
      <c r="AF1043">
        <v>18.02</v>
      </c>
      <c r="AG1043">
        <v>1</v>
      </c>
      <c r="AH1043">
        <v>18.010000000000002</v>
      </c>
      <c r="AI1043">
        <v>83.01</v>
      </c>
      <c r="AJ1043">
        <v>272.23</v>
      </c>
      <c r="AK1043">
        <v>70.010000000000005</v>
      </c>
      <c r="AL1043" t="s">
        <v>23</v>
      </c>
      <c r="AM1043" t="s">
        <v>24</v>
      </c>
      <c r="AN1043" t="str">
        <f t="shared" si="64"/>
        <v>Morning</v>
      </c>
      <c r="AO1043" t="str">
        <f t="shared" si="65"/>
        <v>Peak</v>
      </c>
      <c r="AP1043" t="str">
        <f t="shared" si="66"/>
        <v>High</v>
      </c>
      <c r="AQ1043" t="str">
        <f t="shared" si="67"/>
        <v>Medium</v>
      </c>
    </row>
    <row r="1044" spans="1:43" x14ac:dyDescent="0.3">
      <c r="A1044">
        <v>1043</v>
      </c>
      <c r="B1044" t="s">
        <v>48</v>
      </c>
      <c r="C1044" t="s">
        <v>30</v>
      </c>
      <c r="D1044" s="1">
        <v>46140</v>
      </c>
      <c r="E1044" t="s">
        <v>44</v>
      </c>
      <c r="F1044">
        <v>0</v>
      </c>
      <c r="G1044">
        <v>22</v>
      </c>
      <c r="H1044" t="s">
        <v>36</v>
      </c>
      <c r="I1044" t="s">
        <v>20</v>
      </c>
      <c r="J1044">
        <v>1.25</v>
      </c>
      <c r="K1044" t="s">
        <v>12</v>
      </c>
      <c r="L1044">
        <v>0</v>
      </c>
      <c r="M1044">
        <v>3.63</v>
      </c>
      <c r="N1044">
        <v>31</v>
      </c>
      <c r="O1044" t="s">
        <v>22</v>
      </c>
      <c r="P1044">
        <v>7</v>
      </c>
      <c r="Q1044">
        <v>5.97</v>
      </c>
      <c r="R1044">
        <v>50</v>
      </c>
      <c r="S1044">
        <v>103.77</v>
      </c>
      <c r="T1044">
        <v>28.71</v>
      </c>
      <c r="U1044">
        <v>1</v>
      </c>
      <c r="V1044">
        <v>0</v>
      </c>
      <c r="W1044">
        <v>132.47999999999999</v>
      </c>
      <c r="X1044">
        <v>38.700000000000003</v>
      </c>
      <c r="Y1044">
        <v>100.59</v>
      </c>
      <c r="Z1044">
        <v>15.55</v>
      </c>
      <c r="AA1044">
        <v>11.26</v>
      </c>
      <c r="AB1044">
        <v>105.67</v>
      </c>
      <c r="AC1044">
        <v>126.804</v>
      </c>
      <c r="AD1044">
        <v>17.700167504187604</v>
      </c>
      <c r="AE1044">
        <v>62.56</v>
      </c>
      <c r="AF1044">
        <v>15.8</v>
      </c>
      <c r="AG1044">
        <v>0</v>
      </c>
      <c r="AH1044">
        <v>6.49</v>
      </c>
      <c r="AI1044">
        <v>37.49</v>
      </c>
      <c r="AJ1044">
        <v>107</v>
      </c>
      <c r="AK1044">
        <v>73.58</v>
      </c>
      <c r="AL1044" t="s">
        <v>14</v>
      </c>
      <c r="AM1044" t="s">
        <v>15</v>
      </c>
      <c r="AN1044" t="str">
        <f t="shared" si="64"/>
        <v>Night</v>
      </c>
      <c r="AO1044" t="str">
        <f t="shared" si="65"/>
        <v>Off-Peak</v>
      </c>
      <c r="AP1044" t="str">
        <f t="shared" si="66"/>
        <v>Low</v>
      </c>
      <c r="AQ1044" t="str">
        <f t="shared" si="67"/>
        <v>Low</v>
      </c>
    </row>
    <row r="1045" spans="1:43" x14ac:dyDescent="0.3">
      <c r="A1045">
        <v>1044</v>
      </c>
      <c r="B1045" t="s">
        <v>48</v>
      </c>
      <c r="C1045" t="s">
        <v>30</v>
      </c>
      <c r="D1045" s="1">
        <v>46079</v>
      </c>
      <c r="E1045" t="s">
        <v>41</v>
      </c>
      <c r="F1045">
        <v>0</v>
      </c>
      <c r="G1045">
        <v>8</v>
      </c>
      <c r="H1045" t="s">
        <v>47</v>
      </c>
      <c r="I1045" t="s">
        <v>46</v>
      </c>
      <c r="J1045">
        <v>1.1499999999999999</v>
      </c>
      <c r="K1045" t="s">
        <v>12</v>
      </c>
      <c r="L1045">
        <v>0</v>
      </c>
      <c r="M1045">
        <v>1.99</v>
      </c>
      <c r="N1045">
        <v>5</v>
      </c>
      <c r="O1045" t="s">
        <v>22</v>
      </c>
      <c r="P1045">
        <v>1</v>
      </c>
      <c r="Q1045">
        <v>7.22</v>
      </c>
      <c r="R1045">
        <v>53</v>
      </c>
      <c r="S1045">
        <v>114.08</v>
      </c>
      <c r="T1045">
        <v>1.82</v>
      </c>
      <c r="U1045">
        <v>1</v>
      </c>
      <c r="V1045">
        <v>0</v>
      </c>
      <c r="W1045">
        <v>115.9</v>
      </c>
      <c r="X1045">
        <v>40</v>
      </c>
      <c r="Y1045">
        <v>106.44</v>
      </c>
      <c r="Z1045">
        <v>19.23</v>
      </c>
      <c r="AA1045">
        <v>4.63</v>
      </c>
      <c r="AB1045">
        <v>92.04</v>
      </c>
      <c r="AC1045">
        <v>104.19622641509434</v>
      </c>
      <c r="AD1045">
        <v>12.747922437673132</v>
      </c>
      <c r="AE1045">
        <v>87.32</v>
      </c>
      <c r="AF1045">
        <v>17.16</v>
      </c>
      <c r="AG1045">
        <v>0</v>
      </c>
      <c r="AH1045">
        <v>30.38</v>
      </c>
      <c r="AI1045">
        <v>35.380000000000003</v>
      </c>
      <c r="AJ1045">
        <v>111.78</v>
      </c>
      <c r="AK1045">
        <v>60</v>
      </c>
      <c r="AL1045" t="s">
        <v>23</v>
      </c>
      <c r="AM1045" t="s">
        <v>24</v>
      </c>
      <c r="AN1045" t="str">
        <f t="shared" si="64"/>
        <v>Morning</v>
      </c>
      <c r="AO1045" t="str">
        <f t="shared" si="65"/>
        <v>Peak</v>
      </c>
      <c r="AP1045" t="str">
        <f t="shared" si="66"/>
        <v>Low</v>
      </c>
      <c r="AQ1045" t="str">
        <f t="shared" si="67"/>
        <v>Low</v>
      </c>
    </row>
    <row r="1046" spans="1:43" x14ac:dyDescent="0.3">
      <c r="A1046">
        <v>1045</v>
      </c>
      <c r="B1046" t="s">
        <v>25</v>
      </c>
      <c r="C1046" t="s">
        <v>17</v>
      </c>
      <c r="D1046" s="1">
        <v>46259</v>
      </c>
      <c r="E1046" t="s">
        <v>44</v>
      </c>
      <c r="F1046">
        <v>0</v>
      </c>
      <c r="G1046">
        <v>7</v>
      </c>
      <c r="H1046" t="s">
        <v>27</v>
      </c>
      <c r="I1046" t="s">
        <v>33</v>
      </c>
      <c r="J1046">
        <v>1</v>
      </c>
      <c r="K1046" t="s">
        <v>34</v>
      </c>
      <c r="L1046">
        <v>1</v>
      </c>
      <c r="M1046">
        <v>5</v>
      </c>
      <c r="N1046">
        <v>114</v>
      </c>
      <c r="O1046" t="s">
        <v>13</v>
      </c>
      <c r="P1046">
        <v>29</v>
      </c>
      <c r="Q1046">
        <v>4.29</v>
      </c>
      <c r="R1046">
        <v>50.9</v>
      </c>
      <c r="S1046">
        <v>105.81</v>
      </c>
      <c r="T1046">
        <v>100</v>
      </c>
      <c r="U1046">
        <v>1.33</v>
      </c>
      <c r="V1046">
        <v>34.92</v>
      </c>
      <c r="W1046">
        <v>240.73</v>
      </c>
      <c r="X1046">
        <v>47.3</v>
      </c>
      <c r="Y1046">
        <v>109.45</v>
      </c>
      <c r="Z1046">
        <v>9.91</v>
      </c>
      <c r="AA1046">
        <v>9.15</v>
      </c>
      <c r="AB1046">
        <v>221.67</v>
      </c>
      <c r="AC1046">
        <v>261.30058939096267</v>
      </c>
      <c r="AD1046">
        <v>51.671328671328666</v>
      </c>
      <c r="AE1046">
        <v>76.7</v>
      </c>
      <c r="AF1046">
        <v>15.8</v>
      </c>
      <c r="AG1046">
        <v>1</v>
      </c>
      <c r="AH1046">
        <v>6.61</v>
      </c>
      <c r="AI1046">
        <v>120.61</v>
      </c>
      <c r="AJ1046">
        <v>269.85000000000002</v>
      </c>
      <c r="AK1046">
        <v>83.2</v>
      </c>
      <c r="AL1046" t="s">
        <v>23</v>
      </c>
      <c r="AM1046" t="s">
        <v>24</v>
      </c>
      <c r="AN1046" t="str">
        <f t="shared" si="64"/>
        <v>Morning</v>
      </c>
      <c r="AO1046" t="str">
        <f t="shared" si="65"/>
        <v>Peak</v>
      </c>
      <c r="AP1046" t="str">
        <f t="shared" si="66"/>
        <v>High</v>
      </c>
      <c r="AQ1046" t="str">
        <f t="shared" si="67"/>
        <v>High</v>
      </c>
    </row>
    <row r="1047" spans="1:43" x14ac:dyDescent="0.3">
      <c r="A1047">
        <v>1046</v>
      </c>
      <c r="B1047" t="s">
        <v>14</v>
      </c>
      <c r="C1047" t="s">
        <v>8</v>
      </c>
      <c r="D1047" s="1">
        <v>46206</v>
      </c>
      <c r="E1047" t="s">
        <v>9</v>
      </c>
      <c r="F1047">
        <v>0</v>
      </c>
      <c r="G1047">
        <v>13</v>
      </c>
      <c r="H1047" t="s">
        <v>10</v>
      </c>
      <c r="I1047" t="s">
        <v>11</v>
      </c>
      <c r="J1047">
        <v>1.18</v>
      </c>
      <c r="K1047" t="s">
        <v>12</v>
      </c>
      <c r="L1047">
        <v>0</v>
      </c>
      <c r="M1047">
        <v>3.51</v>
      </c>
      <c r="N1047">
        <v>78</v>
      </c>
      <c r="O1047" t="s">
        <v>13</v>
      </c>
      <c r="P1047">
        <v>29</v>
      </c>
      <c r="Q1047">
        <v>4.84</v>
      </c>
      <c r="R1047">
        <v>45.2</v>
      </c>
      <c r="S1047">
        <v>95.05</v>
      </c>
      <c r="T1047">
        <v>79.2</v>
      </c>
      <c r="U1047">
        <v>1</v>
      </c>
      <c r="V1047">
        <v>0</v>
      </c>
      <c r="W1047">
        <v>174.25</v>
      </c>
      <c r="X1047">
        <v>35.9</v>
      </c>
      <c r="Y1047">
        <v>106.76</v>
      </c>
      <c r="Z1047">
        <v>14.39</v>
      </c>
      <c r="AA1047">
        <v>11.58</v>
      </c>
      <c r="AB1047">
        <v>148.28</v>
      </c>
      <c r="AC1047">
        <v>196.83185840707964</v>
      </c>
      <c r="AD1047">
        <v>30.636363636363637</v>
      </c>
      <c r="AE1047">
        <v>94.73</v>
      </c>
      <c r="AF1047">
        <v>20</v>
      </c>
      <c r="AG1047">
        <v>1</v>
      </c>
      <c r="AH1047">
        <v>-4.1900000000000004</v>
      </c>
      <c r="AI1047">
        <v>73.81</v>
      </c>
      <c r="AJ1047">
        <v>197.83</v>
      </c>
      <c r="AK1047">
        <v>86.46</v>
      </c>
      <c r="AL1047" t="s">
        <v>14</v>
      </c>
      <c r="AM1047" t="s">
        <v>15</v>
      </c>
      <c r="AN1047" t="str">
        <f t="shared" si="64"/>
        <v>Afternoon</v>
      </c>
      <c r="AO1047" t="str">
        <f t="shared" si="65"/>
        <v>Off-Peak</v>
      </c>
      <c r="AP1047" t="str">
        <f t="shared" si="66"/>
        <v>Medium</v>
      </c>
      <c r="AQ1047" t="str">
        <f t="shared" si="67"/>
        <v>High</v>
      </c>
    </row>
    <row r="1048" spans="1:43" x14ac:dyDescent="0.3">
      <c r="A1048">
        <v>1047</v>
      </c>
      <c r="B1048" t="s">
        <v>14</v>
      </c>
      <c r="C1048" t="s">
        <v>8</v>
      </c>
      <c r="D1048" s="1">
        <v>46105</v>
      </c>
      <c r="E1048" t="s">
        <v>44</v>
      </c>
      <c r="F1048">
        <v>0</v>
      </c>
      <c r="G1048">
        <v>18</v>
      </c>
      <c r="H1048" t="s">
        <v>51</v>
      </c>
      <c r="I1048" t="s">
        <v>39</v>
      </c>
      <c r="J1048">
        <v>1.05</v>
      </c>
      <c r="K1048" t="s">
        <v>21</v>
      </c>
      <c r="L1048">
        <v>0</v>
      </c>
      <c r="M1048">
        <v>4.3499999999999996</v>
      </c>
      <c r="N1048">
        <v>61</v>
      </c>
      <c r="O1048" t="s">
        <v>35</v>
      </c>
      <c r="P1048">
        <v>26</v>
      </c>
      <c r="Q1048">
        <v>4.51</v>
      </c>
      <c r="R1048">
        <v>42.3</v>
      </c>
      <c r="S1048">
        <v>85.49</v>
      </c>
      <c r="T1048">
        <v>60.93</v>
      </c>
      <c r="U1048">
        <v>1</v>
      </c>
      <c r="V1048">
        <v>0</v>
      </c>
      <c r="W1048">
        <v>146.41999999999999</v>
      </c>
      <c r="X1048">
        <v>44.5</v>
      </c>
      <c r="Y1048">
        <v>104.65</v>
      </c>
      <c r="Z1048">
        <v>10.62</v>
      </c>
      <c r="AA1048">
        <v>5.61</v>
      </c>
      <c r="AB1048">
        <v>130.19</v>
      </c>
      <c r="AC1048">
        <v>184.66666666666669</v>
      </c>
      <c r="AD1048">
        <v>28.866962305986696</v>
      </c>
      <c r="AE1048">
        <v>80.069999999999993</v>
      </c>
      <c r="AF1048">
        <v>15.45</v>
      </c>
      <c r="AG1048">
        <v>1</v>
      </c>
      <c r="AH1048">
        <v>-7.13</v>
      </c>
      <c r="AI1048">
        <v>53.87</v>
      </c>
      <c r="AJ1048">
        <v>200.46</v>
      </c>
      <c r="AK1048">
        <v>75.62</v>
      </c>
      <c r="AL1048" t="s">
        <v>14</v>
      </c>
      <c r="AM1048" t="s">
        <v>15</v>
      </c>
      <c r="AN1048" t="str">
        <f t="shared" si="64"/>
        <v>Night</v>
      </c>
      <c r="AO1048" t="str">
        <f t="shared" si="65"/>
        <v>Peak</v>
      </c>
      <c r="AP1048" t="str">
        <f t="shared" si="66"/>
        <v>Medium</v>
      </c>
      <c r="AQ1048" t="str">
        <f t="shared" si="67"/>
        <v>Medium</v>
      </c>
    </row>
    <row r="1049" spans="1:43" x14ac:dyDescent="0.3">
      <c r="A1049">
        <v>1048</v>
      </c>
      <c r="B1049" t="s">
        <v>25</v>
      </c>
      <c r="C1049" t="s">
        <v>17</v>
      </c>
      <c r="D1049" s="1">
        <v>46168</v>
      </c>
      <c r="E1049" t="s">
        <v>44</v>
      </c>
      <c r="F1049">
        <v>0</v>
      </c>
      <c r="G1049">
        <v>8</v>
      </c>
      <c r="H1049" t="s">
        <v>27</v>
      </c>
      <c r="I1049" t="s">
        <v>46</v>
      </c>
      <c r="J1049">
        <v>1.1499999999999999</v>
      </c>
      <c r="K1049" t="s">
        <v>21</v>
      </c>
      <c r="L1049">
        <v>0</v>
      </c>
      <c r="M1049">
        <v>3.92</v>
      </c>
      <c r="N1049">
        <v>93</v>
      </c>
      <c r="O1049" t="s">
        <v>13</v>
      </c>
      <c r="P1049">
        <v>15</v>
      </c>
      <c r="Q1049">
        <v>1</v>
      </c>
      <c r="R1049">
        <v>30.1</v>
      </c>
      <c r="S1049">
        <v>79.09</v>
      </c>
      <c r="T1049">
        <v>100</v>
      </c>
      <c r="U1049">
        <v>1.17</v>
      </c>
      <c r="V1049">
        <v>13.45</v>
      </c>
      <c r="W1049">
        <v>192.54</v>
      </c>
      <c r="X1049">
        <v>43</v>
      </c>
      <c r="Y1049">
        <v>109.61</v>
      </c>
      <c r="Z1049">
        <v>2.5499999999999998</v>
      </c>
      <c r="AA1049">
        <v>5.88</v>
      </c>
      <c r="AB1049">
        <v>184.11</v>
      </c>
      <c r="AC1049">
        <v>366.99667774086379</v>
      </c>
      <c r="AD1049">
        <v>184.11</v>
      </c>
      <c r="AE1049">
        <v>80.58</v>
      </c>
      <c r="AF1049">
        <v>15.4</v>
      </c>
      <c r="AG1049">
        <v>1</v>
      </c>
      <c r="AH1049">
        <v>-7.55</v>
      </c>
      <c r="AI1049">
        <v>85.45</v>
      </c>
      <c r="AJ1049">
        <v>384.35</v>
      </c>
      <c r="AK1049">
        <v>69.97</v>
      </c>
      <c r="AL1049" t="s">
        <v>23</v>
      </c>
      <c r="AM1049" t="s">
        <v>24</v>
      </c>
      <c r="AN1049" t="str">
        <f t="shared" si="64"/>
        <v>Morning</v>
      </c>
      <c r="AO1049" t="str">
        <f t="shared" si="65"/>
        <v>Peak</v>
      </c>
      <c r="AP1049" t="str">
        <f t="shared" si="66"/>
        <v>High</v>
      </c>
      <c r="AQ1049" t="str">
        <f t="shared" si="67"/>
        <v>High</v>
      </c>
    </row>
    <row r="1050" spans="1:43" x14ac:dyDescent="0.3">
      <c r="A1050">
        <v>1049</v>
      </c>
      <c r="B1050" t="s">
        <v>25</v>
      </c>
      <c r="C1050" t="s">
        <v>17</v>
      </c>
      <c r="D1050" s="1">
        <v>46179</v>
      </c>
      <c r="E1050" t="s">
        <v>31</v>
      </c>
      <c r="F1050">
        <v>1</v>
      </c>
      <c r="G1050">
        <v>11</v>
      </c>
      <c r="H1050" t="s">
        <v>19</v>
      </c>
      <c r="I1050" t="s">
        <v>46</v>
      </c>
      <c r="J1050">
        <v>1.1499999999999999</v>
      </c>
      <c r="K1050" t="s">
        <v>12</v>
      </c>
      <c r="L1050">
        <v>0</v>
      </c>
      <c r="M1050">
        <v>3.4</v>
      </c>
      <c r="N1050">
        <v>41</v>
      </c>
      <c r="O1050" t="s">
        <v>35</v>
      </c>
      <c r="P1050">
        <v>9</v>
      </c>
      <c r="Q1050">
        <v>1.08</v>
      </c>
      <c r="R1050">
        <v>26.1</v>
      </c>
      <c r="S1050">
        <v>68.53</v>
      </c>
      <c r="T1050">
        <v>48.11</v>
      </c>
      <c r="U1050">
        <v>1.03</v>
      </c>
      <c r="V1050">
        <v>2.06</v>
      </c>
      <c r="W1050">
        <v>118.7</v>
      </c>
      <c r="X1050">
        <v>37.5</v>
      </c>
      <c r="Y1050">
        <v>106.89</v>
      </c>
      <c r="Z1050">
        <v>3.08</v>
      </c>
      <c r="AA1050">
        <v>6.53</v>
      </c>
      <c r="AB1050">
        <v>109.09</v>
      </c>
      <c r="AC1050">
        <v>250.7816091954023</v>
      </c>
      <c r="AD1050">
        <v>101.00925925925925</v>
      </c>
      <c r="AE1050">
        <v>76.64</v>
      </c>
      <c r="AF1050">
        <v>14.08</v>
      </c>
      <c r="AG1050">
        <v>1</v>
      </c>
      <c r="AH1050">
        <v>2.9</v>
      </c>
      <c r="AI1050">
        <v>43.9</v>
      </c>
      <c r="AJ1050">
        <v>267.61</v>
      </c>
      <c r="AK1050">
        <v>67.349999999999994</v>
      </c>
      <c r="AL1050" t="s">
        <v>23</v>
      </c>
      <c r="AM1050" t="s">
        <v>24</v>
      </c>
      <c r="AN1050" t="str">
        <f t="shared" si="64"/>
        <v>Afternoon</v>
      </c>
      <c r="AO1050" t="str">
        <f t="shared" si="65"/>
        <v>Off-Peak</v>
      </c>
      <c r="AP1050" t="str">
        <f t="shared" si="66"/>
        <v>High</v>
      </c>
      <c r="AQ1050" t="str">
        <f t="shared" si="67"/>
        <v>Medium</v>
      </c>
    </row>
    <row r="1051" spans="1:43" x14ac:dyDescent="0.3">
      <c r="A1051">
        <v>1050</v>
      </c>
      <c r="B1051" t="s">
        <v>7</v>
      </c>
      <c r="C1051" t="s">
        <v>8</v>
      </c>
      <c r="D1051" s="1">
        <v>46150</v>
      </c>
      <c r="E1051" t="s">
        <v>9</v>
      </c>
      <c r="F1051">
        <v>0</v>
      </c>
      <c r="G1051">
        <v>11</v>
      </c>
      <c r="H1051" t="s">
        <v>10</v>
      </c>
      <c r="I1051" t="s">
        <v>20</v>
      </c>
      <c r="J1051">
        <v>1.25</v>
      </c>
      <c r="K1051" t="s">
        <v>21</v>
      </c>
      <c r="L1051">
        <v>0</v>
      </c>
      <c r="M1051">
        <v>3.09</v>
      </c>
      <c r="N1051">
        <v>29</v>
      </c>
      <c r="O1051" t="s">
        <v>22</v>
      </c>
      <c r="P1051">
        <v>8</v>
      </c>
      <c r="Q1051">
        <v>10.94</v>
      </c>
      <c r="R1051">
        <v>68</v>
      </c>
      <c r="S1051">
        <v>134.24</v>
      </c>
      <c r="T1051">
        <v>29.63</v>
      </c>
      <c r="U1051">
        <v>1</v>
      </c>
      <c r="V1051">
        <v>0</v>
      </c>
      <c r="W1051">
        <v>163.87</v>
      </c>
      <c r="X1051">
        <v>37.5</v>
      </c>
      <c r="Y1051">
        <v>100.57</v>
      </c>
      <c r="Z1051">
        <v>29.35</v>
      </c>
      <c r="AA1051">
        <v>10.09</v>
      </c>
      <c r="AB1051">
        <v>124.43</v>
      </c>
      <c r="AC1051">
        <v>109.79117647058824</v>
      </c>
      <c r="AD1051">
        <v>11.373857404021939</v>
      </c>
      <c r="AE1051">
        <v>92.05</v>
      </c>
      <c r="AF1051">
        <v>17.89</v>
      </c>
      <c r="AG1051">
        <v>0</v>
      </c>
      <c r="AH1051">
        <v>9.9499999999999993</v>
      </c>
      <c r="AI1051">
        <v>38.950000000000003</v>
      </c>
      <c r="AJ1051">
        <v>100.2</v>
      </c>
      <c r="AK1051">
        <v>67.37</v>
      </c>
      <c r="AL1051" t="s">
        <v>14</v>
      </c>
      <c r="AM1051" t="s">
        <v>15</v>
      </c>
      <c r="AN1051" t="str">
        <f t="shared" si="64"/>
        <v>Afternoon</v>
      </c>
      <c r="AO1051" t="str">
        <f t="shared" si="65"/>
        <v>Off-Peak</v>
      </c>
      <c r="AP1051" t="str">
        <f t="shared" si="66"/>
        <v>Low</v>
      </c>
      <c r="AQ1051" t="str">
        <f t="shared" si="67"/>
        <v>Low</v>
      </c>
    </row>
    <row r="1052" spans="1:43" x14ac:dyDescent="0.3">
      <c r="A1052">
        <v>1051</v>
      </c>
      <c r="B1052" t="s">
        <v>29</v>
      </c>
      <c r="C1052" t="s">
        <v>30</v>
      </c>
      <c r="D1052" s="1">
        <v>46145</v>
      </c>
      <c r="E1052" t="s">
        <v>26</v>
      </c>
      <c r="F1052">
        <v>1</v>
      </c>
      <c r="G1052">
        <v>13</v>
      </c>
      <c r="H1052" t="s">
        <v>43</v>
      </c>
      <c r="I1052" t="s">
        <v>39</v>
      </c>
      <c r="J1052">
        <v>1.05</v>
      </c>
      <c r="K1052" t="s">
        <v>21</v>
      </c>
      <c r="L1052">
        <v>0</v>
      </c>
      <c r="M1052">
        <v>1</v>
      </c>
      <c r="N1052">
        <v>37</v>
      </c>
      <c r="O1052" t="s">
        <v>35</v>
      </c>
      <c r="P1052">
        <v>7</v>
      </c>
      <c r="Q1052">
        <v>4.2699999999999996</v>
      </c>
      <c r="R1052">
        <v>44.6</v>
      </c>
      <c r="S1052">
        <v>93.85</v>
      </c>
      <c r="T1052">
        <v>53.22</v>
      </c>
      <c r="U1052">
        <v>1</v>
      </c>
      <c r="V1052">
        <v>0</v>
      </c>
      <c r="W1052">
        <v>147.07</v>
      </c>
      <c r="X1052">
        <v>47.2</v>
      </c>
      <c r="Y1052">
        <v>106.7</v>
      </c>
      <c r="Z1052">
        <v>9.66</v>
      </c>
      <c r="AA1052">
        <v>6.39</v>
      </c>
      <c r="AB1052">
        <v>131.02000000000001</v>
      </c>
      <c r="AC1052">
        <v>176.26008968609864</v>
      </c>
      <c r="AD1052">
        <v>30.683840749414525</v>
      </c>
      <c r="AE1052">
        <v>57.42</v>
      </c>
      <c r="AF1052">
        <v>13.29</v>
      </c>
      <c r="AG1052">
        <v>1</v>
      </c>
      <c r="AH1052">
        <v>-18.23</v>
      </c>
      <c r="AI1052">
        <v>18.77</v>
      </c>
      <c r="AJ1052">
        <v>175.76</v>
      </c>
      <c r="AK1052">
        <v>63.04</v>
      </c>
      <c r="AL1052" t="s">
        <v>14</v>
      </c>
      <c r="AM1052" t="s">
        <v>15</v>
      </c>
      <c r="AN1052" t="str">
        <f t="shared" si="64"/>
        <v>Afternoon</v>
      </c>
      <c r="AO1052" t="str">
        <f t="shared" si="65"/>
        <v>Off-Peak</v>
      </c>
      <c r="AP1052" t="str">
        <f t="shared" si="66"/>
        <v>Medium</v>
      </c>
      <c r="AQ1052" t="str">
        <f t="shared" si="67"/>
        <v>Medium</v>
      </c>
    </row>
    <row r="1053" spans="1:43" x14ac:dyDescent="0.3">
      <c r="A1053">
        <v>1052</v>
      </c>
      <c r="B1053" t="s">
        <v>48</v>
      </c>
      <c r="C1053" t="s">
        <v>30</v>
      </c>
      <c r="D1053" s="1">
        <v>46037</v>
      </c>
      <c r="E1053" t="s">
        <v>41</v>
      </c>
      <c r="F1053">
        <v>0</v>
      </c>
      <c r="G1053">
        <v>22</v>
      </c>
      <c r="H1053" t="s">
        <v>36</v>
      </c>
      <c r="I1053" t="s">
        <v>39</v>
      </c>
      <c r="J1053">
        <v>1.05</v>
      </c>
      <c r="K1053" t="s">
        <v>12</v>
      </c>
      <c r="L1053">
        <v>0</v>
      </c>
      <c r="M1053">
        <v>3.14</v>
      </c>
      <c r="N1053">
        <v>43</v>
      </c>
      <c r="O1053" t="s">
        <v>35</v>
      </c>
      <c r="P1053">
        <v>13</v>
      </c>
      <c r="Q1053">
        <v>1</v>
      </c>
      <c r="R1053">
        <v>17.399999999999999</v>
      </c>
      <c r="S1053">
        <v>69.790000000000006</v>
      </c>
      <c r="T1053">
        <v>37.020000000000003</v>
      </c>
      <c r="U1053">
        <v>1</v>
      </c>
      <c r="V1053">
        <v>0</v>
      </c>
      <c r="W1053">
        <v>106.81</v>
      </c>
      <c r="X1053">
        <v>35.200000000000003</v>
      </c>
      <c r="Y1053">
        <v>100.6</v>
      </c>
      <c r="Z1053">
        <v>2.86</v>
      </c>
      <c r="AA1053">
        <v>6.86</v>
      </c>
      <c r="AB1053">
        <v>97.09</v>
      </c>
      <c r="AC1053">
        <v>334.79310344827587</v>
      </c>
      <c r="AD1053">
        <v>97.09</v>
      </c>
      <c r="AE1053">
        <v>77.150000000000006</v>
      </c>
      <c r="AF1053">
        <v>13.49</v>
      </c>
      <c r="AG1053">
        <v>0</v>
      </c>
      <c r="AH1053">
        <v>-3.73</v>
      </c>
      <c r="AI1053">
        <v>39.270000000000003</v>
      </c>
      <c r="AJ1053">
        <v>325.7</v>
      </c>
      <c r="AK1053">
        <v>73.37</v>
      </c>
      <c r="AL1053" t="s">
        <v>14</v>
      </c>
      <c r="AM1053" t="s">
        <v>15</v>
      </c>
      <c r="AN1053" t="str">
        <f t="shared" si="64"/>
        <v>Night</v>
      </c>
      <c r="AO1053" t="str">
        <f t="shared" si="65"/>
        <v>Off-Peak</v>
      </c>
      <c r="AP1053" t="str">
        <f t="shared" si="66"/>
        <v>High</v>
      </c>
      <c r="AQ1053" t="str">
        <f t="shared" si="67"/>
        <v>Medium</v>
      </c>
    </row>
    <row r="1054" spans="1:43" x14ac:dyDescent="0.3">
      <c r="A1054">
        <v>1053</v>
      </c>
      <c r="B1054" t="s">
        <v>29</v>
      </c>
      <c r="C1054" t="s">
        <v>30</v>
      </c>
      <c r="D1054" s="1">
        <v>46139</v>
      </c>
      <c r="E1054" t="s">
        <v>38</v>
      </c>
      <c r="F1054">
        <v>0</v>
      </c>
      <c r="G1054">
        <v>12</v>
      </c>
      <c r="H1054" t="s">
        <v>43</v>
      </c>
      <c r="I1054" t="s">
        <v>42</v>
      </c>
      <c r="J1054">
        <v>1.08</v>
      </c>
      <c r="K1054" t="s">
        <v>12</v>
      </c>
      <c r="L1054">
        <v>0</v>
      </c>
      <c r="M1054">
        <v>3.51</v>
      </c>
      <c r="N1054">
        <v>23</v>
      </c>
      <c r="O1054" t="s">
        <v>22</v>
      </c>
      <c r="P1054">
        <v>7</v>
      </c>
      <c r="Q1054">
        <v>5.05</v>
      </c>
      <c r="R1054">
        <v>49.6</v>
      </c>
      <c r="S1054">
        <v>86.84</v>
      </c>
      <c r="T1054">
        <v>21.02</v>
      </c>
      <c r="U1054">
        <v>1</v>
      </c>
      <c r="V1054">
        <v>0</v>
      </c>
      <c r="W1054">
        <v>107.86</v>
      </c>
      <c r="X1054">
        <v>46.2</v>
      </c>
      <c r="Y1054">
        <v>103.07</v>
      </c>
      <c r="Z1054">
        <v>11.27</v>
      </c>
      <c r="AA1054">
        <v>4.22</v>
      </c>
      <c r="AB1054">
        <v>92.37</v>
      </c>
      <c r="AC1054">
        <v>111.73790322580646</v>
      </c>
      <c r="AD1054">
        <v>18.291089108910892</v>
      </c>
      <c r="AE1054">
        <v>71.72</v>
      </c>
      <c r="AF1054">
        <v>16.03</v>
      </c>
      <c r="AG1054">
        <v>0</v>
      </c>
      <c r="AH1054">
        <v>6.19</v>
      </c>
      <c r="AI1054">
        <v>29.19</v>
      </c>
      <c r="AJ1054">
        <v>114.21</v>
      </c>
      <c r="AK1054">
        <v>67.8</v>
      </c>
      <c r="AL1054" t="s">
        <v>14</v>
      </c>
      <c r="AM1054" t="s">
        <v>15</v>
      </c>
      <c r="AN1054" t="str">
        <f t="shared" si="64"/>
        <v>Afternoon</v>
      </c>
      <c r="AO1054" t="str">
        <f t="shared" si="65"/>
        <v>Off-Peak</v>
      </c>
      <c r="AP1054" t="str">
        <f t="shared" si="66"/>
        <v>Low</v>
      </c>
      <c r="AQ1054" t="str">
        <f t="shared" si="67"/>
        <v>Low</v>
      </c>
    </row>
    <row r="1055" spans="1:43" x14ac:dyDescent="0.3">
      <c r="A1055">
        <v>1054</v>
      </c>
      <c r="B1055" t="s">
        <v>23</v>
      </c>
      <c r="C1055" t="s">
        <v>17</v>
      </c>
      <c r="D1055" s="1">
        <v>46112</v>
      </c>
      <c r="E1055" t="s">
        <v>44</v>
      </c>
      <c r="F1055">
        <v>0</v>
      </c>
      <c r="G1055">
        <v>10</v>
      </c>
      <c r="H1055" t="s">
        <v>19</v>
      </c>
      <c r="I1055" t="s">
        <v>39</v>
      </c>
      <c r="J1055">
        <v>1.05</v>
      </c>
      <c r="K1055" t="s">
        <v>12</v>
      </c>
      <c r="L1055">
        <v>0</v>
      </c>
      <c r="M1055">
        <v>3.36</v>
      </c>
      <c r="N1055">
        <v>25</v>
      </c>
      <c r="O1055" t="s">
        <v>22</v>
      </c>
      <c r="P1055">
        <v>4</v>
      </c>
      <c r="Q1055">
        <v>1.67</v>
      </c>
      <c r="R1055">
        <v>24.6</v>
      </c>
      <c r="S1055">
        <v>72.58</v>
      </c>
      <c r="T1055">
        <v>30.56</v>
      </c>
      <c r="U1055">
        <v>1.04</v>
      </c>
      <c r="V1055">
        <v>2.9</v>
      </c>
      <c r="W1055">
        <v>106.04</v>
      </c>
      <c r="X1055">
        <v>46</v>
      </c>
      <c r="Y1055">
        <v>106.16</v>
      </c>
      <c r="Z1055">
        <v>3.86</v>
      </c>
      <c r="AA1055">
        <v>11.88</v>
      </c>
      <c r="AB1055">
        <v>90.3</v>
      </c>
      <c r="AC1055">
        <v>220.24390243902437</v>
      </c>
      <c r="AD1055">
        <v>54.071856287425149</v>
      </c>
      <c r="AE1055">
        <v>72.3</v>
      </c>
      <c r="AF1055">
        <v>19.100000000000001</v>
      </c>
      <c r="AG1055">
        <v>0</v>
      </c>
      <c r="AH1055">
        <v>12.65</v>
      </c>
      <c r="AI1055">
        <v>37.65</v>
      </c>
      <c r="AJ1055">
        <v>208.2</v>
      </c>
      <c r="AK1055">
        <v>71.349999999999994</v>
      </c>
      <c r="AL1055" t="s">
        <v>23</v>
      </c>
      <c r="AM1055" t="s">
        <v>24</v>
      </c>
      <c r="AN1055" t="str">
        <f t="shared" si="64"/>
        <v>Morning</v>
      </c>
      <c r="AO1055" t="str">
        <f t="shared" si="65"/>
        <v>Peak</v>
      </c>
      <c r="AP1055" t="str">
        <f t="shared" si="66"/>
        <v>Medium</v>
      </c>
      <c r="AQ1055" t="str">
        <f t="shared" si="67"/>
        <v>Low</v>
      </c>
    </row>
    <row r="1056" spans="1:43" x14ac:dyDescent="0.3">
      <c r="A1056">
        <v>1055</v>
      </c>
      <c r="B1056" t="s">
        <v>7</v>
      </c>
      <c r="C1056" t="s">
        <v>8</v>
      </c>
      <c r="D1056" s="1">
        <v>46234</v>
      </c>
      <c r="E1056" t="s">
        <v>9</v>
      </c>
      <c r="F1056">
        <v>0</v>
      </c>
      <c r="G1056">
        <v>8</v>
      </c>
      <c r="H1056" t="s">
        <v>49</v>
      </c>
      <c r="I1056" t="s">
        <v>42</v>
      </c>
      <c r="J1056">
        <v>1.08</v>
      </c>
      <c r="K1056" t="s">
        <v>34</v>
      </c>
      <c r="L1056">
        <v>1</v>
      </c>
      <c r="M1056">
        <v>3.42</v>
      </c>
      <c r="N1056">
        <v>56</v>
      </c>
      <c r="O1056" t="s">
        <v>35</v>
      </c>
      <c r="P1056">
        <v>20</v>
      </c>
      <c r="Q1056">
        <v>7.62</v>
      </c>
      <c r="R1056">
        <v>56.6</v>
      </c>
      <c r="S1056">
        <v>102.03</v>
      </c>
      <c r="T1056">
        <v>39.99</v>
      </c>
      <c r="U1056">
        <v>1</v>
      </c>
      <c r="V1056">
        <v>0</v>
      </c>
      <c r="W1056">
        <v>142.02000000000001</v>
      </c>
      <c r="X1056">
        <v>44.7</v>
      </c>
      <c r="Y1056">
        <v>102.16</v>
      </c>
      <c r="Z1056">
        <v>17.399999999999999</v>
      </c>
      <c r="AA1056">
        <v>10.92</v>
      </c>
      <c r="AB1056">
        <v>113.7</v>
      </c>
      <c r="AC1056">
        <v>120.53003533568905</v>
      </c>
      <c r="AD1056">
        <v>14.921259842519685</v>
      </c>
      <c r="AE1056">
        <v>77.67</v>
      </c>
      <c r="AF1056">
        <v>17.87</v>
      </c>
      <c r="AG1056">
        <v>0</v>
      </c>
      <c r="AH1056">
        <v>2.61</v>
      </c>
      <c r="AI1056">
        <v>58.61</v>
      </c>
      <c r="AJ1056">
        <v>119.14</v>
      </c>
      <c r="AK1056">
        <v>70.989999999999995</v>
      </c>
      <c r="AL1056" t="s">
        <v>23</v>
      </c>
      <c r="AM1056" t="s">
        <v>24</v>
      </c>
      <c r="AN1056" t="str">
        <f t="shared" si="64"/>
        <v>Morning</v>
      </c>
      <c r="AO1056" t="str">
        <f t="shared" si="65"/>
        <v>Peak</v>
      </c>
      <c r="AP1056" t="str">
        <f t="shared" si="66"/>
        <v>Low</v>
      </c>
      <c r="AQ1056" t="str">
        <f t="shared" si="67"/>
        <v>Medium</v>
      </c>
    </row>
    <row r="1057" spans="1:43" x14ac:dyDescent="0.3">
      <c r="A1057">
        <v>1056</v>
      </c>
      <c r="B1057" t="s">
        <v>23</v>
      </c>
      <c r="C1057" t="s">
        <v>17</v>
      </c>
      <c r="D1057" s="1">
        <v>46246</v>
      </c>
      <c r="E1057" t="s">
        <v>18</v>
      </c>
      <c r="F1057">
        <v>0</v>
      </c>
      <c r="G1057">
        <v>10</v>
      </c>
      <c r="H1057" t="s">
        <v>19</v>
      </c>
      <c r="I1057" t="s">
        <v>37</v>
      </c>
      <c r="J1057">
        <v>1.02</v>
      </c>
      <c r="K1057" t="s">
        <v>21</v>
      </c>
      <c r="L1057">
        <v>0</v>
      </c>
      <c r="M1057">
        <v>4.3099999999999996</v>
      </c>
      <c r="N1057">
        <v>29</v>
      </c>
      <c r="O1057" t="s">
        <v>22</v>
      </c>
      <c r="P1057">
        <v>7</v>
      </c>
      <c r="Q1057">
        <v>7.08</v>
      </c>
      <c r="R1057">
        <v>70</v>
      </c>
      <c r="S1057">
        <v>131.28</v>
      </c>
      <c r="T1057">
        <v>33.31</v>
      </c>
      <c r="U1057">
        <v>1.08</v>
      </c>
      <c r="V1057">
        <v>10.5</v>
      </c>
      <c r="W1057">
        <v>175.09</v>
      </c>
      <c r="X1057">
        <v>41.1</v>
      </c>
      <c r="Y1057">
        <v>100.38</v>
      </c>
      <c r="Z1057">
        <v>17.27</v>
      </c>
      <c r="AA1057">
        <v>8</v>
      </c>
      <c r="AB1057">
        <v>149.82</v>
      </c>
      <c r="AC1057">
        <v>128.41714285714284</v>
      </c>
      <c r="AD1057">
        <v>21.16101694915254</v>
      </c>
      <c r="AE1057">
        <v>72.19</v>
      </c>
      <c r="AF1057">
        <v>14.83</v>
      </c>
      <c r="AG1057">
        <v>0</v>
      </c>
      <c r="AH1057">
        <v>6.67</v>
      </c>
      <c r="AI1057">
        <v>35.67</v>
      </c>
      <c r="AJ1057">
        <v>122.21</v>
      </c>
      <c r="AK1057">
        <v>68.849999999999994</v>
      </c>
      <c r="AL1057" t="s">
        <v>23</v>
      </c>
      <c r="AM1057" t="s">
        <v>24</v>
      </c>
      <c r="AN1057" t="str">
        <f t="shared" si="64"/>
        <v>Morning</v>
      </c>
      <c r="AO1057" t="str">
        <f t="shared" si="65"/>
        <v>Peak</v>
      </c>
      <c r="AP1057" t="str">
        <f t="shared" si="66"/>
        <v>Low</v>
      </c>
      <c r="AQ1057" t="str">
        <f t="shared" si="67"/>
        <v>Low</v>
      </c>
    </row>
    <row r="1058" spans="1:43" x14ac:dyDescent="0.3">
      <c r="A1058">
        <v>1057</v>
      </c>
      <c r="B1058" t="s">
        <v>29</v>
      </c>
      <c r="C1058" t="s">
        <v>30</v>
      </c>
      <c r="D1058" s="1">
        <v>46216</v>
      </c>
      <c r="E1058" t="s">
        <v>38</v>
      </c>
      <c r="F1058">
        <v>0</v>
      </c>
      <c r="G1058">
        <v>9</v>
      </c>
      <c r="H1058" t="s">
        <v>47</v>
      </c>
      <c r="I1058" t="s">
        <v>33</v>
      </c>
      <c r="J1058">
        <v>1</v>
      </c>
      <c r="K1058" t="s">
        <v>34</v>
      </c>
      <c r="L1058">
        <v>1</v>
      </c>
      <c r="M1058">
        <v>3.75</v>
      </c>
      <c r="N1058">
        <v>39</v>
      </c>
      <c r="O1058" t="s">
        <v>35</v>
      </c>
      <c r="P1058">
        <v>7</v>
      </c>
      <c r="Q1058">
        <v>5.75</v>
      </c>
      <c r="R1058">
        <v>44</v>
      </c>
      <c r="S1058">
        <v>88.19</v>
      </c>
      <c r="T1058">
        <v>32.54</v>
      </c>
      <c r="U1058">
        <v>1</v>
      </c>
      <c r="V1058">
        <v>0</v>
      </c>
      <c r="W1058">
        <v>120.73</v>
      </c>
      <c r="X1058">
        <v>35.4</v>
      </c>
      <c r="Y1058">
        <v>106.18</v>
      </c>
      <c r="Z1058">
        <v>17.23</v>
      </c>
      <c r="AA1058">
        <v>11.61</v>
      </c>
      <c r="AB1058">
        <v>91.89</v>
      </c>
      <c r="AC1058">
        <v>125.30454545454546</v>
      </c>
      <c r="AD1058">
        <v>15.980869565217391</v>
      </c>
      <c r="AE1058">
        <v>76.63</v>
      </c>
      <c r="AF1058">
        <v>15.53</v>
      </c>
      <c r="AG1058">
        <v>0</v>
      </c>
      <c r="AH1058">
        <v>-15.58</v>
      </c>
      <c r="AI1058">
        <v>23.42</v>
      </c>
      <c r="AJ1058">
        <v>134.57</v>
      </c>
      <c r="AK1058">
        <v>68.489999999999995</v>
      </c>
      <c r="AL1058" t="s">
        <v>23</v>
      </c>
      <c r="AM1058" t="s">
        <v>24</v>
      </c>
      <c r="AN1058" t="str">
        <f t="shared" si="64"/>
        <v>Morning</v>
      </c>
      <c r="AO1058" t="str">
        <f t="shared" si="65"/>
        <v>Peak</v>
      </c>
      <c r="AP1058" t="str">
        <f t="shared" si="66"/>
        <v>Low</v>
      </c>
      <c r="AQ1058" t="str">
        <f t="shared" si="67"/>
        <v>Medium</v>
      </c>
    </row>
    <row r="1059" spans="1:43" x14ac:dyDescent="0.3">
      <c r="A1059">
        <v>1058</v>
      </c>
      <c r="B1059" t="s">
        <v>16</v>
      </c>
      <c r="C1059" t="s">
        <v>17</v>
      </c>
      <c r="D1059" s="1">
        <v>46030</v>
      </c>
      <c r="E1059" t="s">
        <v>41</v>
      </c>
      <c r="F1059">
        <v>0</v>
      </c>
      <c r="G1059">
        <v>16</v>
      </c>
      <c r="H1059" t="s">
        <v>19</v>
      </c>
      <c r="I1059" t="s">
        <v>37</v>
      </c>
      <c r="J1059">
        <v>1.02</v>
      </c>
      <c r="K1059" t="s">
        <v>34</v>
      </c>
      <c r="L1059">
        <v>1</v>
      </c>
      <c r="M1059">
        <v>3.85</v>
      </c>
      <c r="N1059">
        <v>54</v>
      </c>
      <c r="O1059" t="s">
        <v>35</v>
      </c>
      <c r="P1059">
        <v>8</v>
      </c>
      <c r="Q1059">
        <v>4.24</v>
      </c>
      <c r="R1059">
        <v>38.799999999999997</v>
      </c>
      <c r="S1059">
        <v>107.62</v>
      </c>
      <c r="T1059">
        <v>62.15</v>
      </c>
      <c r="U1059">
        <v>1.1100000000000001</v>
      </c>
      <c r="V1059">
        <v>11.84</v>
      </c>
      <c r="W1059">
        <v>181.61</v>
      </c>
      <c r="X1059">
        <v>47</v>
      </c>
      <c r="Y1059">
        <v>102.86</v>
      </c>
      <c r="Z1059">
        <v>9.26</v>
      </c>
      <c r="AA1059">
        <v>8.8699999999999992</v>
      </c>
      <c r="AB1059">
        <v>163.47999999999999</v>
      </c>
      <c r="AC1059">
        <v>252.80412371134022</v>
      </c>
      <c r="AD1059">
        <v>38.556603773584904</v>
      </c>
      <c r="AE1059">
        <v>76.13</v>
      </c>
      <c r="AF1059">
        <v>19.73</v>
      </c>
      <c r="AG1059">
        <v>0</v>
      </c>
      <c r="AH1059">
        <v>-10.68</v>
      </c>
      <c r="AI1059">
        <v>43.32</v>
      </c>
      <c r="AJ1059">
        <v>257.58</v>
      </c>
      <c r="AK1059">
        <v>73.19</v>
      </c>
      <c r="AL1059" t="s">
        <v>23</v>
      </c>
      <c r="AM1059" t="s">
        <v>24</v>
      </c>
      <c r="AN1059" t="str">
        <f t="shared" si="64"/>
        <v>Evening</v>
      </c>
      <c r="AO1059" t="str">
        <f t="shared" si="65"/>
        <v>Off-Peak</v>
      </c>
      <c r="AP1059" t="str">
        <f t="shared" si="66"/>
        <v>High</v>
      </c>
      <c r="AQ1059" t="str">
        <f t="shared" si="67"/>
        <v>Medium</v>
      </c>
    </row>
    <row r="1060" spans="1:43" x14ac:dyDescent="0.3">
      <c r="A1060">
        <v>1059</v>
      </c>
      <c r="B1060" t="s">
        <v>48</v>
      </c>
      <c r="C1060" t="s">
        <v>30</v>
      </c>
      <c r="D1060" s="1">
        <v>46240</v>
      </c>
      <c r="E1060" t="s">
        <v>41</v>
      </c>
      <c r="F1060">
        <v>0</v>
      </c>
      <c r="G1060">
        <v>13</v>
      </c>
      <c r="H1060" t="s">
        <v>43</v>
      </c>
      <c r="I1060" t="s">
        <v>45</v>
      </c>
      <c r="J1060">
        <v>1</v>
      </c>
      <c r="K1060" t="s">
        <v>12</v>
      </c>
      <c r="L1060">
        <v>0</v>
      </c>
      <c r="M1060">
        <v>3.84</v>
      </c>
      <c r="N1060">
        <v>52</v>
      </c>
      <c r="O1060" t="s">
        <v>35</v>
      </c>
      <c r="P1060">
        <v>13</v>
      </c>
      <c r="Q1060">
        <v>8.8800000000000008</v>
      </c>
      <c r="R1060">
        <v>63.2</v>
      </c>
      <c r="S1060">
        <v>130.44</v>
      </c>
      <c r="T1060">
        <v>57.27</v>
      </c>
      <c r="U1060">
        <v>1</v>
      </c>
      <c r="V1060">
        <v>0</v>
      </c>
      <c r="W1060">
        <v>187.71</v>
      </c>
      <c r="X1060">
        <v>36.9</v>
      </c>
      <c r="Y1060">
        <v>105.33</v>
      </c>
      <c r="Z1060">
        <v>25.35</v>
      </c>
      <c r="AA1060">
        <v>11.59</v>
      </c>
      <c r="AB1060">
        <v>150.77000000000001</v>
      </c>
      <c r="AC1060">
        <v>143.13607594936707</v>
      </c>
      <c r="AD1060">
        <v>16.978603603603602</v>
      </c>
      <c r="AE1060">
        <v>65.650000000000006</v>
      </c>
      <c r="AF1060">
        <v>15.8</v>
      </c>
      <c r="AG1060">
        <v>0</v>
      </c>
      <c r="AH1060">
        <v>2.09</v>
      </c>
      <c r="AI1060">
        <v>54.09</v>
      </c>
      <c r="AJ1060">
        <v>150.74</v>
      </c>
      <c r="AK1060">
        <v>75.55</v>
      </c>
      <c r="AL1060" t="s">
        <v>14</v>
      </c>
      <c r="AM1060" t="s">
        <v>15</v>
      </c>
      <c r="AN1060" t="str">
        <f t="shared" si="64"/>
        <v>Afternoon</v>
      </c>
      <c r="AO1060" t="str">
        <f t="shared" si="65"/>
        <v>Off-Peak</v>
      </c>
      <c r="AP1060" t="str">
        <f t="shared" si="66"/>
        <v>Low</v>
      </c>
      <c r="AQ1060" t="str">
        <f t="shared" si="67"/>
        <v>Medium</v>
      </c>
    </row>
    <row r="1061" spans="1:43" x14ac:dyDescent="0.3">
      <c r="A1061">
        <v>1060</v>
      </c>
      <c r="B1061" t="s">
        <v>48</v>
      </c>
      <c r="C1061" t="s">
        <v>30</v>
      </c>
      <c r="D1061" s="1">
        <v>46125</v>
      </c>
      <c r="E1061" t="s">
        <v>38</v>
      </c>
      <c r="F1061">
        <v>0</v>
      </c>
      <c r="G1061">
        <v>14</v>
      </c>
      <c r="H1061" t="s">
        <v>43</v>
      </c>
      <c r="I1061" t="s">
        <v>28</v>
      </c>
      <c r="J1061">
        <v>1.03</v>
      </c>
      <c r="K1061" t="s">
        <v>21</v>
      </c>
      <c r="L1061">
        <v>0</v>
      </c>
      <c r="M1061">
        <v>3.29</v>
      </c>
      <c r="N1061">
        <v>26</v>
      </c>
      <c r="O1061" t="s">
        <v>22</v>
      </c>
      <c r="P1061">
        <v>6</v>
      </c>
      <c r="Q1061">
        <v>9.48</v>
      </c>
      <c r="R1061">
        <v>59.6</v>
      </c>
      <c r="S1061">
        <v>125.34</v>
      </c>
      <c r="T1061">
        <v>32.549999999999997</v>
      </c>
      <c r="U1061">
        <v>1</v>
      </c>
      <c r="V1061">
        <v>0</v>
      </c>
      <c r="W1061">
        <v>157.88999999999999</v>
      </c>
      <c r="X1061">
        <v>39.200000000000003</v>
      </c>
      <c r="Y1061">
        <v>102.61</v>
      </c>
      <c r="Z1061">
        <v>24.81</v>
      </c>
      <c r="AA1061">
        <v>3.62</v>
      </c>
      <c r="AB1061">
        <v>129.46</v>
      </c>
      <c r="AC1061">
        <v>130.32885906040269</v>
      </c>
      <c r="AD1061">
        <v>13.656118143459915</v>
      </c>
      <c r="AE1061">
        <v>77.13</v>
      </c>
      <c r="AF1061">
        <v>16.59</v>
      </c>
      <c r="AG1061">
        <v>0</v>
      </c>
      <c r="AH1061">
        <v>10.66</v>
      </c>
      <c r="AI1061">
        <v>36.659999999999997</v>
      </c>
      <c r="AJ1061">
        <v>128.77000000000001</v>
      </c>
      <c r="AK1061">
        <v>60</v>
      </c>
      <c r="AL1061" t="s">
        <v>14</v>
      </c>
      <c r="AM1061" t="s">
        <v>15</v>
      </c>
      <c r="AN1061" t="str">
        <f t="shared" si="64"/>
        <v>Afternoon</v>
      </c>
      <c r="AO1061" t="str">
        <f t="shared" si="65"/>
        <v>Off-Peak</v>
      </c>
      <c r="AP1061" t="str">
        <f t="shared" si="66"/>
        <v>Low</v>
      </c>
      <c r="AQ1061" t="str">
        <f t="shared" si="67"/>
        <v>Low</v>
      </c>
    </row>
    <row r="1062" spans="1:43" x14ac:dyDescent="0.3">
      <c r="A1062">
        <v>1061</v>
      </c>
      <c r="B1062" t="s">
        <v>16</v>
      </c>
      <c r="C1062" t="s">
        <v>17</v>
      </c>
      <c r="D1062" s="1">
        <v>46130</v>
      </c>
      <c r="E1062" t="s">
        <v>31</v>
      </c>
      <c r="F1062">
        <v>1</v>
      </c>
      <c r="G1062">
        <v>20</v>
      </c>
      <c r="H1062" t="s">
        <v>40</v>
      </c>
      <c r="I1062" t="s">
        <v>45</v>
      </c>
      <c r="J1062">
        <v>1</v>
      </c>
      <c r="K1062" t="s">
        <v>12</v>
      </c>
      <c r="L1062">
        <v>0</v>
      </c>
      <c r="M1062">
        <v>3.38</v>
      </c>
      <c r="N1062">
        <v>88</v>
      </c>
      <c r="O1062" t="s">
        <v>13</v>
      </c>
      <c r="P1062">
        <v>19</v>
      </c>
      <c r="Q1062">
        <v>1.71</v>
      </c>
      <c r="R1062">
        <v>33.6</v>
      </c>
      <c r="S1062">
        <v>80.19</v>
      </c>
      <c r="T1062">
        <v>88.13</v>
      </c>
      <c r="U1062">
        <v>1.2</v>
      </c>
      <c r="V1062">
        <v>16.04</v>
      </c>
      <c r="W1062">
        <v>184.36</v>
      </c>
      <c r="X1062">
        <v>49.2</v>
      </c>
      <c r="Y1062">
        <v>106.86</v>
      </c>
      <c r="Z1062">
        <v>3.72</v>
      </c>
      <c r="AA1062">
        <v>4.25</v>
      </c>
      <c r="AB1062">
        <v>176.39</v>
      </c>
      <c r="AC1062">
        <v>314.98214285714278</v>
      </c>
      <c r="AD1062">
        <v>103.15204678362572</v>
      </c>
      <c r="AE1062">
        <v>84.77</v>
      </c>
      <c r="AF1062">
        <v>16.25</v>
      </c>
      <c r="AG1062">
        <v>1</v>
      </c>
      <c r="AH1062">
        <v>6.47</v>
      </c>
      <c r="AI1062">
        <v>94.47</v>
      </c>
      <c r="AJ1062">
        <v>313.83</v>
      </c>
      <c r="AK1062">
        <v>78.95</v>
      </c>
      <c r="AL1062" t="s">
        <v>23</v>
      </c>
      <c r="AM1062" t="s">
        <v>24</v>
      </c>
      <c r="AN1062" t="str">
        <f t="shared" si="64"/>
        <v>Night</v>
      </c>
      <c r="AO1062" t="str">
        <f t="shared" si="65"/>
        <v>Peak</v>
      </c>
      <c r="AP1062" t="str">
        <f t="shared" si="66"/>
        <v>High</v>
      </c>
      <c r="AQ1062" t="str">
        <f t="shared" si="67"/>
        <v>High</v>
      </c>
    </row>
    <row r="1063" spans="1:43" x14ac:dyDescent="0.3">
      <c r="A1063">
        <v>1062</v>
      </c>
      <c r="B1063" t="s">
        <v>25</v>
      </c>
      <c r="C1063" t="s">
        <v>17</v>
      </c>
      <c r="D1063" s="1">
        <v>46266</v>
      </c>
      <c r="E1063" t="s">
        <v>44</v>
      </c>
      <c r="F1063">
        <v>0</v>
      </c>
      <c r="G1063">
        <v>16</v>
      </c>
      <c r="H1063" t="s">
        <v>19</v>
      </c>
      <c r="I1063" t="s">
        <v>28</v>
      </c>
      <c r="J1063">
        <v>1.03</v>
      </c>
      <c r="K1063" t="s">
        <v>21</v>
      </c>
      <c r="L1063">
        <v>0</v>
      </c>
      <c r="M1063">
        <v>1.05</v>
      </c>
      <c r="N1063">
        <v>25</v>
      </c>
      <c r="O1063" t="s">
        <v>22</v>
      </c>
      <c r="P1063">
        <v>5</v>
      </c>
      <c r="Q1063">
        <v>5.7</v>
      </c>
      <c r="R1063">
        <v>35.200000000000003</v>
      </c>
      <c r="S1063">
        <v>126.2</v>
      </c>
      <c r="T1063">
        <v>26.47</v>
      </c>
      <c r="U1063">
        <v>1.1000000000000001</v>
      </c>
      <c r="V1063">
        <v>12.62</v>
      </c>
      <c r="W1063">
        <v>165.29</v>
      </c>
      <c r="X1063">
        <v>39.5</v>
      </c>
      <c r="Y1063">
        <v>108.96</v>
      </c>
      <c r="Z1063">
        <v>15.72</v>
      </c>
      <c r="AA1063">
        <v>10.85</v>
      </c>
      <c r="AB1063">
        <v>138.72</v>
      </c>
      <c r="AC1063">
        <v>236.45454545454544</v>
      </c>
      <c r="AD1063">
        <v>24.336842105263155</v>
      </c>
      <c r="AE1063">
        <v>69.66</v>
      </c>
      <c r="AF1063">
        <v>10.23</v>
      </c>
      <c r="AG1063">
        <v>0</v>
      </c>
      <c r="AH1063">
        <v>-9.73</v>
      </c>
      <c r="AI1063">
        <v>15.27</v>
      </c>
      <c r="AJ1063">
        <v>239.38</v>
      </c>
      <c r="AK1063">
        <v>67.25</v>
      </c>
      <c r="AL1063" t="s">
        <v>23</v>
      </c>
      <c r="AM1063" t="s">
        <v>24</v>
      </c>
      <c r="AN1063" t="str">
        <f t="shared" si="64"/>
        <v>Evening</v>
      </c>
      <c r="AO1063" t="str">
        <f t="shared" si="65"/>
        <v>Off-Peak</v>
      </c>
      <c r="AP1063" t="str">
        <f t="shared" si="66"/>
        <v>Medium</v>
      </c>
      <c r="AQ1063" t="str">
        <f t="shared" si="67"/>
        <v>Low</v>
      </c>
    </row>
    <row r="1064" spans="1:43" x14ac:dyDescent="0.3">
      <c r="A1064">
        <v>1063</v>
      </c>
      <c r="B1064" t="s">
        <v>14</v>
      </c>
      <c r="C1064" t="s">
        <v>8</v>
      </c>
      <c r="D1064" s="1">
        <v>46246</v>
      </c>
      <c r="E1064" t="s">
        <v>18</v>
      </c>
      <c r="F1064">
        <v>0</v>
      </c>
      <c r="G1064">
        <v>9</v>
      </c>
      <c r="H1064" t="s">
        <v>49</v>
      </c>
      <c r="I1064" t="s">
        <v>45</v>
      </c>
      <c r="J1064">
        <v>1</v>
      </c>
      <c r="K1064" t="s">
        <v>12</v>
      </c>
      <c r="L1064">
        <v>0</v>
      </c>
      <c r="M1064">
        <v>2.62</v>
      </c>
      <c r="N1064">
        <v>38</v>
      </c>
      <c r="O1064" t="s">
        <v>35</v>
      </c>
      <c r="P1064">
        <v>15</v>
      </c>
      <c r="Q1064">
        <v>2.31</v>
      </c>
      <c r="R1064">
        <v>32.200000000000003</v>
      </c>
      <c r="S1064">
        <v>75.89</v>
      </c>
      <c r="T1064">
        <v>27.43</v>
      </c>
      <c r="U1064">
        <v>1</v>
      </c>
      <c r="V1064">
        <v>0</v>
      </c>
      <c r="W1064">
        <v>103.32</v>
      </c>
      <c r="X1064">
        <v>38.799999999999997</v>
      </c>
      <c r="Y1064">
        <v>100.87</v>
      </c>
      <c r="Z1064">
        <v>6.01</v>
      </c>
      <c r="AA1064">
        <v>6.2</v>
      </c>
      <c r="AB1064">
        <v>91.11</v>
      </c>
      <c r="AC1064">
        <v>169.77018633540371</v>
      </c>
      <c r="AD1064">
        <v>39.441558441558442</v>
      </c>
      <c r="AE1064">
        <v>89.98</v>
      </c>
      <c r="AF1064">
        <v>12.92</v>
      </c>
      <c r="AG1064">
        <v>0</v>
      </c>
      <c r="AH1064">
        <v>-0.55000000000000004</v>
      </c>
      <c r="AI1064">
        <v>37.450000000000003</v>
      </c>
      <c r="AJ1064">
        <v>156.27000000000001</v>
      </c>
      <c r="AK1064">
        <v>76.94</v>
      </c>
      <c r="AL1064" t="s">
        <v>14</v>
      </c>
      <c r="AM1064" t="s">
        <v>15</v>
      </c>
      <c r="AN1064" t="str">
        <f t="shared" si="64"/>
        <v>Morning</v>
      </c>
      <c r="AO1064" t="str">
        <f t="shared" si="65"/>
        <v>Peak</v>
      </c>
      <c r="AP1064" t="str">
        <f t="shared" si="66"/>
        <v>Medium</v>
      </c>
      <c r="AQ1064" t="str">
        <f t="shared" si="67"/>
        <v>Medium</v>
      </c>
    </row>
    <row r="1065" spans="1:43" x14ac:dyDescent="0.3">
      <c r="A1065">
        <v>1064</v>
      </c>
      <c r="B1065" t="s">
        <v>25</v>
      </c>
      <c r="C1065" t="s">
        <v>17</v>
      </c>
      <c r="D1065" s="1">
        <v>46036</v>
      </c>
      <c r="E1065" t="s">
        <v>18</v>
      </c>
      <c r="F1065">
        <v>0</v>
      </c>
      <c r="G1065">
        <v>13</v>
      </c>
      <c r="H1065" t="s">
        <v>19</v>
      </c>
      <c r="I1065" t="s">
        <v>39</v>
      </c>
      <c r="J1065">
        <v>1.05</v>
      </c>
      <c r="K1065" t="s">
        <v>12</v>
      </c>
      <c r="L1065">
        <v>0</v>
      </c>
      <c r="M1065">
        <v>3.61</v>
      </c>
      <c r="N1065">
        <v>16</v>
      </c>
      <c r="O1065" t="s">
        <v>22</v>
      </c>
      <c r="P1065">
        <v>3</v>
      </c>
      <c r="Q1065">
        <v>1.5</v>
      </c>
      <c r="R1065">
        <v>22.5</v>
      </c>
      <c r="S1065">
        <v>77.2</v>
      </c>
      <c r="T1065">
        <v>19.03</v>
      </c>
      <c r="U1065">
        <v>1</v>
      </c>
      <c r="V1065">
        <v>0</v>
      </c>
      <c r="W1065">
        <v>96.23</v>
      </c>
      <c r="X1065">
        <v>49.6</v>
      </c>
      <c r="Y1065">
        <v>107.86</v>
      </c>
      <c r="Z1065">
        <v>3.26</v>
      </c>
      <c r="AA1065">
        <v>5.71</v>
      </c>
      <c r="AB1065">
        <v>87.26</v>
      </c>
      <c r="AC1065">
        <v>232.69333333333336</v>
      </c>
      <c r="AD1065">
        <v>58.173333333333339</v>
      </c>
      <c r="AE1065">
        <v>83.96</v>
      </c>
      <c r="AF1065">
        <v>16.41</v>
      </c>
      <c r="AG1065">
        <v>0</v>
      </c>
      <c r="AH1065">
        <v>25.68</v>
      </c>
      <c r="AI1065">
        <v>41.68</v>
      </c>
      <c r="AJ1065">
        <v>240.9</v>
      </c>
      <c r="AK1065">
        <v>63.02</v>
      </c>
      <c r="AL1065" t="s">
        <v>14</v>
      </c>
      <c r="AM1065" t="s">
        <v>15</v>
      </c>
      <c r="AN1065" t="str">
        <f t="shared" si="64"/>
        <v>Afternoon</v>
      </c>
      <c r="AO1065" t="str">
        <f t="shared" si="65"/>
        <v>Off-Peak</v>
      </c>
      <c r="AP1065" t="str">
        <f t="shared" si="66"/>
        <v>Medium</v>
      </c>
      <c r="AQ1065" t="str">
        <f t="shared" si="67"/>
        <v>Low</v>
      </c>
    </row>
    <row r="1066" spans="1:43" x14ac:dyDescent="0.3">
      <c r="A1066">
        <v>1065</v>
      </c>
      <c r="B1066" t="s">
        <v>16</v>
      </c>
      <c r="C1066" t="s">
        <v>17</v>
      </c>
      <c r="D1066" s="1">
        <v>46115</v>
      </c>
      <c r="E1066" t="s">
        <v>9</v>
      </c>
      <c r="F1066">
        <v>0</v>
      </c>
      <c r="G1066">
        <v>12</v>
      </c>
      <c r="H1066" t="s">
        <v>19</v>
      </c>
      <c r="I1066" t="s">
        <v>46</v>
      </c>
      <c r="J1066">
        <v>1.1499999999999999</v>
      </c>
      <c r="K1066" t="s">
        <v>21</v>
      </c>
      <c r="L1066">
        <v>0</v>
      </c>
      <c r="M1066">
        <v>2.72</v>
      </c>
      <c r="N1066">
        <v>22</v>
      </c>
      <c r="O1066" t="s">
        <v>22</v>
      </c>
      <c r="P1066">
        <v>4</v>
      </c>
      <c r="Q1066">
        <v>9.4700000000000006</v>
      </c>
      <c r="R1066">
        <v>52.5</v>
      </c>
      <c r="S1066">
        <v>162.18</v>
      </c>
      <c r="T1066">
        <v>1.65</v>
      </c>
      <c r="U1066">
        <v>1.0900000000000001</v>
      </c>
      <c r="V1066">
        <v>14.6</v>
      </c>
      <c r="W1066">
        <v>178.43</v>
      </c>
      <c r="X1066">
        <v>36.299999999999997</v>
      </c>
      <c r="Y1066">
        <v>101.56</v>
      </c>
      <c r="Z1066">
        <v>26.51</v>
      </c>
      <c r="AA1066">
        <v>9.5399999999999991</v>
      </c>
      <c r="AB1066">
        <v>142.38</v>
      </c>
      <c r="AC1066">
        <v>162.72</v>
      </c>
      <c r="AD1066">
        <v>15.034846884899682</v>
      </c>
      <c r="AE1066">
        <v>80.510000000000005</v>
      </c>
      <c r="AF1066">
        <v>17.920000000000002</v>
      </c>
      <c r="AG1066">
        <v>0</v>
      </c>
      <c r="AH1066">
        <v>11.16</v>
      </c>
      <c r="AI1066">
        <v>33.159999999999997</v>
      </c>
      <c r="AJ1066">
        <v>158.54</v>
      </c>
      <c r="AK1066">
        <v>67.8</v>
      </c>
      <c r="AL1066" t="s">
        <v>14</v>
      </c>
      <c r="AM1066" t="s">
        <v>15</v>
      </c>
      <c r="AN1066" t="str">
        <f t="shared" si="64"/>
        <v>Afternoon</v>
      </c>
      <c r="AO1066" t="str">
        <f t="shared" si="65"/>
        <v>Off-Peak</v>
      </c>
      <c r="AP1066" t="str">
        <f t="shared" si="66"/>
        <v>Medium</v>
      </c>
      <c r="AQ1066" t="str">
        <f t="shared" si="67"/>
        <v>Low</v>
      </c>
    </row>
    <row r="1067" spans="1:43" x14ac:dyDescent="0.3">
      <c r="A1067">
        <v>1066</v>
      </c>
      <c r="B1067" t="s">
        <v>48</v>
      </c>
      <c r="C1067" t="s">
        <v>30</v>
      </c>
      <c r="D1067" s="1">
        <v>46216</v>
      </c>
      <c r="E1067" t="s">
        <v>38</v>
      </c>
      <c r="F1067">
        <v>0</v>
      </c>
      <c r="G1067">
        <v>20</v>
      </c>
      <c r="H1067" t="s">
        <v>32</v>
      </c>
      <c r="I1067" t="s">
        <v>45</v>
      </c>
      <c r="J1067">
        <v>1</v>
      </c>
      <c r="K1067" t="s">
        <v>21</v>
      </c>
      <c r="L1067">
        <v>0</v>
      </c>
      <c r="M1067">
        <v>4.74</v>
      </c>
      <c r="N1067">
        <v>49</v>
      </c>
      <c r="O1067" t="s">
        <v>35</v>
      </c>
      <c r="P1067">
        <v>16</v>
      </c>
      <c r="Q1067">
        <v>6.35</v>
      </c>
      <c r="R1067">
        <v>54.4</v>
      </c>
      <c r="S1067">
        <v>99.87</v>
      </c>
      <c r="T1067">
        <v>45.69</v>
      </c>
      <c r="U1067">
        <v>1</v>
      </c>
      <c r="V1067">
        <v>0</v>
      </c>
      <c r="W1067">
        <v>145.56</v>
      </c>
      <c r="X1067">
        <v>37.4</v>
      </c>
      <c r="Y1067">
        <v>103.29</v>
      </c>
      <c r="Z1067">
        <v>17.53</v>
      </c>
      <c r="AA1067">
        <v>8.3000000000000007</v>
      </c>
      <c r="AB1067">
        <v>119.73</v>
      </c>
      <c r="AC1067">
        <v>132.05514705882354</v>
      </c>
      <c r="AD1067">
        <v>18.855118110236223</v>
      </c>
      <c r="AE1067">
        <v>82.57</v>
      </c>
      <c r="AF1067">
        <v>19.64</v>
      </c>
      <c r="AG1067">
        <v>1</v>
      </c>
      <c r="AH1067">
        <v>0.56000000000000005</v>
      </c>
      <c r="AI1067">
        <v>49.56</v>
      </c>
      <c r="AJ1067">
        <v>143.16</v>
      </c>
      <c r="AK1067">
        <v>76.38</v>
      </c>
      <c r="AL1067" t="s">
        <v>14</v>
      </c>
      <c r="AM1067" t="s">
        <v>15</v>
      </c>
      <c r="AN1067" t="str">
        <f t="shared" si="64"/>
        <v>Night</v>
      </c>
      <c r="AO1067" t="str">
        <f t="shared" si="65"/>
        <v>Peak</v>
      </c>
      <c r="AP1067" t="str">
        <f t="shared" si="66"/>
        <v>Low</v>
      </c>
      <c r="AQ1067" t="str">
        <f t="shared" si="67"/>
        <v>Medium</v>
      </c>
    </row>
    <row r="1068" spans="1:43" x14ac:dyDescent="0.3">
      <c r="A1068">
        <v>1067</v>
      </c>
      <c r="B1068" t="s">
        <v>23</v>
      </c>
      <c r="C1068" t="s">
        <v>17</v>
      </c>
      <c r="D1068" s="1">
        <v>46162</v>
      </c>
      <c r="E1068" t="s">
        <v>18</v>
      </c>
      <c r="F1068">
        <v>0</v>
      </c>
      <c r="G1068">
        <v>11</v>
      </c>
      <c r="H1068" t="s">
        <v>19</v>
      </c>
      <c r="I1068" t="s">
        <v>37</v>
      </c>
      <c r="J1068">
        <v>1.02</v>
      </c>
      <c r="K1068" t="s">
        <v>12</v>
      </c>
      <c r="L1068">
        <v>0</v>
      </c>
      <c r="M1068">
        <v>3.12</v>
      </c>
      <c r="N1068">
        <v>8</v>
      </c>
      <c r="O1068" t="s">
        <v>22</v>
      </c>
      <c r="P1068">
        <v>1</v>
      </c>
      <c r="Q1068">
        <v>4.49</v>
      </c>
      <c r="R1068">
        <v>32.9</v>
      </c>
      <c r="S1068">
        <v>99.46</v>
      </c>
      <c r="T1068">
        <v>24.09</v>
      </c>
      <c r="U1068">
        <v>1.1100000000000001</v>
      </c>
      <c r="V1068">
        <v>10.94</v>
      </c>
      <c r="W1068">
        <v>134.49</v>
      </c>
      <c r="X1068">
        <v>41.6</v>
      </c>
      <c r="Y1068">
        <v>103.57</v>
      </c>
      <c r="Z1068">
        <v>11.19</v>
      </c>
      <c r="AA1068">
        <v>5.44</v>
      </c>
      <c r="AB1068">
        <v>117.86</v>
      </c>
      <c r="AC1068">
        <v>214.94224924012158</v>
      </c>
      <c r="AD1068">
        <v>26.249443207126948</v>
      </c>
      <c r="AE1068">
        <v>72.88</v>
      </c>
      <c r="AF1068">
        <v>18.04</v>
      </c>
      <c r="AG1068">
        <v>0</v>
      </c>
      <c r="AH1068">
        <v>-12.39</v>
      </c>
      <c r="AI1068">
        <v>5</v>
      </c>
      <c r="AJ1068">
        <v>218.57</v>
      </c>
      <c r="AK1068">
        <v>69.650000000000006</v>
      </c>
      <c r="AL1068" t="s">
        <v>23</v>
      </c>
      <c r="AM1068" t="s">
        <v>24</v>
      </c>
      <c r="AN1068" t="str">
        <f t="shared" si="64"/>
        <v>Afternoon</v>
      </c>
      <c r="AO1068" t="str">
        <f t="shared" si="65"/>
        <v>Off-Peak</v>
      </c>
      <c r="AP1068" t="str">
        <f t="shared" si="66"/>
        <v>Medium</v>
      </c>
      <c r="AQ1068" t="str">
        <f t="shared" si="67"/>
        <v>Low</v>
      </c>
    </row>
    <row r="1069" spans="1:43" x14ac:dyDescent="0.3">
      <c r="A1069">
        <v>1068</v>
      </c>
      <c r="B1069" t="s">
        <v>25</v>
      </c>
      <c r="C1069" t="s">
        <v>17</v>
      </c>
      <c r="D1069" s="1">
        <v>46089</v>
      </c>
      <c r="E1069" t="s">
        <v>26</v>
      </c>
      <c r="F1069">
        <v>1</v>
      </c>
      <c r="G1069">
        <v>9</v>
      </c>
      <c r="H1069" t="s">
        <v>27</v>
      </c>
      <c r="I1069" t="s">
        <v>33</v>
      </c>
      <c r="J1069">
        <v>1</v>
      </c>
      <c r="K1069" t="s">
        <v>12</v>
      </c>
      <c r="L1069">
        <v>0</v>
      </c>
      <c r="M1069">
        <v>5</v>
      </c>
      <c r="N1069">
        <v>81</v>
      </c>
      <c r="O1069" t="s">
        <v>13</v>
      </c>
      <c r="P1069">
        <v>13</v>
      </c>
      <c r="Q1069">
        <v>1.86</v>
      </c>
      <c r="R1069">
        <v>44</v>
      </c>
      <c r="S1069">
        <v>89.16</v>
      </c>
      <c r="T1069">
        <v>100</v>
      </c>
      <c r="U1069">
        <v>1.35</v>
      </c>
      <c r="V1069">
        <v>31.21</v>
      </c>
      <c r="W1069">
        <v>220.37</v>
      </c>
      <c r="X1069">
        <v>46.8</v>
      </c>
      <c r="Y1069">
        <v>102.06</v>
      </c>
      <c r="Z1069">
        <v>4.05</v>
      </c>
      <c r="AA1069">
        <v>5.98</v>
      </c>
      <c r="AB1069">
        <v>210.34</v>
      </c>
      <c r="AC1069">
        <v>286.82727272727277</v>
      </c>
      <c r="AD1069">
        <v>113.08602150537634</v>
      </c>
      <c r="AE1069">
        <v>87.61</v>
      </c>
      <c r="AF1069">
        <v>16.59</v>
      </c>
      <c r="AG1069">
        <v>1</v>
      </c>
      <c r="AH1069">
        <v>-7.7</v>
      </c>
      <c r="AI1069">
        <v>73.3</v>
      </c>
      <c r="AJ1069">
        <v>319.10000000000002</v>
      </c>
      <c r="AK1069">
        <v>81.67</v>
      </c>
      <c r="AL1069" t="s">
        <v>23</v>
      </c>
      <c r="AM1069" t="s">
        <v>24</v>
      </c>
      <c r="AN1069" t="str">
        <f t="shared" si="64"/>
        <v>Morning</v>
      </c>
      <c r="AO1069" t="str">
        <f t="shared" si="65"/>
        <v>Peak</v>
      </c>
      <c r="AP1069" t="str">
        <f t="shared" si="66"/>
        <v>High</v>
      </c>
      <c r="AQ1069" t="str">
        <f t="shared" si="67"/>
        <v>High</v>
      </c>
    </row>
    <row r="1070" spans="1:43" x14ac:dyDescent="0.3">
      <c r="A1070">
        <v>1069</v>
      </c>
      <c r="B1070" t="s">
        <v>48</v>
      </c>
      <c r="C1070" t="s">
        <v>30</v>
      </c>
      <c r="D1070" s="1">
        <v>46158</v>
      </c>
      <c r="E1070" t="s">
        <v>31</v>
      </c>
      <c r="F1070">
        <v>1</v>
      </c>
      <c r="G1070">
        <v>18</v>
      </c>
      <c r="H1070" t="s">
        <v>32</v>
      </c>
      <c r="I1070" t="s">
        <v>46</v>
      </c>
      <c r="J1070">
        <v>1.1499999999999999</v>
      </c>
      <c r="K1070" t="s">
        <v>12</v>
      </c>
      <c r="L1070">
        <v>0</v>
      </c>
      <c r="M1070">
        <v>3.86</v>
      </c>
      <c r="N1070">
        <v>90</v>
      </c>
      <c r="O1070" t="s">
        <v>13</v>
      </c>
      <c r="P1070">
        <v>27</v>
      </c>
      <c r="Q1070">
        <v>9.66</v>
      </c>
      <c r="R1070">
        <v>59.3</v>
      </c>
      <c r="S1070">
        <v>131.32</v>
      </c>
      <c r="T1070">
        <v>100</v>
      </c>
      <c r="U1070">
        <v>1</v>
      </c>
      <c r="V1070">
        <v>0</v>
      </c>
      <c r="W1070">
        <v>231.32</v>
      </c>
      <c r="X1070">
        <v>48.3</v>
      </c>
      <c r="Y1070">
        <v>100.75</v>
      </c>
      <c r="Z1070">
        <v>20.16</v>
      </c>
      <c r="AA1070">
        <v>6.08</v>
      </c>
      <c r="AB1070">
        <v>205.08</v>
      </c>
      <c r="AC1070">
        <v>207.50084317032042</v>
      </c>
      <c r="AD1070">
        <v>21.229813664596275</v>
      </c>
      <c r="AE1070">
        <v>91.77</v>
      </c>
      <c r="AF1070">
        <v>17.100000000000001</v>
      </c>
      <c r="AG1070">
        <v>1</v>
      </c>
      <c r="AH1070">
        <v>3.1</v>
      </c>
      <c r="AI1070">
        <v>93.1</v>
      </c>
      <c r="AJ1070">
        <v>221.33</v>
      </c>
      <c r="AK1070">
        <v>81.36</v>
      </c>
      <c r="AL1070" t="s">
        <v>14</v>
      </c>
      <c r="AM1070" t="s">
        <v>15</v>
      </c>
      <c r="AN1070" t="str">
        <f t="shared" si="64"/>
        <v>Night</v>
      </c>
      <c r="AO1070" t="str">
        <f t="shared" si="65"/>
        <v>Peak</v>
      </c>
      <c r="AP1070" t="str">
        <f t="shared" si="66"/>
        <v>Medium</v>
      </c>
      <c r="AQ1070" t="str">
        <f t="shared" si="67"/>
        <v>High</v>
      </c>
    </row>
    <row r="1071" spans="1:43" x14ac:dyDescent="0.3">
      <c r="A1071">
        <v>1070</v>
      </c>
      <c r="B1071" t="s">
        <v>7</v>
      </c>
      <c r="C1071" t="s">
        <v>8</v>
      </c>
      <c r="D1071" s="1">
        <v>46246</v>
      </c>
      <c r="E1071" t="s">
        <v>18</v>
      </c>
      <c r="F1071">
        <v>0</v>
      </c>
      <c r="G1071">
        <v>13</v>
      </c>
      <c r="H1071" t="s">
        <v>10</v>
      </c>
      <c r="I1071" t="s">
        <v>28</v>
      </c>
      <c r="J1071">
        <v>1.03</v>
      </c>
      <c r="K1071" t="s">
        <v>34</v>
      </c>
      <c r="L1071">
        <v>1</v>
      </c>
      <c r="M1071">
        <v>4.97</v>
      </c>
      <c r="N1071">
        <v>107</v>
      </c>
      <c r="O1071" t="s">
        <v>13</v>
      </c>
      <c r="P1071">
        <v>37</v>
      </c>
      <c r="Q1071">
        <v>1.65</v>
      </c>
      <c r="R1071">
        <v>30.1</v>
      </c>
      <c r="S1071">
        <v>61.6</v>
      </c>
      <c r="T1071">
        <v>100</v>
      </c>
      <c r="U1071">
        <v>1</v>
      </c>
      <c r="V1071">
        <v>0</v>
      </c>
      <c r="W1071">
        <v>161.6</v>
      </c>
      <c r="X1071">
        <v>46.3</v>
      </c>
      <c r="Y1071">
        <v>107.68</v>
      </c>
      <c r="Z1071">
        <v>3.84</v>
      </c>
      <c r="AA1071">
        <v>3.26</v>
      </c>
      <c r="AB1071">
        <v>154.5</v>
      </c>
      <c r="AC1071">
        <v>307.97342192691025</v>
      </c>
      <c r="AD1071">
        <v>93.63636363636364</v>
      </c>
      <c r="AE1071">
        <v>87.02</v>
      </c>
      <c r="AF1071">
        <v>15.61</v>
      </c>
      <c r="AG1071">
        <v>1</v>
      </c>
      <c r="AH1071">
        <v>7.14</v>
      </c>
      <c r="AI1071">
        <v>114.14</v>
      </c>
      <c r="AJ1071">
        <v>321.67</v>
      </c>
      <c r="AK1071">
        <v>89.78</v>
      </c>
      <c r="AL1071" t="s">
        <v>14</v>
      </c>
      <c r="AM1071" t="s">
        <v>15</v>
      </c>
      <c r="AN1071" t="str">
        <f t="shared" si="64"/>
        <v>Afternoon</v>
      </c>
      <c r="AO1071" t="str">
        <f t="shared" si="65"/>
        <v>Off-Peak</v>
      </c>
      <c r="AP1071" t="str">
        <f t="shared" si="66"/>
        <v>High</v>
      </c>
      <c r="AQ1071" t="str">
        <f t="shared" si="67"/>
        <v>High</v>
      </c>
    </row>
    <row r="1072" spans="1:43" x14ac:dyDescent="0.3">
      <c r="A1072">
        <v>1071</v>
      </c>
      <c r="B1072" t="s">
        <v>25</v>
      </c>
      <c r="C1072" t="s">
        <v>17</v>
      </c>
      <c r="D1072" s="1">
        <v>46080</v>
      </c>
      <c r="E1072" t="s">
        <v>9</v>
      </c>
      <c r="F1072">
        <v>0</v>
      </c>
      <c r="G1072">
        <v>8</v>
      </c>
      <c r="H1072" t="s">
        <v>27</v>
      </c>
      <c r="I1072" t="s">
        <v>50</v>
      </c>
      <c r="J1072">
        <v>1.2</v>
      </c>
      <c r="K1072" t="s">
        <v>12</v>
      </c>
      <c r="L1072">
        <v>0</v>
      </c>
      <c r="M1072">
        <v>4.5</v>
      </c>
      <c r="N1072">
        <v>78</v>
      </c>
      <c r="O1072" t="s">
        <v>13</v>
      </c>
      <c r="P1072">
        <v>10</v>
      </c>
      <c r="Q1072">
        <v>1.33</v>
      </c>
      <c r="R1072">
        <v>34.1</v>
      </c>
      <c r="S1072">
        <v>88.59</v>
      </c>
      <c r="T1072">
        <v>76.36</v>
      </c>
      <c r="U1072">
        <v>1.37</v>
      </c>
      <c r="V1072">
        <v>32.78</v>
      </c>
      <c r="W1072">
        <v>197.73</v>
      </c>
      <c r="X1072">
        <v>49.6</v>
      </c>
      <c r="Y1072">
        <v>107.94</v>
      </c>
      <c r="Z1072">
        <v>2.9</v>
      </c>
      <c r="AA1072">
        <v>4.3</v>
      </c>
      <c r="AB1072">
        <v>190.53</v>
      </c>
      <c r="AC1072">
        <v>335.2434017595308</v>
      </c>
      <c r="AD1072">
        <v>143.25563909774436</v>
      </c>
      <c r="AE1072">
        <v>73.680000000000007</v>
      </c>
      <c r="AF1072">
        <v>17.38</v>
      </c>
      <c r="AG1072">
        <v>1</v>
      </c>
      <c r="AH1072">
        <v>11.48</v>
      </c>
      <c r="AI1072">
        <v>89.48</v>
      </c>
      <c r="AJ1072">
        <v>332.97</v>
      </c>
      <c r="AK1072">
        <v>72.599999999999994</v>
      </c>
      <c r="AL1072" t="s">
        <v>23</v>
      </c>
      <c r="AM1072" t="s">
        <v>24</v>
      </c>
      <c r="AN1072" t="str">
        <f t="shared" si="64"/>
        <v>Morning</v>
      </c>
      <c r="AO1072" t="str">
        <f t="shared" si="65"/>
        <v>Peak</v>
      </c>
      <c r="AP1072" t="str">
        <f t="shared" si="66"/>
        <v>High</v>
      </c>
      <c r="AQ1072" t="str">
        <f t="shared" si="67"/>
        <v>High</v>
      </c>
    </row>
    <row r="1073" spans="1:43" x14ac:dyDescent="0.3">
      <c r="A1073">
        <v>1072</v>
      </c>
      <c r="B1073" t="s">
        <v>14</v>
      </c>
      <c r="C1073" t="s">
        <v>8</v>
      </c>
      <c r="D1073" s="1">
        <v>46215</v>
      </c>
      <c r="E1073" t="s">
        <v>26</v>
      </c>
      <c r="F1073">
        <v>1</v>
      </c>
      <c r="G1073">
        <v>18</v>
      </c>
      <c r="H1073" t="s">
        <v>51</v>
      </c>
      <c r="I1073" t="s">
        <v>50</v>
      </c>
      <c r="J1073">
        <v>1.2</v>
      </c>
      <c r="K1073" t="s">
        <v>12</v>
      </c>
      <c r="L1073">
        <v>0</v>
      </c>
      <c r="M1073">
        <v>5</v>
      </c>
      <c r="N1073">
        <v>80</v>
      </c>
      <c r="O1073" t="s">
        <v>13</v>
      </c>
      <c r="P1073">
        <v>28</v>
      </c>
      <c r="Q1073">
        <v>3.7</v>
      </c>
      <c r="R1073">
        <v>41.7</v>
      </c>
      <c r="S1073">
        <v>88.91</v>
      </c>
      <c r="T1073">
        <v>99</v>
      </c>
      <c r="U1073">
        <v>1</v>
      </c>
      <c r="V1073">
        <v>0</v>
      </c>
      <c r="W1073">
        <v>187.91</v>
      </c>
      <c r="X1073">
        <v>35.299999999999997</v>
      </c>
      <c r="Y1073">
        <v>109.97</v>
      </c>
      <c r="Z1073">
        <v>11.54</v>
      </c>
      <c r="AA1073">
        <v>7.38</v>
      </c>
      <c r="AB1073">
        <v>168.99</v>
      </c>
      <c r="AC1073">
        <v>243.15107913669064</v>
      </c>
      <c r="AD1073">
        <v>45.672972972972971</v>
      </c>
      <c r="AE1073">
        <v>78.08</v>
      </c>
      <c r="AF1073">
        <v>18.72</v>
      </c>
      <c r="AG1073">
        <v>1</v>
      </c>
      <c r="AH1073">
        <v>8.82</v>
      </c>
      <c r="AI1073">
        <v>88.82</v>
      </c>
      <c r="AJ1073">
        <v>263.14</v>
      </c>
      <c r="AK1073">
        <v>71.73</v>
      </c>
      <c r="AL1073" t="s">
        <v>14</v>
      </c>
      <c r="AM1073" t="s">
        <v>15</v>
      </c>
      <c r="AN1073" t="str">
        <f t="shared" si="64"/>
        <v>Night</v>
      </c>
      <c r="AO1073" t="str">
        <f t="shared" si="65"/>
        <v>Peak</v>
      </c>
      <c r="AP1073" t="str">
        <f t="shared" si="66"/>
        <v>Medium</v>
      </c>
      <c r="AQ1073" t="str">
        <f t="shared" si="67"/>
        <v>High</v>
      </c>
    </row>
    <row r="1074" spans="1:43" x14ac:dyDescent="0.3">
      <c r="A1074">
        <v>1073</v>
      </c>
      <c r="B1074" t="s">
        <v>16</v>
      </c>
      <c r="C1074" t="s">
        <v>17</v>
      </c>
      <c r="D1074" s="1">
        <v>46212</v>
      </c>
      <c r="E1074" t="s">
        <v>41</v>
      </c>
      <c r="F1074">
        <v>0</v>
      </c>
      <c r="G1074">
        <v>10</v>
      </c>
      <c r="H1074" t="s">
        <v>19</v>
      </c>
      <c r="I1074" t="s">
        <v>42</v>
      </c>
      <c r="J1074">
        <v>1.08</v>
      </c>
      <c r="K1074" t="s">
        <v>12</v>
      </c>
      <c r="L1074">
        <v>0</v>
      </c>
      <c r="M1074">
        <v>1.63</v>
      </c>
      <c r="N1074">
        <v>15</v>
      </c>
      <c r="O1074" t="s">
        <v>22</v>
      </c>
      <c r="P1074">
        <v>3</v>
      </c>
      <c r="Q1074">
        <v>5.97</v>
      </c>
      <c r="R1074">
        <v>33.799999999999997</v>
      </c>
      <c r="S1074">
        <v>116.19</v>
      </c>
      <c r="T1074">
        <v>15.06</v>
      </c>
      <c r="U1074">
        <v>1.05</v>
      </c>
      <c r="V1074">
        <v>5.81</v>
      </c>
      <c r="W1074">
        <v>137.06</v>
      </c>
      <c r="X1074">
        <v>44.3</v>
      </c>
      <c r="Y1074">
        <v>109.35</v>
      </c>
      <c r="Z1074">
        <v>14.75</v>
      </c>
      <c r="AA1074">
        <v>9.82</v>
      </c>
      <c r="AB1074">
        <v>112.49</v>
      </c>
      <c r="AC1074">
        <v>199.68639053254441</v>
      </c>
      <c r="AD1074">
        <v>18.842546063651593</v>
      </c>
      <c r="AE1074">
        <v>77.790000000000006</v>
      </c>
      <c r="AF1074">
        <v>17.52</v>
      </c>
      <c r="AG1074">
        <v>0</v>
      </c>
      <c r="AH1074">
        <v>-2.5499999999999998</v>
      </c>
      <c r="AI1074">
        <v>12.45</v>
      </c>
      <c r="AJ1074">
        <v>195.47</v>
      </c>
      <c r="AK1074">
        <v>69.19</v>
      </c>
      <c r="AL1074" t="s">
        <v>23</v>
      </c>
      <c r="AM1074" t="s">
        <v>24</v>
      </c>
      <c r="AN1074" t="str">
        <f t="shared" si="64"/>
        <v>Morning</v>
      </c>
      <c r="AO1074" t="str">
        <f t="shared" si="65"/>
        <v>Peak</v>
      </c>
      <c r="AP1074" t="str">
        <f t="shared" si="66"/>
        <v>Medium</v>
      </c>
      <c r="AQ1074" t="str">
        <f t="shared" si="67"/>
        <v>Low</v>
      </c>
    </row>
    <row r="1075" spans="1:43" x14ac:dyDescent="0.3">
      <c r="A1075">
        <v>1074</v>
      </c>
      <c r="B1075" t="s">
        <v>29</v>
      </c>
      <c r="C1075" t="s">
        <v>30</v>
      </c>
      <c r="D1075" s="1">
        <v>46251</v>
      </c>
      <c r="E1075" t="s">
        <v>38</v>
      </c>
      <c r="F1075">
        <v>0</v>
      </c>
      <c r="G1075">
        <v>20</v>
      </c>
      <c r="H1075" t="s">
        <v>32</v>
      </c>
      <c r="I1075" t="s">
        <v>20</v>
      </c>
      <c r="J1075">
        <v>1.25</v>
      </c>
      <c r="K1075" t="s">
        <v>12</v>
      </c>
      <c r="L1075">
        <v>0</v>
      </c>
      <c r="M1075">
        <v>3.73</v>
      </c>
      <c r="N1075">
        <v>89</v>
      </c>
      <c r="O1075" t="s">
        <v>13</v>
      </c>
      <c r="P1075">
        <v>17</v>
      </c>
      <c r="Q1075">
        <v>2.82</v>
      </c>
      <c r="R1075">
        <v>45.8</v>
      </c>
      <c r="S1075">
        <v>79.13</v>
      </c>
      <c r="T1075">
        <v>100</v>
      </c>
      <c r="U1075">
        <v>1</v>
      </c>
      <c r="V1075">
        <v>0</v>
      </c>
      <c r="W1075">
        <v>179.13</v>
      </c>
      <c r="X1075">
        <v>36.700000000000003</v>
      </c>
      <c r="Y1075">
        <v>104.35</v>
      </c>
      <c r="Z1075">
        <v>8.02</v>
      </c>
      <c r="AA1075">
        <v>6.19</v>
      </c>
      <c r="AB1075">
        <v>164.92</v>
      </c>
      <c r="AC1075">
        <v>216.05240174672488</v>
      </c>
      <c r="AD1075">
        <v>58.4822695035461</v>
      </c>
      <c r="AE1075">
        <v>85.82</v>
      </c>
      <c r="AF1075">
        <v>14.57</v>
      </c>
      <c r="AG1075">
        <v>1</v>
      </c>
      <c r="AH1075">
        <v>-4.67</v>
      </c>
      <c r="AI1075">
        <v>84.33</v>
      </c>
      <c r="AJ1075">
        <v>200.97</v>
      </c>
      <c r="AK1075">
        <v>77.989999999999995</v>
      </c>
      <c r="AL1075" t="s">
        <v>14</v>
      </c>
      <c r="AM1075" t="s">
        <v>15</v>
      </c>
      <c r="AN1075" t="str">
        <f t="shared" si="64"/>
        <v>Night</v>
      </c>
      <c r="AO1075" t="str">
        <f t="shared" si="65"/>
        <v>Peak</v>
      </c>
      <c r="AP1075" t="str">
        <f t="shared" si="66"/>
        <v>Medium</v>
      </c>
      <c r="AQ1075" t="str">
        <f t="shared" si="67"/>
        <v>High</v>
      </c>
    </row>
    <row r="1076" spans="1:43" x14ac:dyDescent="0.3">
      <c r="A1076">
        <v>1075</v>
      </c>
      <c r="B1076" t="s">
        <v>29</v>
      </c>
      <c r="C1076" t="s">
        <v>30</v>
      </c>
      <c r="D1076" s="1">
        <v>46099</v>
      </c>
      <c r="E1076" t="s">
        <v>18</v>
      </c>
      <c r="F1076">
        <v>0</v>
      </c>
      <c r="G1076">
        <v>20</v>
      </c>
      <c r="H1076" t="s">
        <v>32</v>
      </c>
      <c r="I1076" t="s">
        <v>46</v>
      </c>
      <c r="J1076">
        <v>1.1499999999999999</v>
      </c>
      <c r="K1076" t="s">
        <v>12</v>
      </c>
      <c r="L1076">
        <v>0</v>
      </c>
      <c r="M1076">
        <v>4.78</v>
      </c>
      <c r="N1076">
        <v>84</v>
      </c>
      <c r="O1076" t="s">
        <v>13</v>
      </c>
      <c r="P1076">
        <v>26</v>
      </c>
      <c r="Q1076">
        <v>15</v>
      </c>
      <c r="R1076">
        <v>89.6</v>
      </c>
      <c r="S1076">
        <v>173.58</v>
      </c>
      <c r="T1076">
        <v>90.75</v>
      </c>
      <c r="U1076">
        <v>1</v>
      </c>
      <c r="V1076">
        <v>0</v>
      </c>
      <c r="W1076">
        <v>264.33</v>
      </c>
      <c r="X1076">
        <v>48.7</v>
      </c>
      <c r="Y1076">
        <v>101.33</v>
      </c>
      <c r="Z1076">
        <v>31.24</v>
      </c>
      <c r="AA1076">
        <v>5.83</v>
      </c>
      <c r="AB1076">
        <v>227.26</v>
      </c>
      <c r="AC1076">
        <v>152.18303571428572</v>
      </c>
      <c r="AD1076">
        <v>15.150666666666666</v>
      </c>
      <c r="AE1076">
        <v>78.099999999999994</v>
      </c>
      <c r="AF1076">
        <v>15.7</v>
      </c>
      <c r="AG1076">
        <v>1</v>
      </c>
      <c r="AH1076">
        <v>33.700000000000003</v>
      </c>
      <c r="AI1076">
        <v>117.7</v>
      </c>
      <c r="AJ1076">
        <v>157.24</v>
      </c>
      <c r="AK1076">
        <v>60</v>
      </c>
      <c r="AL1076" t="s">
        <v>14</v>
      </c>
      <c r="AM1076" t="s">
        <v>15</v>
      </c>
      <c r="AN1076" t="str">
        <f t="shared" si="64"/>
        <v>Night</v>
      </c>
      <c r="AO1076" t="str">
        <f t="shared" si="65"/>
        <v>Peak</v>
      </c>
      <c r="AP1076" t="str">
        <f t="shared" si="66"/>
        <v>Medium</v>
      </c>
      <c r="AQ1076" t="str">
        <f t="shared" si="67"/>
        <v>High</v>
      </c>
    </row>
    <row r="1077" spans="1:43" x14ac:dyDescent="0.3">
      <c r="A1077">
        <v>1076</v>
      </c>
      <c r="B1077" t="s">
        <v>14</v>
      </c>
      <c r="C1077" t="s">
        <v>8</v>
      </c>
      <c r="D1077" s="1">
        <v>46078</v>
      </c>
      <c r="E1077" t="s">
        <v>18</v>
      </c>
      <c r="F1077">
        <v>0</v>
      </c>
      <c r="G1077">
        <v>12</v>
      </c>
      <c r="H1077" t="s">
        <v>10</v>
      </c>
      <c r="I1077" t="s">
        <v>20</v>
      </c>
      <c r="J1077">
        <v>1.25</v>
      </c>
      <c r="K1077" t="s">
        <v>12</v>
      </c>
      <c r="L1077">
        <v>0</v>
      </c>
      <c r="M1077">
        <v>5</v>
      </c>
      <c r="N1077">
        <v>73</v>
      </c>
      <c r="O1077" t="s">
        <v>13</v>
      </c>
      <c r="P1077">
        <v>35</v>
      </c>
      <c r="Q1077">
        <v>4.1900000000000004</v>
      </c>
      <c r="R1077">
        <v>45.9</v>
      </c>
      <c r="S1077">
        <v>80.25</v>
      </c>
      <c r="T1077">
        <v>83.29</v>
      </c>
      <c r="U1077">
        <v>1</v>
      </c>
      <c r="V1077">
        <v>0</v>
      </c>
      <c r="W1077">
        <v>163.54</v>
      </c>
      <c r="X1077">
        <v>49</v>
      </c>
      <c r="Y1077">
        <v>100.11</v>
      </c>
      <c r="Z1077">
        <v>8.5500000000000007</v>
      </c>
      <c r="AA1077">
        <v>8.51</v>
      </c>
      <c r="AB1077">
        <v>146.47999999999999</v>
      </c>
      <c r="AC1077">
        <v>191.47712418300651</v>
      </c>
      <c r="AD1077">
        <v>34.959427207637226</v>
      </c>
      <c r="AE1077">
        <v>73.31</v>
      </c>
      <c r="AF1077">
        <v>19.739999999999998</v>
      </c>
      <c r="AG1077">
        <v>1</v>
      </c>
      <c r="AH1077">
        <v>-5.35</v>
      </c>
      <c r="AI1077">
        <v>67.650000000000006</v>
      </c>
      <c r="AJ1077">
        <v>202.54</v>
      </c>
      <c r="AK1077">
        <v>74.2</v>
      </c>
      <c r="AL1077" t="s">
        <v>14</v>
      </c>
      <c r="AM1077" t="s">
        <v>15</v>
      </c>
      <c r="AN1077" t="str">
        <f t="shared" si="64"/>
        <v>Afternoon</v>
      </c>
      <c r="AO1077" t="str">
        <f t="shared" si="65"/>
        <v>Off-Peak</v>
      </c>
      <c r="AP1077" t="str">
        <f t="shared" si="66"/>
        <v>Medium</v>
      </c>
      <c r="AQ1077" t="str">
        <f t="shared" si="67"/>
        <v>High</v>
      </c>
    </row>
    <row r="1078" spans="1:43" x14ac:dyDescent="0.3">
      <c r="A1078">
        <v>1077</v>
      </c>
      <c r="B1078" t="s">
        <v>25</v>
      </c>
      <c r="C1078" t="s">
        <v>17</v>
      </c>
      <c r="D1078" s="1">
        <v>46164</v>
      </c>
      <c r="E1078" t="s">
        <v>9</v>
      </c>
      <c r="F1078">
        <v>0</v>
      </c>
      <c r="G1078">
        <v>15</v>
      </c>
      <c r="H1078" t="s">
        <v>19</v>
      </c>
      <c r="I1078" t="s">
        <v>42</v>
      </c>
      <c r="J1078">
        <v>1.08</v>
      </c>
      <c r="K1078" t="s">
        <v>21</v>
      </c>
      <c r="L1078">
        <v>0</v>
      </c>
      <c r="M1078">
        <v>3.19</v>
      </c>
      <c r="N1078">
        <v>18</v>
      </c>
      <c r="O1078" t="s">
        <v>22</v>
      </c>
      <c r="P1078">
        <v>4</v>
      </c>
      <c r="Q1078">
        <v>2.2999999999999998</v>
      </c>
      <c r="R1078">
        <v>30.1</v>
      </c>
      <c r="S1078">
        <v>92.65</v>
      </c>
      <c r="T1078">
        <v>7.31</v>
      </c>
      <c r="U1078">
        <v>1.05</v>
      </c>
      <c r="V1078">
        <v>4.63</v>
      </c>
      <c r="W1078">
        <v>104.59</v>
      </c>
      <c r="X1078">
        <v>39.5</v>
      </c>
      <c r="Y1078">
        <v>105.32</v>
      </c>
      <c r="Z1078">
        <v>6.14</v>
      </c>
      <c r="AA1078">
        <v>3.57</v>
      </c>
      <c r="AB1078">
        <v>94.88</v>
      </c>
      <c r="AC1078">
        <v>189.12956810631226</v>
      </c>
      <c r="AD1078">
        <v>41.252173913043478</v>
      </c>
      <c r="AE1078">
        <v>86.11</v>
      </c>
      <c r="AF1078">
        <v>19.100000000000001</v>
      </c>
      <c r="AG1078">
        <v>0</v>
      </c>
      <c r="AH1078">
        <v>-16.38</v>
      </c>
      <c r="AI1078">
        <v>5</v>
      </c>
      <c r="AJ1078">
        <v>176.89</v>
      </c>
      <c r="AK1078">
        <v>65.52</v>
      </c>
      <c r="AL1078" t="s">
        <v>23</v>
      </c>
      <c r="AM1078" t="s">
        <v>24</v>
      </c>
      <c r="AN1078" t="str">
        <f t="shared" si="64"/>
        <v>Evening</v>
      </c>
      <c r="AO1078" t="str">
        <f t="shared" si="65"/>
        <v>Off-Peak</v>
      </c>
      <c r="AP1078" t="str">
        <f t="shared" si="66"/>
        <v>Medium</v>
      </c>
      <c r="AQ1078" t="str">
        <f t="shared" si="67"/>
        <v>Low</v>
      </c>
    </row>
    <row r="1079" spans="1:43" x14ac:dyDescent="0.3">
      <c r="A1079">
        <v>1078</v>
      </c>
      <c r="B1079" t="s">
        <v>14</v>
      </c>
      <c r="C1079" t="s">
        <v>8</v>
      </c>
      <c r="D1079" s="1">
        <v>46160</v>
      </c>
      <c r="E1079" t="s">
        <v>38</v>
      </c>
      <c r="F1079">
        <v>0</v>
      </c>
      <c r="G1079">
        <v>16</v>
      </c>
      <c r="H1079" t="s">
        <v>32</v>
      </c>
      <c r="I1079" t="s">
        <v>45</v>
      </c>
      <c r="J1079">
        <v>1</v>
      </c>
      <c r="K1079" t="s">
        <v>34</v>
      </c>
      <c r="L1079">
        <v>1</v>
      </c>
      <c r="M1079">
        <v>3.27</v>
      </c>
      <c r="N1079">
        <v>53</v>
      </c>
      <c r="O1079" t="s">
        <v>35</v>
      </c>
      <c r="P1079">
        <v>17</v>
      </c>
      <c r="Q1079">
        <v>2.52</v>
      </c>
      <c r="R1079">
        <v>36</v>
      </c>
      <c r="S1079">
        <v>58.1</v>
      </c>
      <c r="T1079">
        <v>49.09</v>
      </c>
      <c r="U1079">
        <v>1</v>
      </c>
      <c r="V1079">
        <v>0</v>
      </c>
      <c r="W1079">
        <v>107.19</v>
      </c>
      <c r="X1079">
        <v>47.4</v>
      </c>
      <c r="Y1079">
        <v>108.61</v>
      </c>
      <c r="Z1079">
        <v>5.78</v>
      </c>
      <c r="AA1079">
        <v>5.81</v>
      </c>
      <c r="AB1079">
        <v>95.6</v>
      </c>
      <c r="AC1079">
        <v>159.33333333333334</v>
      </c>
      <c r="AD1079">
        <v>37.936507936507937</v>
      </c>
      <c r="AE1079">
        <v>67.66</v>
      </c>
      <c r="AF1079">
        <v>14.16</v>
      </c>
      <c r="AG1079">
        <v>0</v>
      </c>
      <c r="AH1079">
        <v>-21.58</v>
      </c>
      <c r="AI1079">
        <v>31.42</v>
      </c>
      <c r="AJ1079">
        <v>162.69</v>
      </c>
      <c r="AK1079">
        <v>67.09</v>
      </c>
      <c r="AL1079" t="s">
        <v>14</v>
      </c>
      <c r="AM1079" t="s">
        <v>15</v>
      </c>
      <c r="AN1079" t="str">
        <f t="shared" si="64"/>
        <v>Evening</v>
      </c>
      <c r="AO1079" t="str">
        <f t="shared" si="65"/>
        <v>Off-Peak</v>
      </c>
      <c r="AP1079" t="str">
        <f t="shared" si="66"/>
        <v>Medium</v>
      </c>
      <c r="AQ1079" t="str">
        <f t="shared" si="67"/>
        <v>Medium</v>
      </c>
    </row>
    <row r="1080" spans="1:43" x14ac:dyDescent="0.3">
      <c r="A1080">
        <v>1079</v>
      </c>
      <c r="B1080" t="s">
        <v>48</v>
      </c>
      <c r="C1080" t="s">
        <v>30</v>
      </c>
      <c r="D1080" s="1">
        <v>46128</v>
      </c>
      <c r="E1080" t="s">
        <v>41</v>
      </c>
      <c r="F1080">
        <v>0</v>
      </c>
      <c r="G1080">
        <v>17</v>
      </c>
      <c r="H1080" t="s">
        <v>32</v>
      </c>
      <c r="I1080" t="s">
        <v>50</v>
      </c>
      <c r="J1080">
        <v>1.2</v>
      </c>
      <c r="K1080" t="s">
        <v>34</v>
      </c>
      <c r="L1080">
        <v>1</v>
      </c>
      <c r="M1080">
        <v>5</v>
      </c>
      <c r="N1080">
        <v>77</v>
      </c>
      <c r="O1080" t="s">
        <v>13</v>
      </c>
      <c r="P1080">
        <v>25</v>
      </c>
      <c r="Q1080">
        <v>11.75</v>
      </c>
      <c r="R1080">
        <v>83.2</v>
      </c>
      <c r="S1080">
        <v>159.22999999999999</v>
      </c>
      <c r="T1080">
        <v>88.07</v>
      </c>
      <c r="U1080">
        <v>1</v>
      </c>
      <c r="V1080">
        <v>0</v>
      </c>
      <c r="W1080">
        <v>247.3</v>
      </c>
      <c r="X1080">
        <v>44.5</v>
      </c>
      <c r="Y1080">
        <v>102.68</v>
      </c>
      <c r="Z1080">
        <v>27.14</v>
      </c>
      <c r="AA1080">
        <v>4.08</v>
      </c>
      <c r="AB1080">
        <v>216.08</v>
      </c>
      <c r="AC1080">
        <v>155.82692307692309</v>
      </c>
      <c r="AD1080">
        <v>18.389787234042554</v>
      </c>
      <c r="AE1080">
        <v>70.63</v>
      </c>
      <c r="AF1080">
        <v>14.79</v>
      </c>
      <c r="AG1080">
        <v>1</v>
      </c>
      <c r="AH1080">
        <v>-2.2999999999999998</v>
      </c>
      <c r="AI1080">
        <v>74.7</v>
      </c>
      <c r="AJ1080">
        <v>167.79</v>
      </c>
      <c r="AK1080">
        <v>75.52</v>
      </c>
      <c r="AL1080" t="s">
        <v>23</v>
      </c>
      <c r="AM1080" t="s">
        <v>24</v>
      </c>
      <c r="AN1080" t="str">
        <f t="shared" si="64"/>
        <v>Evening</v>
      </c>
      <c r="AO1080" t="str">
        <f t="shared" si="65"/>
        <v>Peak</v>
      </c>
      <c r="AP1080" t="str">
        <f t="shared" si="66"/>
        <v>Medium</v>
      </c>
      <c r="AQ1080" t="str">
        <f t="shared" si="67"/>
        <v>High</v>
      </c>
    </row>
    <row r="1081" spans="1:43" x14ac:dyDescent="0.3">
      <c r="A1081">
        <v>1080</v>
      </c>
      <c r="B1081" t="s">
        <v>16</v>
      </c>
      <c r="C1081" t="s">
        <v>17</v>
      </c>
      <c r="D1081" s="1">
        <v>46224</v>
      </c>
      <c r="E1081" t="s">
        <v>44</v>
      </c>
      <c r="F1081">
        <v>0</v>
      </c>
      <c r="G1081">
        <v>8</v>
      </c>
      <c r="H1081" t="s">
        <v>27</v>
      </c>
      <c r="I1081" t="s">
        <v>37</v>
      </c>
      <c r="J1081">
        <v>1.02</v>
      </c>
      <c r="K1081" t="s">
        <v>12</v>
      </c>
      <c r="L1081">
        <v>0</v>
      </c>
      <c r="M1081">
        <v>4.79</v>
      </c>
      <c r="N1081">
        <v>72</v>
      </c>
      <c r="O1081" t="s">
        <v>13</v>
      </c>
      <c r="P1081">
        <v>11</v>
      </c>
      <c r="Q1081">
        <v>3.44</v>
      </c>
      <c r="R1081">
        <v>38.5</v>
      </c>
      <c r="S1081">
        <v>103.45</v>
      </c>
      <c r="T1081">
        <v>78.069999999999993</v>
      </c>
      <c r="U1081">
        <v>1.3</v>
      </c>
      <c r="V1081">
        <v>31.04</v>
      </c>
      <c r="W1081">
        <v>212.56</v>
      </c>
      <c r="X1081">
        <v>36.5</v>
      </c>
      <c r="Y1081">
        <v>101.99</v>
      </c>
      <c r="Z1081">
        <v>9.61</v>
      </c>
      <c r="AA1081">
        <v>8.52</v>
      </c>
      <c r="AB1081">
        <v>194.43</v>
      </c>
      <c r="AC1081">
        <v>303.00779220779219</v>
      </c>
      <c r="AD1081">
        <v>56.520348837209305</v>
      </c>
      <c r="AE1081">
        <v>67.14</v>
      </c>
      <c r="AF1081">
        <v>19.309999999999999</v>
      </c>
      <c r="AG1081">
        <v>1</v>
      </c>
      <c r="AH1081">
        <v>17.100000000000001</v>
      </c>
      <c r="AI1081">
        <v>89.1</v>
      </c>
      <c r="AJ1081">
        <v>309.95</v>
      </c>
      <c r="AK1081">
        <v>72.13</v>
      </c>
      <c r="AL1081" t="s">
        <v>23</v>
      </c>
      <c r="AM1081" t="s">
        <v>24</v>
      </c>
      <c r="AN1081" t="str">
        <f t="shared" si="64"/>
        <v>Morning</v>
      </c>
      <c r="AO1081" t="str">
        <f t="shared" si="65"/>
        <v>Peak</v>
      </c>
      <c r="AP1081" t="str">
        <f t="shared" si="66"/>
        <v>High</v>
      </c>
      <c r="AQ1081" t="str">
        <f t="shared" si="67"/>
        <v>High</v>
      </c>
    </row>
    <row r="1082" spans="1:43" x14ac:dyDescent="0.3">
      <c r="A1082">
        <v>1081</v>
      </c>
      <c r="B1082" t="s">
        <v>23</v>
      </c>
      <c r="C1082" t="s">
        <v>17</v>
      </c>
      <c r="D1082" s="1">
        <v>46229</v>
      </c>
      <c r="E1082" t="s">
        <v>26</v>
      </c>
      <c r="F1082">
        <v>1</v>
      </c>
      <c r="G1082">
        <v>12</v>
      </c>
      <c r="H1082" t="s">
        <v>19</v>
      </c>
      <c r="I1082" t="s">
        <v>33</v>
      </c>
      <c r="J1082">
        <v>1</v>
      </c>
      <c r="K1082" t="s">
        <v>12</v>
      </c>
      <c r="L1082">
        <v>0</v>
      </c>
      <c r="M1082">
        <v>2.71</v>
      </c>
      <c r="N1082">
        <v>69</v>
      </c>
      <c r="O1082" t="s">
        <v>35</v>
      </c>
      <c r="P1082">
        <v>17</v>
      </c>
      <c r="Q1082">
        <v>9.26</v>
      </c>
      <c r="R1082">
        <v>58.9</v>
      </c>
      <c r="S1082">
        <v>153.75</v>
      </c>
      <c r="T1082">
        <v>70.239999999999995</v>
      </c>
      <c r="U1082">
        <v>1.1000000000000001</v>
      </c>
      <c r="V1082">
        <v>15.38</v>
      </c>
      <c r="W1082">
        <v>239.37</v>
      </c>
      <c r="X1082">
        <v>44</v>
      </c>
      <c r="Y1082">
        <v>104.39</v>
      </c>
      <c r="Z1082">
        <v>21.94</v>
      </c>
      <c r="AA1082">
        <v>3.12</v>
      </c>
      <c r="AB1082">
        <v>214.31</v>
      </c>
      <c r="AC1082">
        <v>218.31239388794566</v>
      </c>
      <c r="AD1082">
        <v>23.143628509719225</v>
      </c>
      <c r="AE1082">
        <v>69.97</v>
      </c>
      <c r="AF1082">
        <v>10.57</v>
      </c>
      <c r="AG1082">
        <v>1</v>
      </c>
      <c r="AH1082">
        <v>-5.64</v>
      </c>
      <c r="AI1082">
        <v>63.36</v>
      </c>
      <c r="AJ1082">
        <v>236.94</v>
      </c>
      <c r="AK1082">
        <v>76.59</v>
      </c>
      <c r="AL1082" t="s">
        <v>14</v>
      </c>
      <c r="AM1082" t="s">
        <v>15</v>
      </c>
      <c r="AN1082" t="str">
        <f t="shared" si="64"/>
        <v>Afternoon</v>
      </c>
      <c r="AO1082" t="str">
        <f t="shared" si="65"/>
        <v>Off-Peak</v>
      </c>
      <c r="AP1082" t="str">
        <f t="shared" si="66"/>
        <v>Medium</v>
      </c>
      <c r="AQ1082" t="str">
        <f t="shared" si="67"/>
        <v>Medium</v>
      </c>
    </row>
    <row r="1083" spans="1:43" x14ac:dyDescent="0.3">
      <c r="A1083">
        <v>1082</v>
      </c>
      <c r="B1083" t="s">
        <v>23</v>
      </c>
      <c r="C1083" t="s">
        <v>17</v>
      </c>
      <c r="D1083" s="1">
        <v>46086</v>
      </c>
      <c r="E1083" t="s">
        <v>41</v>
      </c>
      <c r="F1083">
        <v>0</v>
      </c>
      <c r="G1083">
        <v>9</v>
      </c>
      <c r="H1083" t="s">
        <v>27</v>
      </c>
      <c r="I1083" t="s">
        <v>50</v>
      </c>
      <c r="J1083">
        <v>1.2</v>
      </c>
      <c r="K1083" t="s">
        <v>21</v>
      </c>
      <c r="L1083">
        <v>0</v>
      </c>
      <c r="M1083">
        <v>4.3600000000000003</v>
      </c>
      <c r="N1083">
        <v>74</v>
      </c>
      <c r="O1083" t="s">
        <v>13</v>
      </c>
      <c r="P1083">
        <v>16</v>
      </c>
      <c r="Q1083">
        <v>1</v>
      </c>
      <c r="R1083">
        <v>28.8</v>
      </c>
      <c r="S1083">
        <v>64.900000000000006</v>
      </c>
      <c r="T1083">
        <v>86.87</v>
      </c>
      <c r="U1083">
        <v>1.18</v>
      </c>
      <c r="V1083">
        <v>11.68</v>
      </c>
      <c r="W1083">
        <v>163.44999999999999</v>
      </c>
      <c r="X1083">
        <v>49.6</v>
      </c>
      <c r="Y1083">
        <v>108.94</v>
      </c>
      <c r="Z1083">
        <v>2.19</v>
      </c>
      <c r="AA1083">
        <v>6.48</v>
      </c>
      <c r="AB1083">
        <v>154.78</v>
      </c>
      <c r="AC1083">
        <v>322.45833333333331</v>
      </c>
      <c r="AD1083">
        <v>154.78</v>
      </c>
      <c r="AE1083">
        <v>87.9</v>
      </c>
      <c r="AF1083">
        <v>12.77</v>
      </c>
      <c r="AG1083">
        <v>1</v>
      </c>
      <c r="AH1083">
        <v>25.16</v>
      </c>
      <c r="AI1083">
        <v>99.16</v>
      </c>
      <c r="AJ1083">
        <v>310.54000000000002</v>
      </c>
      <c r="AK1083">
        <v>71.900000000000006</v>
      </c>
      <c r="AL1083" t="s">
        <v>23</v>
      </c>
      <c r="AM1083" t="s">
        <v>24</v>
      </c>
      <c r="AN1083" t="str">
        <f t="shared" si="64"/>
        <v>Morning</v>
      </c>
      <c r="AO1083" t="str">
        <f t="shared" si="65"/>
        <v>Peak</v>
      </c>
      <c r="AP1083" t="str">
        <f t="shared" si="66"/>
        <v>High</v>
      </c>
      <c r="AQ1083" t="str">
        <f t="shared" si="67"/>
        <v>High</v>
      </c>
    </row>
    <row r="1084" spans="1:43" x14ac:dyDescent="0.3">
      <c r="A1084">
        <v>1083</v>
      </c>
      <c r="B1084" t="s">
        <v>23</v>
      </c>
      <c r="C1084" t="s">
        <v>17</v>
      </c>
      <c r="D1084" s="1">
        <v>46228</v>
      </c>
      <c r="E1084" t="s">
        <v>31</v>
      </c>
      <c r="F1084">
        <v>1</v>
      </c>
      <c r="G1084">
        <v>18</v>
      </c>
      <c r="H1084" t="s">
        <v>40</v>
      </c>
      <c r="I1084" t="s">
        <v>50</v>
      </c>
      <c r="J1084">
        <v>1.2</v>
      </c>
      <c r="K1084" t="s">
        <v>21</v>
      </c>
      <c r="L1084">
        <v>0</v>
      </c>
      <c r="M1084">
        <v>5</v>
      </c>
      <c r="N1084">
        <v>82</v>
      </c>
      <c r="O1084" t="s">
        <v>13</v>
      </c>
      <c r="P1084">
        <v>10</v>
      </c>
      <c r="Q1084">
        <v>7.72</v>
      </c>
      <c r="R1084">
        <v>66.5</v>
      </c>
      <c r="S1084">
        <v>131.04</v>
      </c>
      <c r="T1084">
        <v>100</v>
      </c>
      <c r="U1084">
        <v>1.3</v>
      </c>
      <c r="V1084">
        <v>39.31</v>
      </c>
      <c r="W1084">
        <v>270.35000000000002</v>
      </c>
      <c r="X1084">
        <v>39.6</v>
      </c>
      <c r="Y1084">
        <v>104.52</v>
      </c>
      <c r="Z1084">
        <v>20.37</v>
      </c>
      <c r="AA1084">
        <v>7.96</v>
      </c>
      <c r="AB1084">
        <v>242.02</v>
      </c>
      <c r="AC1084">
        <v>218.36390977443608</v>
      </c>
      <c r="AD1084">
        <v>31.34974093264249</v>
      </c>
      <c r="AE1084">
        <v>88.81</v>
      </c>
      <c r="AF1084">
        <v>16.29</v>
      </c>
      <c r="AG1084">
        <v>1</v>
      </c>
      <c r="AH1084">
        <v>2.89</v>
      </c>
      <c r="AI1084">
        <v>84.89</v>
      </c>
      <c r="AJ1084">
        <v>256.87</v>
      </c>
      <c r="AK1084">
        <v>76.58</v>
      </c>
      <c r="AL1084" t="s">
        <v>23</v>
      </c>
      <c r="AM1084" t="s">
        <v>24</v>
      </c>
      <c r="AN1084" t="str">
        <f t="shared" si="64"/>
        <v>Night</v>
      </c>
      <c r="AO1084" t="str">
        <f t="shared" si="65"/>
        <v>Peak</v>
      </c>
      <c r="AP1084" t="str">
        <f t="shared" si="66"/>
        <v>Medium</v>
      </c>
      <c r="AQ1084" t="str">
        <f t="shared" si="67"/>
        <v>High</v>
      </c>
    </row>
    <row r="1085" spans="1:43" x14ac:dyDescent="0.3">
      <c r="A1085">
        <v>1084</v>
      </c>
      <c r="B1085" t="s">
        <v>29</v>
      </c>
      <c r="C1085" t="s">
        <v>30</v>
      </c>
      <c r="D1085" s="1">
        <v>46082</v>
      </c>
      <c r="E1085" t="s">
        <v>26</v>
      </c>
      <c r="F1085">
        <v>1</v>
      </c>
      <c r="G1085">
        <v>8</v>
      </c>
      <c r="H1085" t="s">
        <v>47</v>
      </c>
      <c r="I1085" t="s">
        <v>33</v>
      </c>
      <c r="J1085">
        <v>1</v>
      </c>
      <c r="K1085" t="s">
        <v>12</v>
      </c>
      <c r="L1085">
        <v>0</v>
      </c>
      <c r="M1085">
        <v>4.51</v>
      </c>
      <c r="N1085">
        <v>47</v>
      </c>
      <c r="O1085" t="s">
        <v>35</v>
      </c>
      <c r="P1085">
        <v>15</v>
      </c>
      <c r="Q1085">
        <v>1.94</v>
      </c>
      <c r="R1085">
        <v>28.9</v>
      </c>
      <c r="S1085">
        <v>65.319999999999993</v>
      </c>
      <c r="T1085">
        <v>56.75</v>
      </c>
      <c r="U1085">
        <v>1</v>
      </c>
      <c r="V1085">
        <v>0</v>
      </c>
      <c r="W1085">
        <v>122.07</v>
      </c>
      <c r="X1085">
        <v>35</v>
      </c>
      <c r="Y1085">
        <v>107.23</v>
      </c>
      <c r="Z1085">
        <v>5.94</v>
      </c>
      <c r="AA1085">
        <v>10.34</v>
      </c>
      <c r="AB1085">
        <v>105.79</v>
      </c>
      <c r="AC1085">
        <v>219.63321799307963</v>
      </c>
      <c r="AD1085">
        <v>54.53092783505155</v>
      </c>
      <c r="AE1085">
        <v>75.17</v>
      </c>
      <c r="AF1085">
        <v>17.329999999999998</v>
      </c>
      <c r="AG1085">
        <v>1</v>
      </c>
      <c r="AH1085">
        <v>19.64</v>
      </c>
      <c r="AI1085">
        <v>66.64</v>
      </c>
      <c r="AJ1085">
        <v>218.86</v>
      </c>
      <c r="AK1085">
        <v>70.69</v>
      </c>
      <c r="AL1085" t="s">
        <v>23</v>
      </c>
      <c r="AM1085" t="s">
        <v>24</v>
      </c>
      <c r="AN1085" t="str">
        <f t="shared" si="64"/>
        <v>Morning</v>
      </c>
      <c r="AO1085" t="str">
        <f t="shared" si="65"/>
        <v>Peak</v>
      </c>
      <c r="AP1085" t="str">
        <f t="shared" si="66"/>
        <v>Medium</v>
      </c>
      <c r="AQ1085" t="str">
        <f t="shared" si="67"/>
        <v>Medium</v>
      </c>
    </row>
    <row r="1086" spans="1:43" x14ac:dyDescent="0.3">
      <c r="A1086">
        <v>1085</v>
      </c>
      <c r="B1086" t="s">
        <v>14</v>
      </c>
      <c r="C1086" t="s">
        <v>8</v>
      </c>
      <c r="D1086" s="1">
        <v>46128</v>
      </c>
      <c r="E1086" t="s">
        <v>41</v>
      </c>
      <c r="F1086">
        <v>0</v>
      </c>
      <c r="G1086">
        <v>15</v>
      </c>
      <c r="H1086" t="s">
        <v>32</v>
      </c>
      <c r="I1086" t="s">
        <v>37</v>
      </c>
      <c r="J1086">
        <v>1.02</v>
      </c>
      <c r="K1086" t="s">
        <v>21</v>
      </c>
      <c r="L1086">
        <v>0</v>
      </c>
      <c r="M1086">
        <v>3.59</v>
      </c>
      <c r="N1086">
        <v>17</v>
      </c>
      <c r="O1086" t="s">
        <v>22</v>
      </c>
      <c r="P1086">
        <v>7</v>
      </c>
      <c r="Q1086">
        <v>6.45</v>
      </c>
      <c r="R1086">
        <v>61.5</v>
      </c>
      <c r="S1086">
        <v>98.26</v>
      </c>
      <c r="T1086">
        <v>31.74</v>
      </c>
      <c r="U1086">
        <v>1</v>
      </c>
      <c r="V1086">
        <v>0</v>
      </c>
      <c r="W1086">
        <v>130</v>
      </c>
      <c r="X1086">
        <v>49.7</v>
      </c>
      <c r="Y1086">
        <v>104.63</v>
      </c>
      <c r="Z1086">
        <v>13.6</v>
      </c>
      <c r="AA1086">
        <v>9.25</v>
      </c>
      <c r="AB1086">
        <v>107.15</v>
      </c>
      <c r="AC1086">
        <v>104.53658536585367</v>
      </c>
      <c r="AD1086">
        <v>16.612403100775193</v>
      </c>
      <c r="AE1086">
        <v>77.33</v>
      </c>
      <c r="AF1086">
        <v>14.68</v>
      </c>
      <c r="AG1086">
        <v>0</v>
      </c>
      <c r="AH1086">
        <v>-8.3699999999999992</v>
      </c>
      <c r="AI1086">
        <v>8.6300000000000008</v>
      </c>
      <c r="AJ1086">
        <v>113.22</v>
      </c>
      <c r="AK1086">
        <v>62.84</v>
      </c>
      <c r="AL1086" t="s">
        <v>14</v>
      </c>
      <c r="AM1086" t="s">
        <v>15</v>
      </c>
      <c r="AN1086" t="str">
        <f t="shared" si="64"/>
        <v>Evening</v>
      </c>
      <c r="AO1086" t="str">
        <f t="shared" si="65"/>
        <v>Off-Peak</v>
      </c>
      <c r="AP1086" t="str">
        <f t="shared" si="66"/>
        <v>Low</v>
      </c>
      <c r="AQ1086" t="str">
        <f t="shared" si="67"/>
        <v>Low</v>
      </c>
    </row>
    <row r="1087" spans="1:43" x14ac:dyDescent="0.3">
      <c r="A1087">
        <v>1086</v>
      </c>
      <c r="B1087" t="s">
        <v>16</v>
      </c>
      <c r="C1087" t="s">
        <v>17</v>
      </c>
      <c r="D1087" s="1">
        <v>46030</v>
      </c>
      <c r="E1087" t="s">
        <v>41</v>
      </c>
      <c r="F1087">
        <v>0</v>
      </c>
      <c r="G1087">
        <v>18</v>
      </c>
      <c r="H1087" t="s">
        <v>40</v>
      </c>
      <c r="I1087" t="s">
        <v>11</v>
      </c>
      <c r="J1087">
        <v>1.18</v>
      </c>
      <c r="K1087" t="s">
        <v>21</v>
      </c>
      <c r="L1087">
        <v>0</v>
      </c>
      <c r="M1087">
        <v>4.1399999999999997</v>
      </c>
      <c r="N1087">
        <v>54</v>
      </c>
      <c r="O1087" t="s">
        <v>35</v>
      </c>
      <c r="P1087">
        <v>10</v>
      </c>
      <c r="Q1087">
        <v>1.93</v>
      </c>
      <c r="R1087">
        <v>29.4</v>
      </c>
      <c r="S1087">
        <v>73.91</v>
      </c>
      <c r="T1087">
        <v>71.819999999999993</v>
      </c>
      <c r="U1087">
        <v>1.37</v>
      </c>
      <c r="V1087">
        <v>27.35</v>
      </c>
      <c r="W1087">
        <v>173.08</v>
      </c>
      <c r="X1087">
        <v>41.2</v>
      </c>
      <c r="Y1087">
        <v>103.73</v>
      </c>
      <c r="Z1087">
        <v>4.8499999999999996</v>
      </c>
      <c r="AA1087">
        <v>11.43</v>
      </c>
      <c r="AB1087">
        <v>156.80000000000001</v>
      </c>
      <c r="AC1087">
        <v>320.00000000000006</v>
      </c>
      <c r="AD1087">
        <v>81.243523316062181</v>
      </c>
      <c r="AE1087">
        <v>76.239999999999995</v>
      </c>
      <c r="AF1087">
        <v>16.760000000000002</v>
      </c>
      <c r="AG1087">
        <v>1</v>
      </c>
      <c r="AH1087">
        <v>-8.1300000000000008</v>
      </c>
      <c r="AI1087">
        <v>45.87</v>
      </c>
      <c r="AJ1087">
        <v>329.79</v>
      </c>
      <c r="AK1087">
        <v>70.83</v>
      </c>
      <c r="AL1087" t="s">
        <v>23</v>
      </c>
      <c r="AM1087" t="s">
        <v>24</v>
      </c>
      <c r="AN1087" t="str">
        <f t="shared" si="64"/>
        <v>Night</v>
      </c>
      <c r="AO1087" t="str">
        <f t="shared" si="65"/>
        <v>Peak</v>
      </c>
      <c r="AP1087" t="str">
        <f t="shared" si="66"/>
        <v>High</v>
      </c>
      <c r="AQ1087" t="str">
        <f t="shared" si="67"/>
        <v>Medium</v>
      </c>
    </row>
    <row r="1088" spans="1:43" x14ac:dyDescent="0.3">
      <c r="A1088">
        <v>1087</v>
      </c>
      <c r="B1088" t="s">
        <v>16</v>
      </c>
      <c r="C1088" t="s">
        <v>17</v>
      </c>
      <c r="D1088" s="1">
        <v>46110</v>
      </c>
      <c r="E1088" t="s">
        <v>26</v>
      </c>
      <c r="F1088">
        <v>1</v>
      </c>
      <c r="G1088">
        <v>22</v>
      </c>
      <c r="H1088" t="s">
        <v>19</v>
      </c>
      <c r="I1088" t="s">
        <v>28</v>
      </c>
      <c r="J1088">
        <v>1.03</v>
      </c>
      <c r="K1088" t="s">
        <v>21</v>
      </c>
      <c r="L1088">
        <v>0</v>
      </c>
      <c r="M1088">
        <v>2.96</v>
      </c>
      <c r="N1088">
        <v>51</v>
      </c>
      <c r="O1088" t="s">
        <v>35</v>
      </c>
      <c r="P1088">
        <v>9</v>
      </c>
      <c r="Q1088">
        <v>2.67</v>
      </c>
      <c r="R1088">
        <v>31.8</v>
      </c>
      <c r="S1088">
        <v>96.83</v>
      </c>
      <c r="T1088">
        <v>69.739999999999995</v>
      </c>
      <c r="U1088">
        <v>1.07</v>
      </c>
      <c r="V1088">
        <v>6.78</v>
      </c>
      <c r="W1088">
        <v>173.35</v>
      </c>
      <c r="X1088">
        <v>41.5</v>
      </c>
      <c r="Y1088">
        <v>104.41</v>
      </c>
      <c r="Z1088">
        <v>6.73</v>
      </c>
      <c r="AA1088">
        <v>8.8000000000000007</v>
      </c>
      <c r="AB1088">
        <v>157.82</v>
      </c>
      <c r="AC1088">
        <v>297.77358490566036</v>
      </c>
      <c r="AD1088">
        <v>59.108614232209739</v>
      </c>
      <c r="AE1088">
        <v>66.540000000000006</v>
      </c>
      <c r="AF1088">
        <v>15.18</v>
      </c>
      <c r="AG1088">
        <v>1</v>
      </c>
      <c r="AH1088">
        <v>4.37</v>
      </c>
      <c r="AI1088">
        <v>55.37</v>
      </c>
      <c r="AJ1088">
        <v>271.83</v>
      </c>
      <c r="AK1088">
        <v>80.7</v>
      </c>
      <c r="AL1088" t="s">
        <v>23</v>
      </c>
      <c r="AM1088" t="s">
        <v>24</v>
      </c>
      <c r="AN1088" t="str">
        <f t="shared" si="64"/>
        <v>Night</v>
      </c>
      <c r="AO1088" t="str">
        <f t="shared" si="65"/>
        <v>Off-Peak</v>
      </c>
      <c r="AP1088" t="str">
        <f t="shared" si="66"/>
        <v>High</v>
      </c>
      <c r="AQ1088" t="str">
        <f t="shared" si="67"/>
        <v>Medium</v>
      </c>
    </row>
    <row r="1089" spans="1:43" x14ac:dyDescent="0.3">
      <c r="A1089">
        <v>1088</v>
      </c>
      <c r="B1089" t="s">
        <v>23</v>
      </c>
      <c r="C1089" t="s">
        <v>17</v>
      </c>
      <c r="D1089" s="1">
        <v>46270</v>
      </c>
      <c r="E1089" t="s">
        <v>31</v>
      </c>
      <c r="F1089">
        <v>1</v>
      </c>
      <c r="G1089">
        <v>11</v>
      </c>
      <c r="H1089" t="s">
        <v>19</v>
      </c>
      <c r="I1089" t="s">
        <v>11</v>
      </c>
      <c r="J1089">
        <v>1.18</v>
      </c>
      <c r="K1089" t="s">
        <v>21</v>
      </c>
      <c r="L1089">
        <v>0</v>
      </c>
      <c r="M1089">
        <v>3.45</v>
      </c>
      <c r="N1089">
        <v>59</v>
      </c>
      <c r="O1089" t="s">
        <v>35</v>
      </c>
      <c r="P1089">
        <v>12</v>
      </c>
      <c r="Q1089">
        <v>1.46</v>
      </c>
      <c r="R1089">
        <v>22.5</v>
      </c>
      <c r="S1089">
        <v>82.98</v>
      </c>
      <c r="T1089">
        <v>60</v>
      </c>
      <c r="U1089">
        <v>1.07</v>
      </c>
      <c r="V1089">
        <v>5.81</v>
      </c>
      <c r="W1089">
        <v>148.79</v>
      </c>
      <c r="X1089">
        <v>45.7</v>
      </c>
      <c r="Y1089">
        <v>107.68</v>
      </c>
      <c r="Z1089">
        <v>3.44</v>
      </c>
      <c r="AA1089">
        <v>5.49</v>
      </c>
      <c r="AB1089">
        <v>139.86000000000001</v>
      </c>
      <c r="AC1089">
        <v>372.96000000000004</v>
      </c>
      <c r="AD1089">
        <v>95.794520547945211</v>
      </c>
      <c r="AE1089">
        <v>94.46</v>
      </c>
      <c r="AF1089">
        <v>14.14</v>
      </c>
      <c r="AG1089">
        <v>1</v>
      </c>
      <c r="AH1089">
        <v>10.24</v>
      </c>
      <c r="AI1089">
        <v>69.239999999999995</v>
      </c>
      <c r="AJ1089">
        <v>356.35</v>
      </c>
      <c r="AK1089">
        <v>68.66</v>
      </c>
      <c r="AL1089" t="s">
        <v>23</v>
      </c>
      <c r="AM1089" t="s">
        <v>24</v>
      </c>
      <c r="AN1089" t="str">
        <f t="shared" si="64"/>
        <v>Afternoon</v>
      </c>
      <c r="AO1089" t="str">
        <f t="shared" si="65"/>
        <v>Off-Peak</v>
      </c>
      <c r="AP1089" t="str">
        <f t="shared" si="66"/>
        <v>High</v>
      </c>
      <c r="AQ1089" t="str">
        <f t="shared" si="67"/>
        <v>Medium</v>
      </c>
    </row>
    <row r="1090" spans="1:43" x14ac:dyDescent="0.3">
      <c r="A1090">
        <v>1089</v>
      </c>
      <c r="B1090" t="s">
        <v>25</v>
      </c>
      <c r="C1090" t="s">
        <v>17</v>
      </c>
      <c r="D1090" s="1">
        <v>46137</v>
      </c>
      <c r="E1090" t="s">
        <v>31</v>
      </c>
      <c r="F1090">
        <v>1</v>
      </c>
      <c r="G1090">
        <v>7</v>
      </c>
      <c r="H1090" t="s">
        <v>27</v>
      </c>
      <c r="I1090" t="s">
        <v>28</v>
      </c>
      <c r="J1090">
        <v>1.03</v>
      </c>
      <c r="K1090" t="s">
        <v>12</v>
      </c>
      <c r="L1090">
        <v>0</v>
      </c>
      <c r="M1090">
        <v>4.01</v>
      </c>
      <c r="N1090">
        <v>84</v>
      </c>
      <c r="O1090" t="s">
        <v>13</v>
      </c>
      <c r="P1090">
        <v>19</v>
      </c>
      <c r="Q1090">
        <v>6.54</v>
      </c>
      <c r="R1090">
        <v>47</v>
      </c>
      <c r="S1090">
        <v>136.75</v>
      </c>
      <c r="T1090">
        <v>98.53</v>
      </c>
      <c r="U1090">
        <v>1.28</v>
      </c>
      <c r="V1090">
        <v>38.29</v>
      </c>
      <c r="W1090">
        <v>273.57</v>
      </c>
      <c r="X1090">
        <v>44.1</v>
      </c>
      <c r="Y1090">
        <v>107.54</v>
      </c>
      <c r="Z1090">
        <v>15.96</v>
      </c>
      <c r="AA1090">
        <v>4.32</v>
      </c>
      <c r="AB1090">
        <v>253.29</v>
      </c>
      <c r="AC1090">
        <v>323.34893617021277</v>
      </c>
      <c r="AD1090">
        <v>38.72935779816514</v>
      </c>
      <c r="AE1090">
        <v>89.72</v>
      </c>
      <c r="AF1090">
        <v>19.14</v>
      </c>
      <c r="AG1090">
        <v>1</v>
      </c>
      <c r="AH1090">
        <v>0.32</v>
      </c>
      <c r="AI1090">
        <v>84.32</v>
      </c>
      <c r="AJ1090">
        <v>323.7</v>
      </c>
      <c r="AK1090">
        <v>77.84</v>
      </c>
      <c r="AL1090" t="s">
        <v>23</v>
      </c>
      <c r="AM1090" t="s">
        <v>24</v>
      </c>
      <c r="AN1090" t="str">
        <f t="shared" si="64"/>
        <v>Morning</v>
      </c>
      <c r="AO1090" t="str">
        <f t="shared" si="65"/>
        <v>Peak</v>
      </c>
      <c r="AP1090" t="str">
        <f t="shared" si="66"/>
        <v>High</v>
      </c>
      <c r="AQ1090" t="str">
        <f t="shared" si="67"/>
        <v>High</v>
      </c>
    </row>
    <row r="1091" spans="1:43" x14ac:dyDescent="0.3">
      <c r="A1091">
        <v>1090</v>
      </c>
      <c r="B1091" t="s">
        <v>7</v>
      </c>
      <c r="C1091" t="s">
        <v>8</v>
      </c>
      <c r="D1091" s="1">
        <v>46206</v>
      </c>
      <c r="E1091" t="s">
        <v>9</v>
      </c>
      <c r="F1091">
        <v>0</v>
      </c>
      <c r="G1091">
        <v>18</v>
      </c>
      <c r="H1091" t="s">
        <v>51</v>
      </c>
      <c r="I1091" t="s">
        <v>20</v>
      </c>
      <c r="J1091">
        <v>1.25</v>
      </c>
      <c r="K1091" t="s">
        <v>12</v>
      </c>
      <c r="L1091">
        <v>0</v>
      </c>
      <c r="M1091">
        <v>4.25</v>
      </c>
      <c r="N1091">
        <v>68</v>
      </c>
      <c r="O1091" t="s">
        <v>35</v>
      </c>
      <c r="P1091">
        <v>35</v>
      </c>
      <c r="Q1091">
        <v>7.26</v>
      </c>
      <c r="R1091">
        <v>53.3</v>
      </c>
      <c r="S1091">
        <v>103.91</v>
      </c>
      <c r="T1091">
        <v>76.17</v>
      </c>
      <c r="U1091">
        <v>1</v>
      </c>
      <c r="V1091">
        <v>0</v>
      </c>
      <c r="W1091">
        <v>180.08</v>
      </c>
      <c r="X1091">
        <v>39.5</v>
      </c>
      <c r="Y1091">
        <v>104.32</v>
      </c>
      <c r="Z1091">
        <v>19.149999999999999</v>
      </c>
      <c r="AA1091">
        <v>2.57</v>
      </c>
      <c r="AB1091">
        <v>158.36000000000001</v>
      </c>
      <c r="AC1091">
        <v>178.26641651031898</v>
      </c>
      <c r="AD1091">
        <v>21.812672176308542</v>
      </c>
      <c r="AE1091">
        <v>80.28</v>
      </c>
      <c r="AF1091">
        <v>16.86</v>
      </c>
      <c r="AG1091">
        <v>1</v>
      </c>
      <c r="AH1091">
        <v>7.39</v>
      </c>
      <c r="AI1091">
        <v>75.39</v>
      </c>
      <c r="AJ1091">
        <v>201.22</v>
      </c>
      <c r="AK1091">
        <v>70.23</v>
      </c>
      <c r="AL1091" t="s">
        <v>14</v>
      </c>
      <c r="AM1091" t="s">
        <v>15</v>
      </c>
      <c r="AN1091" t="str">
        <f t="shared" ref="AN1091:AN1154" si="68">IF(G1091&lt;11,"Morning",IF(G1091&lt;15,"Afternoon",IF(G1091&lt;18,"Evening","Night")))</f>
        <v>Night</v>
      </c>
      <c r="AO1091" t="str">
        <f t="shared" ref="AO1091:AO1154" si="69">IF(OR(AND(G1091&gt;=7,G1091&lt;=10),AND(G1091&gt;=17,G1091&lt;=20)),"Peak","Off-Peak")</f>
        <v>Peak</v>
      </c>
      <c r="AP1091" t="str">
        <f t="shared" ref="AP1091:AP1154" si="70">IF(AC1091&lt;150,"Low",IF(AC1091&lt;=250,"Medium","High"))</f>
        <v>Medium</v>
      </c>
      <c r="AQ1091" t="str">
        <f t="shared" ref="AQ1091:AQ1154" si="71">IF(N1091&lt;=35,"Low",IF(N1091&lt;=70,"Medium","High"))</f>
        <v>Medium</v>
      </c>
    </row>
    <row r="1092" spans="1:43" x14ac:dyDescent="0.3">
      <c r="A1092">
        <v>1091</v>
      </c>
      <c r="B1092" t="s">
        <v>29</v>
      </c>
      <c r="C1092" t="s">
        <v>30</v>
      </c>
      <c r="D1092" s="1">
        <v>46050</v>
      </c>
      <c r="E1092" t="s">
        <v>18</v>
      </c>
      <c r="F1092">
        <v>0</v>
      </c>
      <c r="G1092">
        <v>7</v>
      </c>
      <c r="H1092" t="s">
        <v>47</v>
      </c>
      <c r="I1092" t="s">
        <v>50</v>
      </c>
      <c r="J1092">
        <v>1.2</v>
      </c>
      <c r="K1092" t="s">
        <v>12</v>
      </c>
      <c r="L1092">
        <v>0</v>
      </c>
      <c r="M1092">
        <v>2.15</v>
      </c>
      <c r="N1092">
        <v>15</v>
      </c>
      <c r="O1092" t="s">
        <v>22</v>
      </c>
      <c r="P1092">
        <v>3</v>
      </c>
      <c r="Q1092">
        <v>1.99</v>
      </c>
      <c r="R1092">
        <v>20.7</v>
      </c>
      <c r="S1092">
        <v>71</v>
      </c>
      <c r="T1092">
        <v>23.96</v>
      </c>
      <c r="U1092">
        <v>1</v>
      </c>
      <c r="V1092">
        <v>0</v>
      </c>
      <c r="W1092">
        <v>94.96</v>
      </c>
      <c r="X1092">
        <v>36.5</v>
      </c>
      <c r="Y1092">
        <v>102.68</v>
      </c>
      <c r="Z1092">
        <v>5.61</v>
      </c>
      <c r="AA1092">
        <v>4.78</v>
      </c>
      <c r="AB1092">
        <v>84.57</v>
      </c>
      <c r="AC1092">
        <v>245.13043478260869</v>
      </c>
      <c r="AD1092">
        <v>42.497487437185924</v>
      </c>
      <c r="AE1092">
        <v>66.349999999999994</v>
      </c>
      <c r="AF1092">
        <v>16.96</v>
      </c>
      <c r="AG1092">
        <v>0</v>
      </c>
      <c r="AH1092">
        <v>11.83</v>
      </c>
      <c r="AI1092">
        <v>26.83</v>
      </c>
      <c r="AJ1092">
        <v>223.93</v>
      </c>
      <c r="AK1092">
        <v>62.21</v>
      </c>
      <c r="AL1092" t="s">
        <v>23</v>
      </c>
      <c r="AM1092" t="s">
        <v>24</v>
      </c>
      <c r="AN1092" t="str">
        <f t="shared" si="68"/>
        <v>Morning</v>
      </c>
      <c r="AO1092" t="str">
        <f t="shared" si="69"/>
        <v>Peak</v>
      </c>
      <c r="AP1092" t="str">
        <f t="shared" si="70"/>
        <v>Medium</v>
      </c>
      <c r="AQ1092" t="str">
        <f t="shared" si="71"/>
        <v>Low</v>
      </c>
    </row>
    <row r="1093" spans="1:43" x14ac:dyDescent="0.3">
      <c r="A1093">
        <v>1092</v>
      </c>
      <c r="B1093" t="s">
        <v>29</v>
      </c>
      <c r="C1093" t="s">
        <v>30</v>
      </c>
      <c r="D1093" s="1">
        <v>46186</v>
      </c>
      <c r="E1093" t="s">
        <v>31</v>
      </c>
      <c r="F1093">
        <v>1</v>
      </c>
      <c r="G1093">
        <v>8</v>
      </c>
      <c r="H1093" t="s">
        <v>47</v>
      </c>
      <c r="I1093" t="s">
        <v>50</v>
      </c>
      <c r="J1093">
        <v>1.2</v>
      </c>
      <c r="K1093" t="s">
        <v>12</v>
      </c>
      <c r="L1093">
        <v>0</v>
      </c>
      <c r="M1093">
        <v>4.04</v>
      </c>
      <c r="N1093">
        <v>45</v>
      </c>
      <c r="O1093" t="s">
        <v>35</v>
      </c>
      <c r="P1093">
        <v>13</v>
      </c>
      <c r="Q1093">
        <v>1</v>
      </c>
      <c r="R1093">
        <v>26.6</v>
      </c>
      <c r="S1093">
        <v>59.86</v>
      </c>
      <c r="T1093">
        <v>61.42</v>
      </c>
      <c r="U1093">
        <v>1</v>
      </c>
      <c r="V1093">
        <v>0</v>
      </c>
      <c r="W1093">
        <v>121.28</v>
      </c>
      <c r="X1093">
        <v>47.4</v>
      </c>
      <c r="Y1093">
        <v>101.39</v>
      </c>
      <c r="Z1093">
        <v>2.14</v>
      </c>
      <c r="AA1093">
        <v>3.37</v>
      </c>
      <c r="AB1093">
        <v>115.77</v>
      </c>
      <c r="AC1093">
        <v>261.13533834586462</v>
      </c>
      <c r="AD1093">
        <v>115.77</v>
      </c>
      <c r="AE1093">
        <v>73.8</v>
      </c>
      <c r="AF1093">
        <v>13.57</v>
      </c>
      <c r="AG1093">
        <v>1</v>
      </c>
      <c r="AH1093">
        <v>-18.309999999999999</v>
      </c>
      <c r="AI1093">
        <v>26.69</v>
      </c>
      <c r="AJ1093">
        <v>248.5</v>
      </c>
      <c r="AK1093">
        <v>67.98</v>
      </c>
      <c r="AL1093" t="s">
        <v>23</v>
      </c>
      <c r="AM1093" t="s">
        <v>24</v>
      </c>
      <c r="AN1093" t="str">
        <f t="shared" si="68"/>
        <v>Morning</v>
      </c>
      <c r="AO1093" t="str">
        <f t="shared" si="69"/>
        <v>Peak</v>
      </c>
      <c r="AP1093" t="str">
        <f t="shared" si="70"/>
        <v>High</v>
      </c>
      <c r="AQ1093" t="str">
        <f t="shared" si="71"/>
        <v>Medium</v>
      </c>
    </row>
    <row r="1094" spans="1:43" x14ac:dyDescent="0.3">
      <c r="A1094">
        <v>1093</v>
      </c>
      <c r="B1094" t="s">
        <v>16</v>
      </c>
      <c r="C1094" t="s">
        <v>17</v>
      </c>
      <c r="D1094" s="1">
        <v>46118</v>
      </c>
      <c r="E1094" t="s">
        <v>38</v>
      </c>
      <c r="F1094">
        <v>0</v>
      </c>
      <c r="G1094">
        <v>22</v>
      </c>
      <c r="H1094" t="s">
        <v>19</v>
      </c>
      <c r="I1094" t="s">
        <v>42</v>
      </c>
      <c r="J1094">
        <v>1.08</v>
      </c>
      <c r="K1094" t="s">
        <v>34</v>
      </c>
      <c r="L1094">
        <v>1</v>
      </c>
      <c r="M1094">
        <v>2.59</v>
      </c>
      <c r="N1094">
        <v>35</v>
      </c>
      <c r="O1094" t="s">
        <v>22</v>
      </c>
      <c r="P1094">
        <v>8</v>
      </c>
      <c r="Q1094">
        <v>9.17</v>
      </c>
      <c r="R1094">
        <v>54.7</v>
      </c>
      <c r="S1094">
        <v>155.27000000000001</v>
      </c>
      <c r="T1094">
        <v>37.75</v>
      </c>
      <c r="U1094">
        <v>1.07</v>
      </c>
      <c r="V1094">
        <v>10.87</v>
      </c>
      <c r="W1094">
        <v>203.89</v>
      </c>
      <c r="X1094">
        <v>42.3</v>
      </c>
      <c r="Y1094">
        <v>100.01</v>
      </c>
      <c r="Z1094">
        <v>21.7</v>
      </c>
      <c r="AA1094">
        <v>5.69</v>
      </c>
      <c r="AB1094">
        <v>176.5</v>
      </c>
      <c r="AC1094">
        <v>193.6014625228519</v>
      </c>
      <c r="AD1094">
        <v>19.24754634678299</v>
      </c>
      <c r="AE1094">
        <v>69.260000000000005</v>
      </c>
      <c r="AF1094">
        <v>11.73</v>
      </c>
      <c r="AG1094">
        <v>0</v>
      </c>
      <c r="AH1094">
        <v>-2.11</v>
      </c>
      <c r="AI1094">
        <v>32.89</v>
      </c>
      <c r="AJ1094">
        <v>201.03</v>
      </c>
      <c r="AK1094">
        <v>75.23</v>
      </c>
      <c r="AL1094" t="s">
        <v>23</v>
      </c>
      <c r="AM1094" t="s">
        <v>24</v>
      </c>
      <c r="AN1094" t="str">
        <f t="shared" si="68"/>
        <v>Night</v>
      </c>
      <c r="AO1094" t="str">
        <f t="shared" si="69"/>
        <v>Off-Peak</v>
      </c>
      <c r="AP1094" t="str">
        <f t="shared" si="70"/>
        <v>Medium</v>
      </c>
      <c r="AQ1094" t="str">
        <f t="shared" si="71"/>
        <v>Low</v>
      </c>
    </row>
    <row r="1095" spans="1:43" x14ac:dyDescent="0.3">
      <c r="A1095">
        <v>1094</v>
      </c>
      <c r="B1095" t="s">
        <v>48</v>
      </c>
      <c r="C1095" t="s">
        <v>30</v>
      </c>
      <c r="D1095" s="1">
        <v>46214</v>
      </c>
      <c r="E1095" t="s">
        <v>31</v>
      </c>
      <c r="F1095">
        <v>1</v>
      </c>
      <c r="G1095">
        <v>20</v>
      </c>
      <c r="H1095" t="s">
        <v>32</v>
      </c>
      <c r="I1095" t="s">
        <v>33</v>
      </c>
      <c r="J1095">
        <v>1</v>
      </c>
      <c r="K1095" t="s">
        <v>12</v>
      </c>
      <c r="L1095">
        <v>0</v>
      </c>
      <c r="M1095">
        <v>3.75</v>
      </c>
      <c r="N1095">
        <v>75</v>
      </c>
      <c r="O1095" t="s">
        <v>13</v>
      </c>
      <c r="P1095">
        <v>23</v>
      </c>
      <c r="Q1095">
        <v>2.2000000000000002</v>
      </c>
      <c r="R1095">
        <v>36.4</v>
      </c>
      <c r="S1095">
        <v>68.05</v>
      </c>
      <c r="T1095">
        <v>100</v>
      </c>
      <c r="U1095">
        <v>1</v>
      </c>
      <c r="V1095">
        <v>0</v>
      </c>
      <c r="W1095">
        <v>168.05</v>
      </c>
      <c r="X1095">
        <v>45.1</v>
      </c>
      <c r="Y1095">
        <v>101.13</v>
      </c>
      <c r="Z1095">
        <v>4.9400000000000004</v>
      </c>
      <c r="AA1095">
        <v>9.0299999999999994</v>
      </c>
      <c r="AB1095">
        <v>154.08000000000001</v>
      </c>
      <c r="AC1095">
        <v>253.97802197802199</v>
      </c>
      <c r="AD1095">
        <v>70.036363636363632</v>
      </c>
      <c r="AE1095">
        <v>78.78</v>
      </c>
      <c r="AF1095">
        <v>15.93</v>
      </c>
      <c r="AG1095">
        <v>1</v>
      </c>
      <c r="AH1095">
        <v>-4.78</v>
      </c>
      <c r="AI1095">
        <v>70.22</v>
      </c>
      <c r="AJ1095">
        <v>269.02999999999997</v>
      </c>
      <c r="AK1095">
        <v>77.260000000000005</v>
      </c>
      <c r="AL1095" t="s">
        <v>14</v>
      </c>
      <c r="AM1095" t="s">
        <v>15</v>
      </c>
      <c r="AN1095" t="str">
        <f t="shared" si="68"/>
        <v>Night</v>
      </c>
      <c r="AO1095" t="str">
        <f t="shared" si="69"/>
        <v>Peak</v>
      </c>
      <c r="AP1095" t="str">
        <f t="shared" si="70"/>
        <v>High</v>
      </c>
      <c r="AQ1095" t="str">
        <f t="shared" si="71"/>
        <v>High</v>
      </c>
    </row>
    <row r="1096" spans="1:43" x14ac:dyDescent="0.3">
      <c r="A1096">
        <v>1095</v>
      </c>
      <c r="B1096" t="s">
        <v>48</v>
      </c>
      <c r="C1096" t="s">
        <v>30</v>
      </c>
      <c r="D1096" s="1">
        <v>46262</v>
      </c>
      <c r="E1096" t="s">
        <v>9</v>
      </c>
      <c r="F1096">
        <v>0</v>
      </c>
      <c r="G1096">
        <v>18</v>
      </c>
      <c r="H1096" t="s">
        <v>32</v>
      </c>
      <c r="I1096" t="s">
        <v>33</v>
      </c>
      <c r="J1096">
        <v>1</v>
      </c>
      <c r="K1096" t="s">
        <v>12</v>
      </c>
      <c r="L1096">
        <v>0</v>
      </c>
      <c r="M1096">
        <v>4.18</v>
      </c>
      <c r="N1096">
        <v>90</v>
      </c>
      <c r="O1096" t="s">
        <v>13</v>
      </c>
      <c r="P1096">
        <v>24</v>
      </c>
      <c r="Q1096">
        <v>3.3</v>
      </c>
      <c r="R1096">
        <v>35.700000000000003</v>
      </c>
      <c r="S1096">
        <v>79.36</v>
      </c>
      <c r="T1096">
        <v>92.37</v>
      </c>
      <c r="U1096">
        <v>1</v>
      </c>
      <c r="V1096">
        <v>0</v>
      </c>
      <c r="W1096">
        <v>171.73</v>
      </c>
      <c r="X1096">
        <v>47.9</v>
      </c>
      <c r="Y1096">
        <v>101.65</v>
      </c>
      <c r="Z1096">
        <v>7.01</v>
      </c>
      <c r="AA1096">
        <v>8.92</v>
      </c>
      <c r="AB1096">
        <v>155.80000000000001</v>
      </c>
      <c r="AC1096">
        <v>261.84873949579833</v>
      </c>
      <c r="AD1096">
        <v>47.212121212121218</v>
      </c>
      <c r="AE1096">
        <v>81.680000000000007</v>
      </c>
      <c r="AF1096">
        <v>18.829999999999998</v>
      </c>
      <c r="AG1096">
        <v>1</v>
      </c>
      <c r="AH1096">
        <v>-4.05</v>
      </c>
      <c r="AI1096">
        <v>85.95</v>
      </c>
      <c r="AJ1096">
        <v>276.74</v>
      </c>
      <c r="AK1096">
        <v>78.58</v>
      </c>
      <c r="AL1096" t="s">
        <v>14</v>
      </c>
      <c r="AM1096" t="s">
        <v>15</v>
      </c>
      <c r="AN1096" t="str">
        <f t="shared" si="68"/>
        <v>Night</v>
      </c>
      <c r="AO1096" t="str">
        <f t="shared" si="69"/>
        <v>Peak</v>
      </c>
      <c r="AP1096" t="str">
        <f t="shared" si="70"/>
        <v>High</v>
      </c>
      <c r="AQ1096" t="str">
        <f t="shared" si="71"/>
        <v>High</v>
      </c>
    </row>
    <row r="1097" spans="1:43" x14ac:dyDescent="0.3">
      <c r="A1097">
        <v>1096</v>
      </c>
      <c r="B1097" t="s">
        <v>7</v>
      </c>
      <c r="C1097" t="s">
        <v>8</v>
      </c>
      <c r="D1097" s="1">
        <v>46160</v>
      </c>
      <c r="E1097" t="s">
        <v>38</v>
      </c>
      <c r="F1097">
        <v>0</v>
      </c>
      <c r="G1097">
        <v>20</v>
      </c>
      <c r="H1097" t="s">
        <v>51</v>
      </c>
      <c r="I1097" t="s">
        <v>11</v>
      </c>
      <c r="J1097">
        <v>1.18</v>
      </c>
      <c r="K1097" t="s">
        <v>21</v>
      </c>
      <c r="L1097">
        <v>0</v>
      </c>
      <c r="M1097">
        <v>5</v>
      </c>
      <c r="N1097">
        <v>77</v>
      </c>
      <c r="O1097" t="s">
        <v>13</v>
      </c>
      <c r="P1097">
        <v>28</v>
      </c>
      <c r="Q1097">
        <v>1.7</v>
      </c>
      <c r="R1097">
        <v>31.2</v>
      </c>
      <c r="S1097">
        <v>63.32</v>
      </c>
      <c r="T1097">
        <v>95.15</v>
      </c>
      <c r="U1097">
        <v>1</v>
      </c>
      <c r="V1097">
        <v>0</v>
      </c>
      <c r="W1097">
        <v>158.47</v>
      </c>
      <c r="X1097">
        <v>35.299999999999997</v>
      </c>
      <c r="Y1097">
        <v>106.9</v>
      </c>
      <c r="Z1097">
        <v>5.15</v>
      </c>
      <c r="AA1097">
        <v>5.18</v>
      </c>
      <c r="AB1097">
        <v>148.13999999999999</v>
      </c>
      <c r="AC1097">
        <v>284.88461538461536</v>
      </c>
      <c r="AD1097">
        <v>87.141176470588235</v>
      </c>
      <c r="AE1097">
        <v>75.430000000000007</v>
      </c>
      <c r="AF1097">
        <v>14.79</v>
      </c>
      <c r="AG1097">
        <v>1</v>
      </c>
      <c r="AH1097">
        <v>9.1</v>
      </c>
      <c r="AI1097">
        <v>86.1</v>
      </c>
      <c r="AJ1097">
        <v>278.37</v>
      </c>
      <c r="AK1097">
        <v>70.94</v>
      </c>
      <c r="AL1097" t="s">
        <v>14</v>
      </c>
      <c r="AM1097" t="s">
        <v>15</v>
      </c>
      <c r="AN1097" t="str">
        <f t="shared" si="68"/>
        <v>Night</v>
      </c>
      <c r="AO1097" t="str">
        <f t="shared" si="69"/>
        <v>Peak</v>
      </c>
      <c r="AP1097" t="str">
        <f t="shared" si="70"/>
        <v>High</v>
      </c>
      <c r="AQ1097" t="str">
        <f t="shared" si="71"/>
        <v>High</v>
      </c>
    </row>
    <row r="1098" spans="1:43" x14ac:dyDescent="0.3">
      <c r="A1098">
        <v>1097</v>
      </c>
      <c r="B1098" t="s">
        <v>16</v>
      </c>
      <c r="C1098" t="s">
        <v>17</v>
      </c>
      <c r="D1098" s="1">
        <v>46049</v>
      </c>
      <c r="E1098" t="s">
        <v>44</v>
      </c>
      <c r="F1098">
        <v>0</v>
      </c>
      <c r="G1098">
        <v>8</v>
      </c>
      <c r="H1098" t="s">
        <v>27</v>
      </c>
      <c r="I1098" t="s">
        <v>46</v>
      </c>
      <c r="J1098">
        <v>1.1499999999999999</v>
      </c>
      <c r="K1098" t="s">
        <v>21</v>
      </c>
      <c r="L1098">
        <v>0</v>
      </c>
      <c r="M1098">
        <v>3.76</v>
      </c>
      <c r="N1098">
        <v>77</v>
      </c>
      <c r="O1098" t="s">
        <v>13</v>
      </c>
      <c r="P1098">
        <v>17</v>
      </c>
      <c r="Q1098">
        <v>6.11</v>
      </c>
      <c r="R1098">
        <v>48.6</v>
      </c>
      <c r="S1098">
        <v>129.29</v>
      </c>
      <c r="T1098">
        <v>96.46</v>
      </c>
      <c r="U1098">
        <v>1.21</v>
      </c>
      <c r="V1098">
        <v>27.15</v>
      </c>
      <c r="W1098">
        <v>252.9</v>
      </c>
      <c r="X1098">
        <v>47.9</v>
      </c>
      <c r="Y1098">
        <v>108.18</v>
      </c>
      <c r="Z1098">
        <v>13.81</v>
      </c>
      <c r="AA1098">
        <v>7.09</v>
      </c>
      <c r="AB1098">
        <v>232</v>
      </c>
      <c r="AC1098">
        <v>286.41975308641975</v>
      </c>
      <c r="AD1098">
        <v>37.97054009819967</v>
      </c>
      <c r="AE1098">
        <v>66.52</v>
      </c>
      <c r="AF1098">
        <v>15.23</v>
      </c>
      <c r="AG1098">
        <v>1</v>
      </c>
      <c r="AH1098">
        <v>-4.57</v>
      </c>
      <c r="AI1098">
        <v>72.430000000000007</v>
      </c>
      <c r="AJ1098">
        <v>270.54000000000002</v>
      </c>
      <c r="AK1098">
        <v>74.81</v>
      </c>
      <c r="AL1098" t="s">
        <v>23</v>
      </c>
      <c r="AM1098" t="s">
        <v>24</v>
      </c>
      <c r="AN1098" t="str">
        <f t="shared" si="68"/>
        <v>Morning</v>
      </c>
      <c r="AO1098" t="str">
        <f t="shared" si="69"/>
        <v>Peak</v>
      </c>
      <c r="AP1098" t="str">
        <f t="shared" si="70"/>
        <v>High</v>
      </c>
      <c r="AQ1098" t="str">
        <f t="shared" si="71"/>
        <v>High</v>
      </c>
    </row>
    <row r="1099" spans="1:43" x14ac:dyDescent="0.3">
      <c r="A1099">
        <v>1098</v>
      </c>
      <c r="B1099" t="s">
        <v>16</v>
      </c>
      <c r="C1099" t="s">
        <v>17</v>
      </c>
      <c r="D1099" s="1">
        <v>46145</v>
      </c>
      <c r="E1099" t="s">
        <v>26</v>
      </c>
      <c r="F1099">
        <v>1</v>
      </c>
      <c r="G1099">
        <v>8</v>
      </c>
      <c r="H1099" t="s">
        <v>27</v>
      </c>
      <c r="I1099" t="s">
        <v>20</v>
      </c>
      <c r="J1099">
        <v>1.25</v>
      </c>
      <c r="K1099" t="s">
        <v>21</v>
      </c>
      <c r="L1099">
        <v>0</v>
      </c>
      <c r="M1099">
        <v>3.57</v>
      </c>
      <c r="N1099">
        <v>103</v>
      </c>
      <c r="O1099" t="s">
        <v>13</v>
      </c>
      <c r="P1099">
        <v>17</v>
      </c>
      <c r="Q1099">
        <v>6.22</v>
      </c>
      <c r="R1099">
        <v>55.2</v>
      </c>
      <c r="S1099">
        <v>131.87</v>
      </c>
      <c r="T1099">
        <v>100</v>
      </c>
      <c r="U1099">
        <v>1.33</v>
      </c>
      <c r="V1099">
        <v>43.52</v>
      </c>
      <c r="W1099">
        <v>275.39</v>
      </c>
      <c r="X1099">
        <v>46.3</v>
      </c>
      <c r="Y1099">
        <v>107.37</v>
      </c>
      <c r="Z1099">
        <v>14.43</v>
      </c>
      <c r="AA1099">
        <v>4.17</v>
      </c>
      <c r="AB1099">
        <v>256.79000000000002</v>
      </c>
      <c r="AC1099">
        <v>279.11956521739131</v>
      </c>
      <c r="AD1099">
        <v>41.284565916398719</v>
      </c>
      <c r="AE1099">
        <v>97.3</v>
      </c>
      <c r="AF1099">
        <v>11.28</v>
      </c>
      <c r="AG1099">
        <v>1</v>
      </c>
      <c r="AH1099">
        <v>-27.08</v>
      </c>
      <c r="AI1099">
        <v>75.92</v>
      </c>
      <c r="AJ1099">
        <v>295.14</v>
      </c>
      <c r="AK1099">
        <v>66.430000000000007</v>
      </c>
      <c r="AL1099" t="s">
        <v>23</v>
      </c>
      <c r="AM1099" t="s">
        <v>24</v>
      </c>
      <c r="AN1099" t="str">
        <f t="shared" si="68"/>
        <v>Morning</v>
      </c>
      <c r="AO1099" t="str">
        <f t="shared" si="69"/>
        <v>Peak</v>
      </c>
      <c r="AP1099" t="str">
        <f t="shared" si="70"/>
        <v>High</v>
      </c>
      <c r="AQ1099" t="str">
        <f t="shared" si="71"/>
        <v>High</v>
      </c>
    </row>
    <row r="1100" spans="1:43" x14ac:dyDescent="0.3">
      <c r="A1100">
        <v>1099</v>
      </c>
      <c r="B1100" t="s">
        <v>7</v>
      </c>
      <c r="C1100" t="s">
        <v>8</v>
      </c>
      <c r="D1100" s="1">
        <v>46054</v>
      </c>
      <c r="E1100" t="s">
        <v>26</v>
      </c>
      <c r="F1100">
        <v>1</v>
      </c>
      <c r="G1100">
        <v>11</v>
      </c>
      <c r="H1100" t="s">
        <v>10</v>
      </c>
      <c r="I1100" t="s">
        <v>42</v>
      </c>
      <c r="J1100">
        <v>1.08</v>
      </c>
      <c r="K1100" t="s">
        <v>12</v>
      </c>
      <c r="L1100">
        <v>0</v>
      </c>
      <c r="M1100">
        <v>2.56</v>
      </c>
      <c r="N1100">
        <v>53</v>
      </c>
      <c r="O1100" t="s">
        <v>35</v>
      </c>
      <c r="P1100">
        <v>17</v>
      </c>
      <c r="Q1100">
        <v>10.18</v>
      </c>
      <c r="R1100">
        <v>65.099999999999994</v>
      </c>
      <c r="S1100">
        <v>118.8</v>
      </c>
      <c r="T1100">
        <v>62.04</v>
      </c>
      <c r="U1100">
        <v>1</v>
      </c>
      <c r="V1100">
        <v>0</v>
      </c>
      <c r="W1100">
        <v>180.84</v>
      </c>
      <c r="X1100">
        <v>49.2</v>
      </c>
      <c r="Y1100">
        <v>107.23</v>
      </c>
      <c r="Z1100">
        <v>22.2</v>
      </c>
      <c r="AA1100">
        <v>7.03</v>
      </c>
      <c r="AB1100">
        <v>151.61000000000001</v>
      </c>
      <c r="AC1100">
        <v>139.73271889400922</v>
      </c>
      <c r="AD1100">
        <v>14.892927308447939</v>
      </c>
      <c r="AE1100">
        <v>78.14</v>
      </c>
      <c r="AF1100">
        <v>12.55</v>
      </c>
      <c r="AG1100">
        <v>1</v>
      </c>
      <c r="AH1100">
        <v>-0.55000000000000004</v>
      </c>
      <c r="AI1100">
        <v>52.45</v>
      </c>
      <c r="AJ1100">
        <v>161.13999999999999</v>
      </c>
      <c r="AK1100">
        <v>78.680000000000007</v>
      </c>
      <c r="AL1100" t="s">
        <v>14</v>
      </c>
      <c r="AM1100" t="s">
        <v>15</v>
      </c>
      <c r="AN1100" t="str">
        <f t="shared" si="68"/>
        <v>Afternoon</v>
      </c>
      <c r="AO1100" t="str">
        <f t="shared" si="69"/>
        <v>Off-Peak</v>
      </c>
      <c r="AP1100" t="str">
        <f t="shared" si="70"/>
        <v>Low</v>
      </c>
      <c r="AQ1100" t="str">
        <f t="shared" si="71"/>
        <v>Medium</v>
      </c>
    </row>
    <row r="1101" spans="1:43" x14ac:dyDescent="0.3">
      <c r="A1101">
        <v>1100</v>
      </c>
      <c r="B1101" t="s">
        <v>29</v>
      </c>
      <c r="C1101" t="s">
        <v>30</v>
      </c>
      <c r="D1101" s="1">
        <v>46138</v>
      </c>
      <c r="E1101" t="s">
        <v>26</v>
      </c>
      <c r="F1101">
        <v>1</v>
      </c>
      <c r="G1101">
        <v>7</v>
      </c>
      <c r="H1101" t="s">
        <v>47</v>
      </c>
      <c r="I1101" t="s">
        <v>11</v>
      </c>
      <c r="J1101">
        <v>1.18</v>
      </c>
      <c r="K1101" t="s">
        <v>34</v>
      </c>
      <c r="L1101">
        <v>1</v>
      </c>
      <c r="M1101">
        <v>4.83</v>
      </c>
      <c r="N1101">
        <v>59</v>
      </c>
      <c r="O1101" t="s">
        <v>35</v>
      </c>
      <c r="P1101">
        <v>16</v>
      </c>
      <c r="Q1101">
        <v>7.88</v>
      </c>
      <c r="R1101">
        <v>62.3</v>
      </c>
      <c r="S1101">
        <v>119.67</v>
      </c>
      <c r="T1101">
        <v>73.23</v>
      </c>
      <c r="U1101">
        <v>1</v>
      </c>
      <c r="V1101">
        <v>0</v>
      </c>
      <c r="W1101">
        <v>192.9</v>
      </c>
      <c r="X1101">
        <v>38.5</v>
      </c>
      <c r="Y1101">
        <v>109.94</v>
      </c>
      <c r="Z1101">
        <v>22.49</v>
      </c>
      <c r="AA1101">
        <v>7.1</v>
      </c>
      <c r="AB1101">
        <v>163.31</v>
      </c>
      <c r="AC1101">
        <v>157.28089887640451</v>
      </c>
      <c r="AD1101">
        <v>20.724619289340101</v>
      </c>
      <c r="AE1101">
        <v>80.37</v>
      </c>
      <c r="AF1101">
        <v>17.559999999999999</v>
      </c>
      <c r="AG1101">
        <v>1</v>
      </c>
      <c r="AH1101">
        <v>-12.97</v>
      </c>
      <c r="AI1101">
        <v>46.03</v>
      </c>
      <c r="AJ1101">
        <v>157.22</v>
      </c>
      <c r="AK1101">
        <v>74.89</v>
      </c>
      <c r="AL1101" t="s">
        <v>23</v>
      </c>
      <c r="AM1101" t="s">
        <v>24</v>
      </c>
      <c r="AN1101" t="str">
        <f t="shared" si="68"/>
        <v>Morning</v>
      </c>
      <c r="AO1101" t="str">
        <f t="shared" si="69"/>
        <v>Peak</v>
      </c>
      <c r="AP1101" t="str">
        <f t="shared" si="70"/>
        <v>Medium</v>
      </c>
      <c r="AQ1101" t="str">
        <f t="shared" si="71"/>
        <v>Medium</v>
      </c>
    </row>
    <row r="1102" spans="1:43" x14ac:dyDescent="0.3">
      <c r="A1102">
        <v>1101</v>
      </c>
      <c r="B1102" t="s">
        <v>29</v>
      </c>
      <c r="C1102" t="s">
        <v>30</v>
      </c>
      <c r="D1102" s="1">
        <v>46038</v>
      </c>
      <c r="E1102" t="s">
        <v>9</v>
      </c>
      <c r="F1102">
        <v>0</v>
      </c>
      <c r="G1102">
        <v>21</v>
      </c>
      <c r="H1102" t="s">
        <v>36</v>
      </c>
      <c r="I1102" t="s">
        <v>42</v>
      </c>
      <c r="J1102">
        <v>1.08</v>
      </c>
      <c r="K1102" t="s">
        <v>12</v>
      </c>
      <c r="L1102">
        <v>0</v>
      </c>
      <c r="M1102">
        <v>1</v>
      </c>
      <c r="N1102">
        <v>27</v>
      </c>
      <c r="O1102" t="s">
        <v>22</v>
      </c>
      <c r="P1102">
        <v>6</v>
      </c>
      <c r="Q1102">
        <v>7.51</v>
      </c>
      <c r="R1102">
        <v>38.6</v>
      </c>
      <c r="S1102">
        <v>112.14</v>
      </c>
      <c r="T1102">
        <v>20.36</v>
      </c>
      <c r="U1102">
        <v>1</v>
      </c>
      <c r="V1102">
        <v>0</v>
      </c>
      <c r="W1102">
        <v>132.5</v>
      </c>
      <c r="X1102">
        <v>39.799999999999997</v>
      </c>
      <c r="Y1102">
        <v>109.63</v>
      </c>
      <c r="Z1102">
        <v>20.68</v>
      </c>
      <c r="AA1102">
        <v>5.01</v>
      </c>
      <c r="AB1102">
        <v>106.81</v>
      </c>
      <c r="AC1102">
        <v>166.02590673575131</v>
      </c>
      <c r="AD1102">
        <v>14.222370173102531</v>
      </c>
      <c r="AE1102">
        <v>70.78</v>
      </c>
      <c r="AF1102">
        <v>11.57</v>
      </c>
      <c r="AG1102">
        <v>0</v>
      </c>
      <c r="AH1102">
        <v>10.44</v>
      </c>
      <c r="AI1102">
        <v>37.44</v>
      </c>
      <c r="AJ1102">
        <v>148.65</v>
      </c>
      <c r="AK1102">
        <v>67.709999999999994</v>
      </c>
      <c r="AL1102" t="s">
        <v>14</v>
      </c>
      <c r="AM1102" t="s">
        <v>15</v>
      </c>
      <c r="AN1102" t="str">
        <f t="shared" si="68"/>
        <v>Night</v>
      </c>
      <c r="AO1102" t="str">
        <f t="shared" si="69"/>
        <v>Off-Peak</v>
      </c>
      <c r="AP1102" t="str">
        <f t="shared" si="70"/>
        <v>Medium</v>
      </c>
      <c r="AQ1102" t="str">
        <f t="shared" si="71"/>
        <v>Low</v>
      </c>
    </row>
    <row r="1103" spans="1:43" x14ac:dyDescent="0.3">
      <c r="A1103">
        <v>1102</v>
      </c>
      <c r="B1103" t="s">
        <v>29</v>
      </c>
      <c r="C1103" t="s">
        <v>30</v>
      </c>
      <c r="D1103" s="1">
        <v>46188</v>
      </c>
      <c r="E1103" t="s">
        <v>38</v>
      </c>
      <c r="F1103">
        <v>0</v>
      </c>
      <c r="G1103">
        <v>7</v>
      </c>
      <c r="H1103" t="s">
        <v>47</v>
      </c>
      <c r="I1103" t="s">
        <v>46</v>
      </c>
      <c r="J1103">
        <v>1.1499999999999999</v>
      </c>
      <c r="K1103" t="s">
        <v>12</v>
      </c>
      <c r="L1103">
        <v>0</v>
      </c>
      <c r="M1103">
        <v>2.2000000000000002</v>
      </c>
      <c r="N1103">
        <v>22</v>
      </c>
      <c r="O1103" t="s">
        <v>22</v>
      </c>
      <c r="P1103">
        <v>4</v>
      </c>
      <c r="Q1103">
        <v>3.54</v>
      </c>
      <c r="R1103">
        <v>27</v>
      </c>
      <c r="S1103">
        <v>98.2</v>
      </c>
      <c r="T1103">
        <v>26.78</v>
      </c>
      <c r="U1103">
        <v>1</v>
      </c>
      <c r="V1103">
        <v>0</v>
      </c>
      <c r="W1103">
        <v>124.98</v>
      </c>
      <c r="X1103">
        <v>44.9</v>
      </c>
      <c r="Y1103">
        <v>102.69</v>
      </c>
      <c r="Z1103">
        <v>8.1</v>
      </c>
      <c r="AA1103">
        <v>4.59</v>
      </c>
      <c r="AB1103">
        <v>112.29</v>
      </c>
      <c r="AC1103">
        <v>249.53333333333333</v>
      </c>
      <c r="AD1103">
        <v>31.720338983050848</v>
      </c>
      <c r="AE1103">
        <v>61.26</v>
      </c>
      <c r="AF1103">
        <v>11.92</v>
      </c>
      <c r="AG1103">
        <v>0</v>
      </c>
      <c r="AH1103">
        <v>15.09</v>
      </c>
      <c r="AI1103">
        <v>37.090000000000003</v>
      </c>
      <c r="AJ1103">
        <v>242.95</v>
      </c>
      <c r="AK1103">
        <v>67.03</v>
      </c>
      <c r="AL1103" t="s">
        <v>23</v>
      </c>
      <c r="AM1103" t="s">
        <v>24</v>
      </c>
      <c r="AN1103" t="str">
        <f t="shared" si="68"/>
        <v>Morning</v>
      </c>
      <c r="AO1103" t="str">
        <f t="shared" si="69"/>
        <v>Peak</v>
      </c>
      <c r="AP1103" t="str">
        <f t="shared" si="70"/>
        <v>Medium</v>
      </c>
      <c r="AQ1103" t="str">
        <f t="shared" si="71"/>
        <v>Low</v>
      </c>
    </row>
    <row r="1104" spans="1:43" x14ac:dyDescent="0.3">
      <c r="A1104">
        <v>1103</v>
      </c>
      <c r="B1104" t="s">
        <v>23</v>
      </c>
      <c r="C1104" t="s">
        <v>17</v>
      </c>
      <c r="D1104" s="1">
        <v>46103</v>
      </c>
      <c r="E1104" t="s">
        <v>26</v>
      </c>
      <c r="F1104">
        <v>1</v>
      </c>
      <c r="G1104">
        <v>15</v>
      </c>
      <c r="H1104" t="s">
        <v>19</v>
      </c>
      <c r="I1104" t="s">
        <v>39</v>
      </c>
      <c r="J1104">
        <v>1.05</v>
      </c>
      <c r="K1104" t="s">
        <v>12</v>
      </c>
      <c r="L1104">
        <v>0</v>
      </c>
      <c r="M1104">
        <v>5</v>
      </c>
      <c r="N1104">
        <v>48</v>
      </c>
      <c r="O1104" t="s">
        <v>35</v>
      </c>
      <c r="P1104">
        <v>6</v>
      </c>
      <c r="Q1104">
        <v>3.22</v>
      </c>
      <c r="R1104">
        <v>36.1</v>
      </c>
      <c r="S1104">
        <v>90.67</v>
      </c>
      <c r="T1104">
        <v>59.21</v>
      </c>
      <c r="U1104">
        <v>1</v>
      </c>
      <c r="V1104">
        <v>0</v>
      </c>
      <c r="W1104">
        <v>149.88</v>
      </c>
      <c r="X1104">
        <v>48.9</v>
      </c>
      <c r="Y1104">
        <v>101.45</v>
      </c>
      <c r="Z1104">
        <v>6.68</v>
      </c>
      <c r="AA1104">
        <v>11.8</v>
      </c>
      <c r="AB1104">
        <v>131.4</v>
      </c>
      <c r="AC1104">
        <v>218.39335180055403</v>
      </c>
      <c r="AD1104">
        <v>40.807453416149066</v>
      </c>
      <c r="AE1104">
        <v>75.17</v>
      </c>
      <c r="AF1104">
        <v>15.16</v>
      </c>
      <c r="AG1104">
        <v>1</v>
      </c>
      <c r="AH1104">
        <v>-29.62</v>
      </c>
      <c r="AI1104">
        <v>18.38</v>
      </c>
      <c r="AJ1104">
        <v>224.41</v>
      </c>
      <c r="AK1104">
        <v>66.86</v>
      </c>
      <c r="AL1104" t="s">
        <v>23</v>
      </c>
      <c r="AM1104" t="s">
        <v>24</v>
      </c>
      <c r="AN1104" t="str">
        <f t="shared" si="68"/>
        <v>Evening</v>
      </c>
      <c r="AO1104" t="str">
        <f t="shared" si="69"/>
        <v>Off-Peak</v>
      </c>
      <c r="AP1104" t="str">
        <f t="shared" si="70"/>
        <v>Medium</v>
      </c>
      <c r="AQ1104" t="str">
        <f t="shared" si="71"/>
        <v>Medium</v>
      </c>
    </row>
    <row r="1105" spans="1:43" x14ac:dyDescent="0.3">
      <c r="A1105">
        <v>1104</v>
      </c>
      <c r="B1105" t="s">
        <v>14</v>
      </c>
      <c r="C1105" t="s">
        <v>8</v>
      </c>
      <c r="D1105" s="1">
        <v>46074</v>
      </c>
      <c r="E1105" t="s">
        <v>31</v>
      </c>
      <c r="F1105">
        <v>1</v>
      </c>
      <c r="G1105">
        <v>20</v>
      </c>
      <c r="H1105" t="s">
        <v>51</v>
      </c>
      <c r="I1105" t="s">
        <v>11</v>
      </c>
      <c r="J1105">
        <v>1.18</v>
      </c>
      <c r="K1105" t="s">
        <v>21</v>
      </c>
      <c r="L1105">
        <v>0</v>
      </c>
      <c r="M1105">
        <v>4.57</v>
      </c>
      <c r="N1105">
        <v>95</v>
      </c>
      <c r="O1105" t="s">
        <v>13</v>
      </c>
      <c r="P1105">
        <v>43</v>
      </c>
      <c r="Q1105">
        <v>6.05</v>
      </c>
      <c r="R1105">
        <v>60.1</v>
      </c>
      <c r="S1105">
        <v>100.68</v>
      </c>
      <c r="T1105">
        <v>97.2</v>
      </c>
      <c r="U1105">
        <v>1</v>
      </c>
      <c r="V1105">
        <v>0</v>
      </c>
      <c r="W1105">
        <v>197.88</v>
      </c>
      <c r="X1105">
        <v>49.9</v>
      </c>
      <c r="Y1105">
        <v>101.53</v>
      </c>
      <c r="Z1105">
        <v>12.32</v>
      </c>
      <c r="AA1105">
        <v>7.37</v>
      </c>
      <c r="AB1105">
        <v>178.19</v>
      </c>
      <c r="AC1105">
        <v>177.89351081530782</v>
      </c>
      <c r="AD1105">
        <v>29.452892561983472</v>
      </c>
      <c r="AE1105">
        <v>77.010000000000005</v>
      </c>
      <c r="AF1105">
        <v>11.76</v>
      </c>
      <c r="AG1105">
        <v>1</v>
      </c>
      <c r="AH1105">
        <v>-8.61</v>
      </c>
      <c r="AI1105">
        <v>86.39</v>
      </c>
      <c r="AJ1105">
        <v>182.51</v>
      </c>
      <c r="AK1105">
        <v>79.209999999999994</v>
      </c>
      <c r="AL1105" t="s">
        <v>14</v>
      </c>
      <c r="AM1105" t="s">
        <v>15</v>
      </c>
      <c r="AN1105" t="str">
        <f t="shared" si="68"/>
        <v>Night</v>
      </c>
      <c r="AO1105" t="str">
        <f t="shared" si="69"/>
        <v>Peak</v>
      </c>
      <c r="AP1105" t="str">
        <f t="shared" si="70"/>
        <v>Medium</v>
      </c>
      <c r="AQ1105" t="str">
        <f t="shared" si="71"/>
        <v>High</v>
      </c>
    </row>
    <row r="1106" spans="1:43" x14ac:dyDescent="0.3">
      <c r="A1106">
        <v>1105</v>
      </c>
      <c r="B1106" t="s">
        <v>48</v>
      </c>
      <c r="C1106" t="s">
        <v>30</v>
      </c>
      <c r="D1106" s="1">
        <v>46027</v>
      </c>
      <c r="E1106" t="s">
        <v>38</v>
      </c>
      <c r="F1106">
        <v>0</v>
      </c>
      <c r="G1106">
        <v>18</v>
      </c>
      <c r="H1106" t="s">
        <v>32</v>
      </c>
      <c r="I1106" t="s">
        <v>28</v>
      </c>
      <c r="J1106">
        <v>1.03</v>
      </c>
      <c r="K1106" t="s">
        <v>21</v>
      </c>
      <c r="L1106">
        <v>0</v>
      </c>
      <c r="M1106">
        <v>3.22</v>
      </c>
      <c r="N1106">
        <v>63</v>
      </c>
      <c r="O1106" t="s">
        <v>35</v>
      </c>
      <c r="P1106">
        <v>23</v>
      </c>
      <c r="Q1106">
        <v>3.39</v>
      </c>
      <c r="R1106">
        <v>38.799999999999997</v>
      </c>
      <c r="S1106">
        <v>101.94</v>
      </c>
      <c r="T1106">
        <v>78.45</v>
      </c>
      <c r="U1106">
        <v>1</v>
      </c>
      <c r="V1106">
        <v>0</v>
      </c>
      <c r="W1106">
        <v>180.39</v>
      </c>
      <c r="X1106">
        <v>41.3</v>
      </c>
      <c r="Y1106">
        <v>108.96</v>
      </c>
      <c r="Z1106">
        <v>8.9600000000000009</v>
      </c>
      <c r="AA1106">
        <v>7.62</v>
      </c>
      <c r="AB1106">
        <v>163.81</v>
      </c>
      <c r="AC1106">
        <v>253.31443298969074</v>
      </c>
      <c r="AD1106">
        <v>48.321533923303832</v>
      </c>
      <c r="AE1106">
        <v>82.72</v>
      </c>
      <c r="AF1106">
        <v>15.57</v>
      </c>
      <c r="AG1106">
        <v>1</v>
      </c>
      <c r="AH1106">
        <v>8.3000000000000007</v>
      </c>
      <c r="AI1106">
        <v>71.3</v>
      </c>
      <c r="AJ1106">
        <v>282.57</v>
      </c>
      <c r="AK1106">
        <v>79.7</v>
      </c>
      <c r="AL1106" t="s">
        <v>14</v>
      </c>
      <c r="AM1106" t="s">
        <v>15</v>
      </c>
      <c r="AN1106" t="str">
        <f t="shared" si="68"/>
        <v>Night</v>
      </c>
      <c r="AO1106" t="str">
        <f t="shared" si="69"/>
        <v>Peak</v>
      </c>
      <c r="AP1106" t="str">
        <f t="shared" si="70"/>
        <v>High</v>
      </c>
      <c r="AQ1106" t="str">
        <f t="shared" si="71"/>
        <v>Medium</v>
      </c>
    </row>
    <row r="1107" spans="1:43" x14ac:dyDescent="0.3">
      <c r="A1107">
        <v>1106</v>
      </c>
      <c r="B1107" t="s">
        <v>14</v>
      </c>
      <c r="C1107" t="s">
        <v>8</v>
      </c>
      <c r="D1107" s="1">
        <v>46252</v>
      </c>
      <c r="E1107" t="s">
        <v>44</v>
      </c>
      <c r="F1107">
        <v>0</v>
      </c>
      <c r="G1107">
        <v>10</v>
      </c>
      <c r="H1107" t="s">
        <v>49</v>
      </c>
      <c r="I1107" t="s">
        <v>45</v>
      </c>
      <c r="J1107">
        <v>1</v>
      </c>
      <c r="K1107" t="s">
        <v>12</v>
      </c>
      <c r="L1107">
        <v>0</v>
      </c>
      <c r="M1107">
        <v>2.97</v>
      </c>
      <c r="N1107">
        <v>6</v>
      </c>
      <c r="O1107" t="s">
        <v>22</v>
      </c>
      <c r="P1107">
        <v>2</v>
      </c>
      <c r="Q1107">
        <v>8.06</v>
      </c>
      <c r="R1107">
        <v>51.8</v>
      </c>
      <c r="S1107">
        <v>115.83</v>
      </c>
      <c r="T1107">
        <v>0</v>
      </c>
      <c r="U1107">
        <v>1</v>
      </c>
      <c r="V1107">
        <v>0</v>
      </c>
      <c r="W1107">
        <v>115.83</v>
      </c>
      <c r="X1107">
        <v>43.1</v>
      </c>
      <c r="Y1107">
        <v>101.02</v>
      </c>
      <c r="Z1107">
        <v>18.89</v>
      </c>
      <c r="AA1107">
        <v>2.08</v>
      </c>
      <c r="AB1107">
        <v>94.86</v>
      </c>
      <c r="AC1107">
        <v>109.87644787644788</v>
      </c>
      <c r="AD1107">
        <v>11.769230769230768</v>
      </c>
      <c r="AE1107">
        <v>79.73</v>
      </c>
      <c r="AF1107">
        <v>17.43</v>
      </c>
      <c r="AG1107">
        <v>0</v>
      </c>
      <c r="AH1107">
        <v>-18.13</v>
      </c>
      <c r="AI1107">
        <v>5</v>
      </c>
      <c r="AJ1107">
        <v>123.7</v>
      </c>
      <c r="AK1107">
        <v>60</v>
      </c>
      <c r="AL1107" t="s">
        <v>14</v>
      </c>
      <c r="AM1107" t="s">
        <v>15</v>
      </c>
      <c r="AN1107" t="str">
        <f t="shared" si="68"/>
        <v>Morning</v>
      </c>
      <c r="AO1107" t="str">
        <f t="shared" si="69"/>
        <v>Peak</v>
      </c>
      <c r="AP1107" t="str">
        <f t="shared" si="70"/>
        <v>Low</v>
      </c>
      <c r="AQ1107" t="str">
        <f t="shared" si="71"/>
        <v>Low</v>
      </c>
    </row>
    <row r="1108" spans="1:43" x14ac:dyDescent="0.3">
      <c r="A1108">
        <v>1107</v>
      </c>
      <c r="B1108" t="s">
        <v>14</v>
      </c>
      <c r="C1108" t="s">
        <v>8</v>
      </c>
      <c r="D1108" s="1">
        <v>46238</v>
      </c>
      <c r="E1108" t="s">
        <v>44</v>
      </c>
      <c r="F1108">
        <v>0</v>
      </c>
      <c r="G1108">
        <v>14</v>
      </c>
      <c r="H1108" t="s">
        <v>10</v>
      </c>
      <c r="I1108" t="s">
        <v>50</v>
      </c>
      <c r="J1108">
        <v>1.2</v>
      </c>
      <c r="K1108" t="s">
        <v>12</v>
      </c>
      <c r="L1108">
        <v>0</v>
      </c>
      <c r="M1108">
        <v>4.1500000000000004</v>
      </c>
      <c r="N1108">
        <v>73</v>
      </c>
      <c r="O1108" t="s">
        <v>13</v>
      </c>
      <c r="P1108">
        <v>22</v>
      </c>
      <c r="Q1108">
        <v>1.6</v>
      </c>
      <c r="R1108">
        <v>29</v>
      </c>
      <c r="S1108">
        <v>62.36</v>
      </c>
      <c r="T1108">
        <v>78.42</v>
      </c>
      <c r="U1108">
        <v>1</v>
      </c>
      <c r="V1108">
        <v>0</v>
      </c>
      <c r="W1108">
        <v>140.78</v>
      </c>
      <c r="X1108">
        <v>37.6</v>
      </c>
      <c r="Y1108">
        <v>103.4</v>
      </c>
      <c r="Z1108">
        <v>4.42</v>
      </c>
      <c r="AA1108">
        <v>3.82</v>
      </c>
      <c r="AB1108">
        <v>132.54</v>
      </c>
      <c r="AC1108">
        <v>274.22068965517241</v>
      </c>
      <c r="AD1108">
        <v>82.837499999999991</v>
      </c>
      <c r="AE1108">
        <v>83.96</v>
      </c>
      <c r="AF1108">
        <v>16.86</v>
      </c>
      <c r="AG1108">
        <v>1</v>
      </c>
      <c r="AH1108">
        <v>14.74</v>
      </c>
      <c r="AI1108">
        <v>87.74</v>
      </c>
      <c r="AJ1108">
        <v>284.87</v>
      </c>
      <c r="AK1108">
        <v>71.66</v>
      </c>
      <c r="AL1108" t="s">
        <v>14</v>
      </c>
      <c r="AM1108" t="s">
        <v>15</v>
      </c>
      <c r="AN1108" t="str">
        <f t="shared" si="68"/>
        <v>Afternoon</v>
      </c>
      <c r="AO1108" t="str">
        <f t="shared" si="69"/>
        <v>Off-Peak</v>
      </c>
      <c r="AP1108" t="str">
        <f t="shared" si="70"/>
        <v>High</v>
      </c>
      <c r="AQ1108" t="str">
        <f t="shared" si="71"/>
        <v>High</v>
      </c>
    </row>
    <row r="1109" spans="1:43" x14ac:dyDescent="0.3">
      <c r="A1109">
        <v>1108</v>
      </c>
      <c r="B1109" t="s">
        <v>23</v>
      </c>
      <c r="C1109" t="s">
        <v>17</v>
      </c>
      <c r="D1109" s="1">
        <v>46232</v>
      </c>
      <c r="E1109" t="s">
        <v>18</v>
      </c>
      <c r="F1109">
        <v>0</v>
      </c>
      <c r="G1109">
        <v>15</v>
      </c>
      <c r="H1109" t="s">
        <v>19</v>
      </c>
      <c r="I1109" t="s">
        <v>46</v>
      </c>
      <c r="J1109">
        <v>1.1499999999999999</v>
      </c>
      <c r="K1109" t="s">
        <v>21</v>
      </c>
      <c r="L1109">
        <v>0</v>
      </c>
      <c r="M1109">
        <v>3.68</v>
      </c>
      <c r="N1109">
        <v>23</v>
      </c>
      <c r="O1109" t="s">
        <v>22</v>
      </c>
      <c r="P1109">
        <v>5</v>
      </c>
      <c r="Q1109">
        <v>1</v>
      </c>
      <c r="R1109">
        <v>23.1</v>
      </c>
      <c r="S1109">
        <v>62.09</v>
      </c>
      <c r="T1109">
        <v>26.1</v>
      </c>
      <c r="U1109">
        <v>1.01</v>
      </c>
      <c r="V1109">
        <v>0.62</v>
      </c>
      <c r="W1109">
        <v>88.81</v>
      </c>
      <c r="X1109">
        <v>45.4</v>
      </c>
      <c r="Y1109">
        <v>105.3</v>
      </c>
      <c r="Z1109">
        <v>2.3199999999999998</v>
      </c>
      <c r="AA1109">
        <v>5.57</v>
      </c>
      <c r="AB1109">
        <v>80.92</v>
      </c>
      <c r="AC1109">
        <v>210.18181818181819</v>
      </c>
      <c r="AD1109">
        <v>80.92</v>
      </c>
      <c r="AE1109">
        <v>81.75</v>
      </c>
      <c r="AF1109">
        <v>14.89</v>
      </c>
      <c r="AG1109">
        <v>0</v>
      </c>
      <c r="AH1109">
        <v>18.739999999999998</v>
      </c>
      <c r="AI1109">
        <v>41.74</v>
      </c>
      <c r="AJ1109">
        <v>181.04</v>
      </c>
      <c r="AK1109">
        <v>62.08</v>
      </c>
      <c r="AL1109" t="s">
        <v>23</v>
      </c>
      <c r="AM1109" t="s">
        <v>24</v>
      </c>
      <c r="AN1109" t="str">
        <f t="shared" si="68"/>
        <v>Evening</v>
      </c>
      <c r="AO1109" t="str">
        <f t="shared" si="69"/>
        <v>Off-Peak</v>
      </c>
      <c r="AP1109" t="str">
        <f t="shared" si="70"/>
        <v>Medium</v>
      </c>
      <c r="AQ1109" t="str">
        <f t="shared" si="71"/>
        <v>Low</v>
      </c>
    </row>
    <row r="1110" spans="1:43" x14ac:dyDescent="0.3">
      <c r="A1110">
        <v>1109</v>
      </c>
      <c r="B1110" t="s">
        <v>23</v>
      </c>
      <c r="C1110" t="s">
        <v>17</v>
      </c>
      <c r="D1110" s="1">
        <v>46037</v>
      </c>
      <c r="E1110" t="s">
        <v>41</v>
      </c>
      <c r="F1110">
        <v>0</v>
      </c>
      <c r="G1110">
        <v>19</v>
      </c>
      <c r="H1110" t="s">
        <v>40</v>
      </c>
      <c r="I1110" t="s">
        <v>50</v>
      </c>
      <c r="J1110">
        <v>1.2</v>
      </c>
      <c r="K1110" t="s">
        <v>21</v>
      </c>
      <c r="L1110">
        <v>0</v>
      </c>
      <c r="M1110">
        <v>5</v>
      </c>
      <c r="N1110">
        <v>49</v>
      </c>
      <c r="O1110" t="s">
        <v>35</v>
      </c>
      <c r="P1110">
        <v>8</v>
      </c>
      <c r="Q1110">
        <v>5.57</v>
      </c>
      <c r="R1110">
        <v>48.6</v>
      </c>
      <c r="S1110">
        <v>129.93</v>
      </c>
      <c r="T1110">
        <v>53.79</v>
      </c>
      <c r="U1110">
        <v>1.35</v>
      </c>
      <c r="V1110">
        <v>45.48</v>
      </c>
      <c r="W1110">
        <v>229.2</v>
      </c>
      <c r="X1110">
        <v>47.6</v>
      </c>
      <c r="Y1110">
        <v>106.13</v>
      </c>
      <c r="Z1110">
        <v>12.42</v>
      </c>
      <c r="AA1110">
        <v>11.66</v>
      </c>
      <c r="AB1110">
        <v>205.12</v>
      </c>
      <c r="AC1110">
        <v>253.23456790123456</v>
      </c>
      <c r="AD1110">
        <v>36.825852782764812</v>
      </c>
      <c r="AE1110">
        <v>90.35</v>
      </c>
      <c r="AF1110">
        <v>19.8</v>
      </c>
      <c r="AG1110">
        <v>1</v>
      </c>
      <c r="AH1110">
        <v>0.56999999999999995</v>
      </c>
      <c r="AI1110">
        <v>49.57</v>
      </c>
      <c r="AJ1110">
        <v>250.76</v>
      </c>
      <c r="AK1110">
        <v>77.709999999999994</v>
      </c>
      <c r="AL1110" t="s">
        <v>23</v>
      </c>
      <c r="AM1110" t="s">
        <v>24</v>
      </c>
      <c r="AN1110" t="str">
        <f t="shared" si="68"/>
        <v>Night</v>
      </c>
      <c r="AO1110" t="str">
        <f t="shared" si="69"/>
        <v>Peak</v>
      </c>
      <c r="AP1110" t="str">
        <f t="shared" si="70"/>
        <v>High</v>
      </c>
      <c r="AQ1110" t="str">
        <f t="shared" si="71"/>
        <v>Medium</v>
      </c>
    </row>
    <row r="1111" spans="1:43" x14ac:dyDescent="0.3">
      <c r="A1111">
        <v>1110</v>
      </c>
      <c r="B1111" t="s">
        <v>7</v>
      </c>
      <c r="C1111" t="s">
        <v>8</v>
      </c>
      <c r="D1111" s="1">
        <v>46113</v>
      </c>
      <c r="E1111" t="s">
        <v>18</v>
      </c>
      <c r="F1111">
        <v>0</v>
      </c>
      <c r="G1111">
        <v>13</v>
      </c>
      <c r="H1111" t="s">
        <v>10</v>
      </c>
      <c r="I1111" t="s">
        <v>39</v>
      </c>
      <c r="J1111">
        <v>1.05</v>
      </c>
      <c r="K1111" t="s">
        <v>12</v>
      </c>
      <c r="L1111">
        <v>0</v>
      </c>
      <c r="M1111">
        <v>4.41</v>
      </c>
      <c r="N1111">
        <v>74</v>
      </c>
      <c r="O1111" t="s">
        <v>13</v>
      </c>
      <c r="P1111">
        <v>40</v>
      </c>
      <c r="Q1111">
        <v>2.44</v>
      </c>
      <c r="R1111">
        <v>38.9</v>
      </c>
      <c r="S1111">
        <v>59.38</v>
      </c>
      <c r="T1111">
        <v>84.43</v>
      </c>
      <c r="U1111">
        <v>1</v>
      </c>
      <c r="V1111">
        <v>0</v>
      </c>
      <c r="W1111">
        <v>143.81</v>
      </c>
      <c r="X1111">
        <v>47</v>
      </c>
      <c r="Y1111">
        <v>105.96</v>
      </c>
      <c r="Z1111">
        <v>5.5</v>
      </c>
      <c r="AA1111">
        <v>3.75</v>
      </c>
      <c r="AB1111">
        <v>134.56</v>
      </c>
      <c r="AC1111">
        <v>207.54755784061697</v>
      </c>
      <c r="AD1111">
        <v>55.147540983606561</v>
      </c>
      <c r="AE1111">
        <v>81.040000000000006</v>
      </c>
      <c r="AF1111">
        <v>17.440000000000001</v>
      </c>
      <c r="AG1111">
        <v>1</v>
      </c>
      <c r="AH1111">
        <v>-8.61</v>
      </c>
      <c r="AI1111">
        <v>65.39</v>
      </c>
      <c r="AJ1111">
        <v>207.26</v>
      </c>
      <c r="AK1111">
        <v>69.92</v>
      </c>
      <c r="AL1111" t="s">
        <v>14</v>
      </c>
      <c r="AM1111" t="s">
        <v>15</v>
      </c>
      <c r="AN1111" t="str">
        <f t="shared" si="68"/>
        <v>Afternoon</v>
      </c>
      <c r="AO1111" t="str">
        <f t="shared" si="69"/>
        <v>Off-Peak</v>
      </c>
      <c r="AP1111" t="str">
        <f t="shared" si="70"/>
        <v>Medium</v>
      </c>
      <c r="AQ1111" t="str">
        <f t="shared" si="71"/>
        <v>High</v>
      </c>
    </row>
    <row r="1112" spans="1:43" x14ac:dyDescent="0.3">
      <c r="A1112">
        <v>1111</v>
      </c>
      <c r="B1112" t="s">
        <v>25</v>
      </c>
      <c r="C1112" t="s">
        <v>17</v>
      </c>
      <c r="D1112" s="1">
        <v>46273</v>
      </c>
      <c r="E1112" t="s">
        <v>44</v>
      </c>
      <c r="F1112">
        <v>0</v>
      </c>
      <c r="G1112">
        <v>11</v>
      </c>
      <c r="H1112" t="s">
        <v>19</v>
      </c>
      <c r="I1112" t="s">
        <v>42</v>
      </c>
      <c r="J1112">
        <v>1.08</v>
      </c>
      <c r="K1112" t="s">
        <v>34</v>
      </c>
      <c r="L1112">
        <v>1</v>
      </c>
      <c r="M1112">
        <v>3.07</v>
      </c>
      <c r="N1112">
        <v>53</v>
      </c>
      <c r="O1112" t="s">
        <v>35</v>
      </c>
      <c r="P1112">
        <v>11</v>
      </c>
      <c r="Q1112">
        <v>1.39</v>
      </c>
      <c r="R1112">
        <v>25.1</v>
      </c>
      <c r="S1112">
        <v>83.3</v>
      </c>
      <c r="T1112">
        <v>53.37</v>
      </c>
      <c r="U1112">
        <v>1.1200000000000001</v>
      </c>
      <c r="V1112">
        <v>10</v>
      </c>
      <c r="W1112">
        <v>146.66999999999999</v>
      </c>
      <c r="X1112">
        <v>40.200000000000003</v>
      </c>
      <c r="Y1112">
        <v>107.86</v>
      </c>
      <c r="Z1112">
        <v>3.73</v>
      </c>
      <c r="AA1112">
        <v>5.03</v>
      </c>
      <c r="AB1112">
        <v>137.91</v>
      </c>
      <c r="AC1112">
        <v>329.66533864541833</v>
      </c>
      <c r="AD1112">
        <v>99.2158273381295</v>
      </c>
      <c r="AE1112">
        <v>85.03</v>
      </c>
      <c r="AF1112">
        <v>14.76</v>
      </c>
      <c r="AG1112">
        <v>0</v>
      </c>
      <c r="AH1112">
        <v>-31.66</v>
      </c>
      <c r="AI1112">
        <v>21.34</v>
      </c>
      <c r="AJ1112">
        <v>323.51</v>
      </c>
      <c r="AK1112">
        <v>69.08</v>
      </c>
      <c r="AL1112" t="s">
        <v>23</v>
      </c>
      <c r="AM1112" t="s">
        <v>24</v>
      </c>
      <c r="AN1112" t="str">
        <f t="shared" si="68"/>
        <v>Afternoon</v>
      </c>
      <c r="AO1112" t="str">
        <f t="shared" si="69"/>
        <v>Off-Peak</v>
      </c>
      <c r="AP1112" t="str">
        <f t="shared" si="70"/>
        <v>High</v>
      </c>
      <c r="AQ1112" t="str">
        <f t="shared" si="71"/>
        <v>Medium</v>
      </c>
    </row>
    <row r="1113" spans="1:43" x14ac:dyDescent="0.3">
      <c r="A1113">
        <v>1112</v>
      </c>
      <c r="B1113" t="s">
        <v>14</v>
      </c>
      <c r="C1113" t="s">
        <v>8</v>
      </c>
      <c r="D1113" s="1">
        <v>46172</v>
      </c>
      <c r="E1113" t="s">
        <v>31</v>
      </c>
      <c r="F1113">
        <v>1</v>
      </c>
      <c r="G1113">
        <v>19</v>
      </c>
      <c r="H1113" t="s">
        <v>51</v>
      </c>
      <c r="I1113" t="s">
        <v>45</v>
      </c>
      <c r="J1113">
        <v>1</v>
      </c>
      <c r="K1113" t="s">
        <v>21</v>
      </c>
      <c r="L1113">
        <v>0</v>
      </c>
      <c r="M1113">
        <v>4.7300000000000004</v>
      </c>
      <c r="N1113">
        <v>117</v>
      </c>
      <c r="O1113" t="s">
        <v>13</v>
      </c>
      <c r="P1113">
        <v>37</v>
      </c>
      <c r="Q1113">
        <v>14.43</v>
      </c>
      <c r="R1113">
        <v>100</v>
      </c>
      <c r="S1113">
        <v>162.11000000000001</v>
      </c>
      <c r="T1113">
        <v>100</v>
      </c>
      <c r="U1113">
        <v>1</v>
      </c>
      <c r="V1113">
        <v>0</v>
      </c>
      <c r="W1113">
        <v>262.11</v>
      </c>
      <c r="X1113">
        <v>49.4</v>
      </c>
      <c r="Y1113">
        <v>105.72</v>
      </c>
      <c r="Z1113">
        <v>30.85</v>
      </c>
      <c r="AA1113">
        <v>11.9</v>
      </c>
      <c r="AB1113">
        <v>219.36</v>
      </c>
      <c r="AC1113">
        <v>131.61600000000001</v>
      </c>
      <c r="AD1113">
        <v>15.201663201663203</v>
      </c>
      <c r="AE1113">
        <v>85.31</v>
      </c>
      <c r="AF1113">
        <v>14.69</v>
      </c>
      <c r="AG1113">
        <v>1</v>
      </c>
      <c r="AH1113">
        <v>15.21</v>
      </c>
      <c r="AI1113">
        <v>132.21</v>
      </c>
      <c r="AJ1113">
        <v>142.47999999999999</v>
      </c>
      <c r="AK1113">
        <v>81.709999999999994</v>
      </c>
      <c r="AL1113" t="s">
        <v>14</v>
      </c>
      <c r="AM1113" t="s">
        <v>15</v>
      </c>
      <c r="AN1113" t="str">
        <f t="shared" si="68"/>
        <v>Night</v>
      </c>
      <c r="AO1113" t="str">
        <f t="shared" si="69"/>
        <v>Peak</v>
      </c>
      <c r="AP1113" t="str">
        <f t="shared" si="70"/>
        <v>Low</v>
      </c>
      <c r="AQ1113" t="str">
        <f t="shared" si="71"/>
        <v>High</v>
      </c>
    </row>
    <row r="1114" spans="1:43" x14ac:dyDescent="0.3">
      <c r="A1114">
        <v>1113</v>
      </c>
      <c r="B1114" t="s">
        <v>14</v>
      </c>
      <c r="C1114" t="s">
        <v>8</v>
      </c>
      <c r="D1114" s="1">
        <v>46056</v>
      </c>
      <c r="E1114" t="s">
        <v>44</v>
      </c>
      <c r="F1114">
        <v>0</v>
      </c>
      <c r="G1114">
        <v>21</v>
      </c>
      <c r="H1114" t="s">
        <v>51</v>
      </c>
      <c r="I1114" t="s">
        <v>39</v>
      </c>
      <c r="J1114">
        <v>1.05</v>
      </c>
      <c r="K1114" t="s">
        <v>34</v>
      </c>
      <c r="L1114">
        <v>1</v>
      </c>
      <c r="M1114">
        <v>4.04</v>
      </c>
      <c r="N1114">
        <v>81</v>
      </c>
      <c r="O1114" t="s">
        <v>13</v>
      </c>
      <c r="P1114">
        <v>32</v>
      </c>
      <c r="Q1114">
        <v>3.8</v>
      </c>
      <c r="R1114">
        <v>47.5</v>
      </c>
      <c r="S1114">
        <v>79.040000000000006</v>
      </c>
      <c r="T1114">
        <v>95.58</v>
      </c>
      <c r="U1114">
        <v>1</v>
      </c>
      <c r="V1114">
        <v>0</v>
      </c>
      <c r="W1114">
        <v>174.62</v>
      </c>
      <c r="X1114">
        <v>36.799999999999997</v>
      </c>
      <c r="Y1114">
        <v>108.51</v>
      </c>
      <c r="Z1114">
        <v>11.19</v>
      </c>
      <c r="AA1114">
        <v>6.81</v>
      </c>
      <c r="AB1114">
        <v>156.62</v>
      </c>
      <c r="AC1114">
        <v>197.83578947368423</v>
      </c>
      <c r="AD1114">
        <v>41.215789473684211</v>
      </c>
      <c r="AE1114">
        <v>63.28</v>
      </c>
      <c r="AF1114">
        <v>13.93</v>
      </c>
      <c r="AG1114">
        <v>1</v>
      </c>
      <c r="AH1114">
        <v>33.04</v>
      </c>
      <c r="AI1114">
        <v>114.04</v>
      </c>
      <c r="AJ1114">
        <v>214.02</v>
      </c>
      <c r="AK1114">
        <v>73.94</v>
      </c>
      <c r="AL1114" t="s">
        <v>14</v>
      </c>
      <c r="AM1114" t="s">
        <v>15</v>
      </c>
      <c r="AN1114" t="str">
        <f t="shared" si="68"/>
        <v>Night</v>
      </c>
      <c r="AO1114" t="str">
        <f t="shared" si="69"/>
        <v>Off-Peak</v>
      </c>
      <c r="AP1114" t="str">
        <f t="shared" si="70"/>
        <v>Medium</v>
      </c>
      <c r="AQ1114" t="str">
        <f t="shared" si="71"/>
        <v>High</v>
      </c>
    </row>
    <row r="1115" spans="1:43" x14ac:dyDescent="0.3">
      <c r="A1115">
        <v>1114</v>
      </c>
      <c r="B1115" t="s">
        <v>48</v>
      </c>
      <c r="C1115" t="s">
        <v>30</v>
      </c>
      <c r="D1115" s="1">
        <v>46059</v>
      </c>
      <c r="E1115" t="s">
        <v>9</v>
      </c>
      <c r="F1115">
        <v>0</v>
      </c>
      <c r="G1115">
        <v>14</v>
      </c>
      <c r="H1115" t="s">
        <v>43</v>
      </c>
      <c r="I1115" t="s">
        <v>45</v>
      </c>
      <c r="J1115">
        <v>1</v>
      </c>
      <c r="K1115" t="s">
        <v>34</v>
      </c>
      <c r="L1115">
        <v>1</v>
      </c>
      <c r="M1115">
        <v>2.67</v>
      </c>
      <c r="N1115">
        <v>34</v>
      </c>
      <c r="O1115" t="s">
        <v>22</v>
      </c>
      <c r="P1115">
        <v>8</v>
      </c>
      <c r="Q1115">
        <v>1.1100000000000001</v>
      </c>
      <c r="R1115">
        <v>30.2</v>
      </c>
      <c r="S1115">
        <v>53.91</v>
      </c>
      <c r="T1115">
        <v>27.96</v>
      </c>
      <c r="U1115">
        <v>1</v>
      </c>
      <c r="V1115">
        <v>0</v>
      </c>
      <c r="W1115">
        <v>81.87</v>
      </c>
      <c r="X1115">
        <v>42.4</v>
      </c>
      <c r="Y1115">
        <v>100.85</v>
      </c>
      <c r="Z1115">
        <v>2.64</v>
      </c>
      <c r="AA1115">
        <v>5.18</v>
      </c>
      <c r="AB1115">
        <v>74.05</v>
      </c>
      <c r="AC1115">
        <v>147.11920529801324</v>
      </c>
      <c r="AD1115">
        <v>66.7117117117117</v>
      </c>
      <c r="AE1115">
        <v>73.48</v>
      </c>
      <c r="AF1115">
        <v>15.2</v>
      </c>
      <c r="AG1115">
        <v>0</v>
      </c>
      <c r="AH1115">
        <v>29.93</v>
      </c>
      <c r="AI1115">
        <v>63.93</v>
      </c>
      <c r="AJ1115">
        <v>126.85</v>
      </c>
      <c r="AK1115">
        <v>60.97</v>
      </c>
      <c r="AL1115" t="s">
        <v>14</v>
      </c>
      <c r="AM1115" t="s">
        <v>15</v>
      </c>
      <c r="AN1115" t="str">
        <f t="shared" si="68"/>
        <v>Afternoon</v>
      </c>
      <c r="AO1115" t="str">
        <f t="shared" si="69"/>
        <v>Off-Peak</v>
      </c>
      <c r="AP1115" t="str">
        <f t="shared" si="70"/>
        <v>Low</v>
      </c>
      <c r="AQ1115" t="str">
        <f t="shared" si="71"/>
        <v>Low</v>
      </c>
    </row>
    <row r="1116" spans="1:43" x14ac:dyDescent="0.3">
      <c r="A1116">
        <v>1115</v>
      </c>
      <c r="B1116" t="s">
        <v>14</v>
      </c>
      <c r="C1116" t="s">
        <v>8</v>
      </c>
      <c r="D1116" s="1">
        <v>46090</v>
      </c>
      <c r="E1116" t="s">
        <v>38</v>
      </c>
      <c r="F1116">
        <v>0</v>
      </c>
      <c r="G1116">
        <v>7</v>
      </c>
      <c r="H1116" t="s">
        <v>49</v>
      </c>
      <c r="I1116" t="s">
        <v>42</v>
      </c>
      <c r="J1116">
        <v>1.08</v>
      </c>
      <c r="K1116" t="s">
        <v>34</v>
      </c>
      <c r="L1116">
        <v>1</v>
      </c>
      <c r="M1116">
        <v>2.09</v>
      </c>
      <c r="N1116">
        <v>28</v>
      </c>
      <c r="O1116" t="s">
        <v>22</v>
      </c>
      <c r="P1116">
        <v>13</v>
      </c>
      <c r="Q1116">
        <v>2.2000000000000002</v>
      </c>
      <c r="R1116">
        <v>29.6</v>
      </c>
      <c r="S1116">
        <v>77.03</v>
      </c>
      <c r="T1116">
        <v>53.08</v>
      </c>
      <c r="U1116">
        <v>1</v>
      </c>
      <c r="V1116">
        <v>0</v>
      </c>
      <c r="W1116">
        <v>130.11000000000001</v>
      </c>
      <c r="X1116">
        <v>43.3</v>
      </c>
      <c r="Y1116">
        <v>108.59</v>
      </c>
      <c r="Z1116">
        <v>5.52</v>
      </c>
      <c r="AA1116">
        <v>8.34</v>
      </c>
      <c r="AB1116">
        <v>116.25</v>
      </c>
      <c r="AC1116">
        <v>235.64189189189187</v>
      </c>
      <c r="AD1116">
        <v>52.840909090909086</v>
      </c>
      <c r="AE1116">
        <v>67.3</v>
      </c>
      <c r="AF1116">
        <v>17.39</v>
      </c>
      <c r="AG1116">
        <v>0</v>
      </c>
      <c r="AH1116">
        <v>0.08</v>
      </c>
      <c r="AI1116">
        <v>28.08</v>
      </c>
      <c r="AJ1116">
        <v>252.37</v>
      </c>
      <c r="AK1116">
        <v>69.97</v>
      </c>
      <c r="AL1116" t="s">
        <v>23</v>
      </c>
      <c r="AM1116" t="s">
        <v>24</v>
      </c>
      <c r="AN1116" t="str">
        <f t="shared" si="68"/>
        <v>Morning</v>
      </c>
      <c r="AO1116" t="str">
        <f t="shared" si="69"/>
        <v>Peak</v>
      </c>
      <c r="AP1116" t="str">
        <f t="shared" si="70"/>
        <v>Medium</v>
      </c>
      <c r="AQ1116" t="str">
        <f t="shared" si="71"/>
        <v>Low</v>
      </c>
    </row>
    <row r="1117" spans="1:43" x14ac:dyDescent="0.3">
      <c r="A1117">
        <v>1116</v>
      </c>
      <c r="B1117" t="s">
        <v>29</v>
      </c>
      <c r="C1117" t="s">
        <v>30</v>
      </c>
      <c r="D1117" s="1">
        <v>46273</v>
      </c>
      <c r="E1117" t="s">
        <v>44</v>
      </c>
      <c r="F1117">
        <v>0</v>
      </c>
      <c r="G1117">
        <v>15</v>
      </c>
      <c r="H1117" t="s">
        <v>43</v>
      </c>
      <c r="I1117" t="s">
        <v>45</v>
      </c>
      <c r="J1117">
        <v>1</v>
      </c>
      <c r="K1117" t="s">
        <v>21</v>
      </c>
      <c r="L1117">
        <v>0</v>
      </c>
      <c r="M1117">
        <v>1.75</v>
      </c>
      <c r="N1117">
        <v>25</v>
      </c>
      <c r="O1117" t="s">
        <v>22</v>
      </c>
      <c r="P1117">
        <v>5</v>
      </c>
      <c r="Q1117">
        <v>3.01</v>
      </c>
      <c r="R1117">
        <v>26.4</v>
      </c>
      <c r="S1117">
        <v>74.12</v>
      </c>
      <c r="T1117">
        <v>26.41</v>
      </c>
      <c r="U1117">
        <v>1</v>
      </c>
      <c r="V1117">
        <v>0</v>
      </c>
      <c r="W1117">
        <v>100.53</v>
      </c>
      <c r="X1117">
        <v>43</v>
      </c>
      <c r="Y1117">
        <v>105.9</v>
      </c>
      <c r="Z1117">
        <v>7.4</v>
      </c>
      <c r="AA1117">
        <v>6.96</v>
      </c>
      <c r="AB1117">
        <v>86.17</v>
      </c>
      <c r="AC1117">
        <v>195.84090909090909</v>
      </c>
      <c r="AD1117">
        <v>28.627906976744189</v>
      </c>
      <c r="AE1117">
        <v>75.849999999999994</v>
      </c>
      <c r="AF1117">
        <v>16.02</v>
      </c>
      <c r="AG1117">
        <v>0</v>
      </c>
      <c r="AH1117">
        <v>-13.39</v>
      </c>
      <c r="AI1117">
        <v>11.61</v>
      </c>
      <c r="AJ1117">
        <v>195.96</v>
      </c>
      <c r="AK1117">
        <v>69.02</v>
      </c>
      <c r="AL1117" t="s">
        <v>14</v>
      </c>
      <c r="AM1117" t="s">
        <v>15</v>
      </c>
      <c r="AN1117" t="str">
        <f t="shared" si="68"/>
        <v>Evening</v>
      </c>
      <c r="AO1117" t="str">
        <f t="shared" si="69"/>
        <v>Off-Peak</v>
      </c>
      <c r="AP1117" t="str">
        <f t="shared" si="70"/>
        <v>Medium</v>
      </c>
      <c r="AQ1117" t="str">
        <f t="shared" si="71"/>
        <v>Low</v>
      </c>
    </row>
    <row r="1118" spans="1:43" x14ac:dyDescent="0.3">
      <c r="A1118">
        <v>1117</v>
      </c>
      <c r="B1118" t="s">
        <v>23</v>
      </c>
      <c r="C1118" t="s">
        <v>17</v>
      </c>
      <c r="D1118" s="1">
        <v>46066</v>
      </c>
      <c r="E1118" t="s">
        <v>9</v>
      </c>
      <c r="F1118">
        <v>0</v>
      </c>
      <c r="G1118">
        <v>21</v>
      </c>
      <c r="H1118" t="s">
        <v>19</v>
      </c>
      <c r="I1118" t="s">
        <v>45</v>
      </c>
      <c r="J1118">
        <v>1</v>
      </c>
      <c r="K1118" t="s">
        <v>12</v>
      </c>
      <c r="L1118">
        <v>0</v>
      </c>
      <c r="M1118">
        <v>3.38</v>
      </c>
      <c r="N1118">
        <v>69</v>
      </c>
      <c r="O1118" t="s">
        <v>35</v>
      </c>
      <c r="P1118">
        <v>17</v>
      </c>
      <c r="Q1118">
        <v>5.49</v>
      </c>
      <c r="R1118">
        <v>49.2</v>
      </c>
      <c r="S1118">
        <v>109.83</v>
      </c>
      <c r="T1118">
        <v>67.39</v>
      </c>
      <c r="U1118">
        <v>1.29</v>
      </c>
      <c r="V1118">
        <v>31.85</v>
      </c>
      <c r="W1118">
        <v>209.07</v>
      </c>
      <c r="X1118">
        <v>46.4</v>
      </c>
      <c r="Y1118">
        <v>102.23</v>
      </c>
      <c r="Z1118">
        <v>12.09</v>
      </c>
      <c r="AA1118">
        <v>11.57</v>
      </c>
      <c r="AB1118">
        <v>185.41</v>
      </c>
      <c r="AC1118">
        <v>226.10975609756096</v>
      </c>
      <c r="AD1118">
        <v>33.772313296903462</v>
      </c>
      <c r="AE1118">
        <v>71.19</v>
      </c>
      <c r="AF1118">
        <v>14.15</v>
      </c>
      <c r="AG1118">
        <v>1</v>
      </c>
      <c r="AH1118">
        <v>15.56</v>
      </c>
      <c r="AI1118">
        <v>84.56</v>
      </c>
      <c r="AJ1118">
        <v>239.45</v>
      </c>
      <c r="AK1118">
        <v>76.25</v>
      </c>
      <c r="AL1118" t="s">
        <v>14</v>
      </c>
      <c r="AM1118" t="s">
        <v>15</v>
      </c>
      <c r="AN1118" t="str">
        <f t="shared" si="68"/>
        <v>Night</v>
      </c>
      <c r="AO1118" t="str">
        <f t="shared" si="69"/>
        <v>Off-Peak</v>
      </c>
      <c r="AP1118" t="str">
        <f t="shared" si="70"/>
        <v>Medium</v>
      </c>
      <c r="AQ1118" t="str">
        <f t="shared" si="71"/>
        <v>Medium</v>
      </c>
    </row>
    <row r="1119" spans="1:43" x14ac:dyDescent="0.3">
      <c r="A1119">
        <v>1118</v>
      </c>
      <c r="B1119" t="s">
        <v>25</v>
      </c>
      <c r="C1119" t="s">
        <v>17</v>
      </c>
      <c r="D1119" s="1">
        <v>46255</v>
      </c>
      <c r="E1119" t="s">
        <v>9</v>
      </c>
      <c r="F1119">
        <v>0</v>
      </c>
      <c r="G1119">
        <v>22</v>
      </c>
      <c r="H1119" t="s">
        <v>19</v>
      </c>
      <c r="I1119" t="s">
        <v>20</v>
      </c>
      <c r="J1119">
        <v>1.25</v>
      </c>
      <c r="K1119" t="s">
        <v>12</v>
      </c>
      <c r="L1119">
        <v>0</v>
      </c>
      <c r="M1119">
        <v>2.06</v>
      </c>
      <c r="N1119">
        <v>18</v>
      </c>
      <c r="O1119" t="s">
        <v>22</v>
      </c>
      <c r="P1119">
        <v>4</v>
      </c>
      <c r="Q1119">
        <v>2.21</v>
      </c>
      <c r="R1119">
        <v>24.4</v>
      </c>
      <c r="S1119">
        <v>98.12</v>
      </c>
      <c r="T1119">
        <v>11.36</v>
      </c>
      <c r="U1119">
        <v>1.1100000000000001</v>
      </c>
      <c r="V1119">
        <v>10.79</v>
      </c>
      <c r="W1119">
        <v>120.27</v>
      </c>
      <c r="X1119">
        <v>44.1</v>
      </c>
      <c r="Y1119">
        <v>109.78</v>
      </c>
      <c r="Z1119">
        <v>5.5</v>
      </c>
      <c r="AA1119">
        <v>2.83</v>
      </c>
      <c r="AB1119">
        <v>111.94</v>
      </c>
      <c r="AC1119">
        <v>275.26229508196724</v>
      </c>
      <c r="AD1119">
        <v>50.651583710407238</v>
      </c>
      <c r="AE1119">
        <v>78.290000000000006</v>
      </c>
      <c r="AF1119">
        <v>15.53</v>
      </c>
      <c r="AG1119">
        <v>0</v>
      </c>
      <c r="AH1119">
        <v>1.1000000000000001</v>
      </c>
      <c r="AI1119">
        <v>19.100000000000001</v>
      </c>
      <c r="AJ1119">
        <v>285.89</v>
      </c>
      <c r="AK1119">
        <v>67.400000000000006</v>
      </c>
      <c r="AL1119" t="s">
        <v>23</v>
      </c>
      <c r="AM1119" t="s">
        <v>24</v>
      </c>
      <c r="AN1119" t="str">
        <f t="shared" si="68"/>
        <v>Night</v>
      </c>
      <c r="AO1119" t="str">
        <f t="shared" si="69"/>
        <v>Off-Peak</v>
      </c>
      <c r="AP1119" t="str">
        <f t="shared" si="70"/>
        <v>High</v>
      </c>
      <c r="AQ1119" t="str">
        <f t="shared" si="71"/>
        <v>Low</v>
      </c>
    </row>
    <row r="1120" spans="1:43" x14ac:dyDescent="0.3">
      <c r="A1120">
        <v>1119</v>
      </c>
      <c r="B1120" t="s">
        <v>16</v>
      </c>
      <c r="C1120" t="s">
        <v>17</v>
      </c>
      <c r="D1120" s="1">
        <v>46197</v>
      </c>
      <c r="E1120" t="s">
        <v>18</v>
      </c>
      <c r="F1120">
        <v>0</v>
      </c>
      <c r="G1120">
        <v>13</v>
      </c>
      <c r="H1120" t="s">
        <v>19</v>
      </c>
      <c r="I1120" t="s">
        <v>11</v>
      </c>
      <c r="J1120">
        <v>1.18</v>
      </c>
      <c r="K1120" t="s">
        <v>12</v>
      </c>
      <c r="L1120">
        <v>0</v>
      </c>
      <c r="M1120">
        <v>3.25</v>
      </c>
      <c r="N1120">
        <v>24</v>
      </c>
      <c r="O1120" t="s">
        <v>22</v>
      </c>
      <c r="P1120">
        <v>6</v>
      </c>
      <c r="Q1120">
        <v>3.34</v>
      </c>
      <c r="R1120">
        <v>44.2</v>
      </c>
      <c r="S1120">
        <v>95.24</v>
      </c>
      <c r="T1120">
        <v>38.08</v>
      </c>
      <c r="U1120">
        <v>1</v>
      </c>
      <c r="V1120">
        <v>0</v>
      </c>
      <c r="W1120">
        <v>133.32</v>
      </c>
      <c r="X1120">
        <v>36.200000000000003</v>
      </c>
      <c r="Y1120">
        <v>109.4</v>
      </c>
      <c r="Z1120">
        <v>10.11</v>
      </c>
      <c r="AA1120">
        <v>9.91</v>
      </c>
      <c r="AB1120">
        <v>113.3</v>
      </c>
      <c r="AC1120">
        <v>153.80090497737555</v>
      </c>
      <c r="AD1120">
        <v>33.922155688622752</v>
      </c>
      <c r="AE1120">
        <v>81.77</v>
      </c>
      <c r="AF1120">
        <v>13.83</v>
      </c>
      <c r="AG1120">
        <v>0</v>
      </c>
      <c r="AH1120">
        <v>10.17</v>
      </c>
      <c r="AI1120">
        <v>34.17</v>
      </c>
      <c r="AJ1120">
        <v>142.32</v>
      </c>
      <c r="AK1120">
        <v>60</v>
      </c>
      <c r="AL1120" t="s">
        <v>14</v>
      </c>
      <c r="AM1120" t="s">
        <v>15</v>
      </c>
      <c r="AN1120" t="str">
        <f t="shared" si="68"/>
        <v>Afternoon</v>
      </c>
      <c r="AO1120" t="str">
        <f t="shared" si="69"/>
        <v>Off-Peak</v>
      </c>
      <c r="AP1120" t="str">
        <f t="shared" si="70"/>
        <v>Medium</v>
      </c>
      <c r="AQ1120" t="str">
        <f t="shared" si="71"/>
        <v>Low</v>
      </c>
    </row>
    <row r="1121" spans="1:43" x14ac:dyDescent="0.3">
      <c r="A1121">
        <v>1120</v>
      </c>
      <c r="B1121" t="s">
        <v>29</v>
      </c>
      <c r="C1121" t="s">
        <v>30</v>
      </c>
      <c r="D1121" s="1">
        <v>46260</v>
      </c>
      <c r="E1121" t="s">
        <v>18</v>
      </c>
      <c r="F1121">
        <v>0</v>
      </c>
      <c r="G1121">
        <v>9</v>
      </c>
      <c r="H1121" t="s">
        <v>47</v>
      </c>
      <c r="I1121" t="s">
        <v>33</v>
      </c>
      <c r="J1121">
        <v>1</v>
      </c>
      <c r="K1121" t="s">
        <v>21</v>
      </c>
      <c r="L1121">
        <v>0</v>
      </c>
      <c r="M1121">
        <v>2.04</v>
      </c>
      <c r="N1121">
        <v>5</v>
      </c>
      <c r="O1121" t="s">
        <v>22</v>
      </c>
      <c r="P1121">
        <v>2</v>
      </c>
      <c r="Q1121">
        <v>4.6100000000000003</v>
      </c>
      <c r="R1121">
        <v>38.9</v>
      </c>
      <c r="S1121">
        <v>91.19</v>
      </c>
      <c r="T1121">
        <v>5.41</v>
      </c>
      <c r="U1121">
        <v>1</v>
      </c>
      <c r="V1121">
        <v>0</v>
      </c>
      <c r="W1121">
        <v>96.6</v>
      </c>
      <c r="X1121">
        <v>37.700000000000003</v>
      </c>
      <c r="Y1121">
        <v>108.46</v>
      </c>
      <c r="Z1121">
        <v>13.25</v>
      </c>
      <c r="AA1121">
        <v>4.79</v>
      </c>
      <c r="AB1121">
        <v>78.56</v>
      </c>
      <c r="AC1121">
        <v>121.17223650385604</v>
      </c>
      <c r="AD1121">
        <v>17.041214750542299</v>
      </c>
      <c r="AE1121">
        <v>82.03</v>
      </c>
      <c r="AF1121">
        <v>16.350000000000001</v>
      </c>
      <c r="AG1121">
        <v>0</v>
      </c>
      <c r="AH1121">
        <v>7.54</v>
      </c>
      <c r="AI1121">
        <v>12.54</v>
      </c>
      <c r="AJ1121">
        <v>140.02000000000001</v>
      </c>
      <c r="AK1121">
        <v>60</v>
      </c>
      <c r="AL1121" t="s">
        <v>23</v>
      </c>
      <c r="AM1121" t="s">
        <v>24</v>
      </c>
      <c r="AN1121" t="str">
        <f t="shared" si="68"/>
        <v>Morning</v>
      </c>
      <c r="AO1121" t="str">
        <f t="shared" si="69"/>
        <v>Peak</v>
      </c>
      <c r="AP1121" t="str">
        <f t="shared" si="70"/>
        <v>Low</v>
      </c>
      <c r="AQ1121" t="str">
        <f t="shared" si="71"/>
        <v>Low</v>
      </c>
    </row>
    <row r="1122" spans="1:43" x14ac:dyDescent="0.3">
      <c r="A1122">
        <v>1121</v>
      </c>
      <c r="B1122" t="s">
        <v>7</v>
      </c>
      <c r="C1122" t="s">
        <v>8</v>
      </c>
      <c r="D1122" s="1">
        <v>46236</v>
      </c>
      <c r="E1122" t="s">
        <v>26</v>
      </c>
      <c r="F1122">
        <v>1</v>
      </c>
      <c r="G1122">
        <v>16</v>
      </c>
      <c r="H1122" t="s">
        <v>32</v>
      </c>
      <c r="I1122" t="s">
        <v>45</v>
      </c>
      <c r="J1122">
        <v>1</v>
      </c>
      <c r="K1122" t="s">
        <v>12</v>
      </c>
      <c r="L1122">
        <v>0</v>
      </c>
      <c r="M1122">
        <v>1</v>
      </c>
      <c r="N1122">
        <v>53</v>
      </c>
      <c r="O1122" t="s">
        <v>35</v>
      </c>
      <c r="P1122">
        <v>17</v>
      </c>
      <c r="Q1122">
        <v>5.24</v>
      </c>
      <c r="R1122">
        <v>36.9</v>
      </c>
      <c r="S1122">
        <v>95.83</v>
      </c>
      <c r="T1122">
        <v>47.06</v>
      </c>
      <c r="U1122">
        <v>1</v>
      </c>
      <c r="V1122">
        <v>0</v>
      </c>
      <c r="W1122">
        <v>142.88999999999999</v>
      </c>
      <c r="X1122">
        <v>43</v>
      </c>
      <c r="Y1122">
        <v>109.12</v>
      </c>
      <c r="Z1122">
        <v>13.31</v>
      </c>
      <c r="AA1122">
        <v>10.07</v>
      </c>
      <c r="AB1122">
        <v>119.51</v>
      </c>
      <c r="AC1122">
        <v>194.32520325203254</v>
      </c>
      <c r="AD1122">
        <v>22.807251908396946</v>
      </c>
      <c r="AE1122">
        <v>89.19</v>
      </c>
      <c r="AF1122">
        <v>9.98</v>
      </c>
      <c r="AG1122">
        <v>1</v>
      </c>
      <c r="AH1122">
        <v>4.4000000000000004</v>
      </c>
      <c r="AI1122">
        <v>57.4</v>
      </c>
      <c r="AJ1122">
        <v>192.19</v>
      </c>
      <c r="AK1122">
        <v>75.239999999999995</v>
      </c>
      <c r="AL1122" t="s">
        <v>14</v>
      </c>
      <c r="AM1122" t="s">
        <v>15</v>
      </c>
      <c r="AN1122" t="str">
        <f t="shared" si="68"/>
        <v>Evening</v>
      </c>
      <c r="AO1122" t="str">
        <f t="shared" si="69"/>
        <v>Off-Peak</v>
      </c>
      <c r="AP1122" t="str">
        <f t="shared" si="70"/>
        <v>Medium</v>
      </c>
      <c r="AQ1122" t="str">
        <f t="shared" si="71"/>
        <v>Medium</v>
      </c>
    </row>
    <row r="1123" spans="1:43" x14ac:dyDescent="0.3">
      <c r="A1123">
        <v>1122</v>
      </c>
      <c r="B1123" t="s">
        <v>7</v>
      </c>
      <c r="C1123" t="s">
        <v>8</v>
      </c>
      <c r="D1123" s="1">
        <v>46108</v>
      </c>
      <c r="E1123" t="s">
        <v>9</v>
      </c>
      <c r="F1123">
        <v>0</v>
      </c>
      <c r="G1123">
        <v>20</v>
      </c>
      <c r="H1123" t="s">
        <v>51</v>
      </c>
      <c r="I1123" t="s">
        <v>45</v>
      </c>
      <c r="J1123">
        <v>1</v>
      </c>
      <c r="K1123" t="s">
        <v>34</v>
      </c>
      <c r="L1123">
        <v>1</v>
      </c>
      <c r="M1123">
        <v>3.76</v>
      </c>
      <c r="N1123">
        <v>76</v>
      </c>
      <c r="O1123" t="s">
        <v>13</v>
      </c>
      <c r="P1123">
        <v>31</v>
      </c>
      <c r="Q1123">
        <v>3.53</v>
      </c>
      <c r="R1123">
        <v>39.6</v>
      </c>
      <c r="S1123">
        <v>79.58</v>
      </c>
      <c r="T1123">
        <v>93.94</v>
      </c>
      <c r="U1123">
        <v>1</v>
      </c>
      <c r="V1123">
        <v>0</v>
      </c>
      <c r="W1123">
        <v>173.52</v>
      </c>
      <c r="X1123">
        <v>45.4</v>
      </c>
      <c r="Y1123">
        <v>103.82</v>
      </c>
      <c r="Z1123">
        <v>8.07</v>
      </c>
      <c r="AA1123">
        <v>10.48</v>
      </c>
      <c r="AB1123">
        <v>154.97</v>
      </c>
      <c r="AC1123">
        <v>234.80303030303028</v>
      </c>
      <c r="AD1123">
        <v>43.900849858356942</v>
      </c>
      <c r="AE1123">
        <v>64.67</v>
      </c>
      <c r="AF1123">
        <v>16.37</v>
      </c>
      <c r="AG1123">
        <v>1</v>
      </c>
      <c r="AH1123">
        <v>18.43</v>
      </c>
      <c r="AI1123">
        <v>94.43</v>
      </c>
      <c r="AJ1123">
        <v>270.56</v>
      </c>
      <c r="AK1123">
        <v>78.19</v>
      </c>
      <c r="AL1123" t="s">
        <v>14</v>
      </c>
      <c r="AM1123" t="s">
        <v>15</v>
      </c>
      <c r="AN1123" t="str">
        <f t="shared" si="68"/>
        <v>Night</v>
      </c>
      <c r="AO1123" t="str">
        <f t="shared" si="69"/>
        <v>Peak</v>
      </c>
      <c r="AP1123" t="str">
        <f t="shared" si="70"/>
        <v>Medium</v>
      </c>
      <c r="AQ1123" t="str">
        <f t="shared" si="71"/>
        <v>High</v>
      </c>
    </row>
    <row r="1124" spans="1:43" x14ac:dyDescent="0.3">
      <c r="A1124">
        <v>1123</v>
      </c>
      <c r="B1124" t="s">
        <v>14</v>
      </c>
      <c r="C1124" t="s">
        <v>8</v>
      </c>
      <c r="D1124" s="1">
        <v>46236</v>
      </c>
      <c r="E1124" t="s">
        <v>26</v>
      </c>
      <c r="F1124">
        <v>1</v>
      </c>
      <c r="G1124">
        <v>22</v>
      </c>
      <c r="H1124" t="s">
        <v>51</v>
      </c>
      <c r="I1124" t="s">
        <v>50</v>
      </c>
      <c r="J1124">
        <v>1.2</v>
      </c>
      <c r="K1124" t="s">
        <v>12</v>
      </c>
      <c r="L1124">
        <v>0</v>
      </c>
      <c r="M1124">
        <v>2.62</v>
      </c>
      <c r="N1124">
        <v>46</v>
      </c>
      <c r="O1124" t="s">
        <v>35</v>
      </c>
      <c r="P1124">
        <v>23</v>
      </c>
      <c r="Q1124">
        <v>11.63</v>
      </c>
      <c r="R1124">
        <v>79.5</v>
      </c>
      <c r="S1124">
        <v>127.64</v>
      </c>
      <c r="T1124">
        <v>50.24</v>
      </c>
      <c r="U1124">
        <v>1</v>
      </c>
      <c r="V1124">
        <v>0</v>
      </c>
      <c r="W1124">
        <v>177.88</v>
      </c>
      <c r="X1124">
        <v>42.7</v>
      </c>
      <c r="Y1124">
        <v>102.28</v>
      </c>
      <c r="Z1124">
        <v>27.84</v>
      </c>
      <c r="AA1124">
        <v>10.49</v>
      </c>
      <c r="AB1124">
        <v>139.55000000000001</v>
      </c>
      <c r="AC1124">
        <v>105.32075471698114</v>
      </c>
      <c r="AD1124">
        <v>11.999140154772141</v>
      </c>
      <c r="AE1124">
        <v>66.09</v>
      </c>
      <c r="AF1124">
        <v>20</v>
      </c>
      <c r="AG1124">
        <v>1</v>
      </c>
      <c r="AH1124">
        <v>18.989999999999998</v>
      </c>
      <c r="AI1124">
        <v>64.989999999999995</v>
      </c>
      <c r="AJ1124">
        <v>91.89</v>
      </c>
      <c r="AK1124">
        <v>62.1</v>
      </c>
      <c r="AL1124" t="s">
        <v>14</v>
      </c>
      <c r="AM1124" t="s">
        <v>15</v>
      </c>
      <c r="AN1124" t="str">
        <f t="shared" si="68"/>
        <v>Night</v>
      </c>
      <c r="AO1124" t="str">
        <f t="shared" si="69"/>
        <v>Off-Peak</v>
      </c>
      <c r="AP1124" t="str">
        <f t="shared" si="70"/>
        <v>Low</v>
      </c>
      <c r="AQ1124" t="str">
        <f t="shared" si="71"/>
        <v>Medium</v>
      </c>
    </row>
    <row r="1125" spans="1:43" x14ac:dyDescent="0.3">
      <c r="A1125">
        <v>1124</v>
      </c>
      <c r="B1125" t="s">
        <v>14</v>
      </c>
      <c r="C1125" t="s">
        <v>8</v>
      </c>
      <c r="D1125" s="1">
        <v>46066</v>
      </c>
      <c r="E1125" t="s">
        <v>9</v>
      </c>
      <c r="F1125">
        <v>0</v>
      </c>
      <c r="G1125">
        <v>7</v>
      </c>
      <c r="H1125" t="s">
        <v>49</v>
      </c>
      <c r="I1125" t="s">
        <v>37</v>
      </c>
      <c r="J1125">
        <v>1.02</v>
      </c>
      <c r="K1125" t="s">
        <v>12</v>
      </c>
      <c r="L1125">
        <v>0</v>
      </c>
      <c r="M1125">
        <v>2.52</v>
      </c>
      <c r="N1125">
        <v>5</v>
      </c>
      <c r="O1125" t="s">
        <v>22</v>
      </c>
      <c r="P1125">
        <v>2</v>
      </c>
      <c r="Q1125">
        <v>6.16</v>
      </c>
      <c r="R1125">
        <v>38.6</v>
      </c>
      <c r="S1125">
        <v>104.12</v>
      </c>
      <c r="T1125">
        <v>16.03</v>
      </c>
      <c r="U1125">
        <v>1</v>
      </c>
      <c r="V1125">
        <v>0</v>
      </c>
      <c r="W1125">
        <v>120.15</v>
      </c>
      <c r="X1125">
        <v>40.299999999999997</v>
      </c>
      <c r="Y1125">
        <v>101.83</v>
      </c>
      <c r="Z1125">
        <v>15.54</v>
      </c>
      <c r="AA1125">
        <v>10.67</v>
      </c>
      <c r="AB1125">
        <v>93.94</v>
      </c>
      <c r="AC1125">
        <v>146.02072538860105</v>
      </c>
      <c r="AD1125">
        <v>15.25</v>
      </c>
      <c r="AE1125">
        <v>95.82</v>
      </c>
      <c r="AF1125">
        <v>14.46</v>
      </c>
      <c r="AG1125">
        <v>0</v>
      </c>
      <c r="AH1125">
        <v>-4.84</v>
      </c>
      <c r="AI1125">
        <v>5</v>
      </c>
      <c r="AJ1125">
        <v>167.59</v>
      </c>
      <c r="AK1125">
        <v>65.72</v>
      </c>
      <c r="AL1125" t="s">
        <v>14</v>
      </c>
      <c r="AM1125" t="s">
        <v>15</v>
      </c>
      <c r="AN1125" t="str">
        <f t="shared" si="68"/>
        <v>Morning</v>
      </c>
      <c r="AO1125" t="str">
        <f t="shared" si="69"/>
        <v>Peak</v>
      </c>
      <c r="AP1125" t="str">
        <f t="shared" si="70"/>
        <v>Low</v>
      </c>
      <c r="AQ1125" t="str">
        <f t="shared" si="71"/>
        <v>Low</v>
      </c>
    </row>
    <row r="1126" spans="1:43" x14ac:dyDescent="0.3">
      <c r="A1126">
        <v>1125</v>
      </c>
      <c r="B1126" t="s">
        <v>16</v>
      </c>
      <c r="C1126" t="s">
        <v>17</v>
      </c>
      <c r="D1126" s="1">
        <v>46098</v>
      </c>
      <c r="E1126" t="s">
        <v>44</v>
      </c>
      <c r="F1126">
        <v>0</v>
      </c>
      <c r="G1126">
        <v>11</v>
      </c>
      <c r="H1126" t="s">
        <v>19</v>
      </c>
      <c r="I1126" t="s">
        <v>33</v>
      </c>
      <c r="J1126">
        <v>1</v>
      </c>
      <c r="K1126" t="s">
        <v>12</v>
      </c>
      <c r="L1126">
        <v>0</v>
      </c>
      <c r="M1126">
        <v>4.22</v>
      </c>
      <c r="N1126">
        <v>15</v>
      </c>
      <c r="O1126" t="s">
        <v>22</v>
      </c>
      <c r="P1126">
        <v>2</v>
      </c>
      <c r="Q1126">
        <v>5.92</v>
      </c>
      <c r="R1126">
        <v>60.7</v>
      </c>
      <c r="S1126">
        <v>126.43</v>
      </c>
      <c r="T1126">
        <v>27.86</v>
      </c>
      <c r="U1126">
        <v>1.02</v>
      </c>
      <c r="V1126">
        <v>2.5299999999999998</v>
      </c>
      <c r="W1126">
        <v>156.82</v>
      </c>
      <c r="X1126">
        <v>35.799999999999997</v>
      </c>
      <c r="Y1126">
        <v>108.74</v>
      </c>
      <c r="Z1126">
        <v>18</v>
      </c>
      <c r="AA1126">
        <v>9.18</v>
      </c>
      <c r="AB1126">
        <v>129.63999999999999</v>
      </c>
      <c r="AC1126">
        <v>128.1449752883031</v>
      </c>
      <c r="AD1126">
        <v>21.898648648648646</v>
      </c>
      <c r="AE1126">
        <v>81.28</v>
      </c>
      <c r="AF1126">
        <v>20</v>
      </c>
      <c r="AG1126">
        <v>0</v>
      </c>
      <c r="AH1126">
        <v>-10.85</v>
      </c>
      <c r="AI1126">
        <v>5</v>
      </c>
      <c r="AJ1126">
        <v>114.58</v>
      </c>
      <c r="AK1126">
        <v>64.52</v>
      </c>
      <c r="AL1126" t="s">
        <v>23</v>
      </c>
      <c r="AM1126" t="s">
        <v>24</v>
      </c>
      <c r="AN1126" t="str">
        <f t="shared" si="68"/>
        <v>Afternoon</v>
      </c>
      <c r="AO1126" t="str">
        <f t="shared" si="69"/>
        <v>Off-Peak</v>
      </c>
      <c r="AP1126" t="str">
        <f t="shared" si="70"/>
        <v>Low</v>
      </c>
      <c r="AQ1126" t="str">
        <f t="shared" si="71"/>
        <v>Low</v>
      </c>
    </row>
    <row r="1127" spans="1:43" x14ac:dyDescent="0.3">
      <c r="A1127">
        <v>1126</v>
      </c>
      <c r="B1127" t="s">
        <v>16</v>
      </c>
      <c r="C1127" t="s">
        <v>17</v>
      </c>
      <c r="D1127" s="1">
        <v>46077</v>
      </c>
      <c r="E1127" t="s">
        <v>44</v>
      </c>
      <c r="F1127">
        <v>0</v>
      </c>
      <c r="G1127">
        <v>14</v>
      </c>
      <c r="H1127" t="s">
        <v>19</v>
      </c>
      <c r="I1127" t="s">
        <v>11</v>
      </c>
      <c r="J1127">
        <v>1.18</v>
      </c>
      <c r="K1127" t="s">
        <v>12</v>
      </c>
      <c r="L1127">
        <v>0</v>
      </c>
      <c r="M1127">
        <v>2.5099999999999998</v>
      </c>
      <c r="N1127">
        <v>23</v>
      </c>
      <c r="O1127" t="s">
        <v>22</v>
      </c>
      <c r="P1127">
        <v>4</v>
      </c>
      <c r="Q1127">
        <v>5.77</v>
      </c>
      <c r="R1127">
        <v>43.1</v>
      </c>
      <c r="S1127">
        <v>123.18</v>
      </c>
      <c r="T1127">
        <v>28.44</v>
      </c>
      <c r="U1127">
        <v>1</v>
      </c>
      <c r="V1127">
        <v>0</v>
      </c>
      <c r="W1127">
        <v>151.62</v>
      </c>
      <c r="X1127">
        <v>46.8</v>
      </c>
      <c r="Y1127">
        <v>108.27</v>
      </c>
      <c r="Z1127">
        <v>13.35</v>
      </c>
      <c r="AA1127">
        <v>3.42</v>
      </c>
      <c r="AB1127">
        <v>134.85</v>
      </c>
      <c r="AC1127">
        <v>187.72621809744777</v>
      </c>
      <c r="AD1127">
        <v>23.370883882149048</v>
      </c>
      <c r="AE1127">
        <v>75.64</v>
      </c>
      <c r="AF1127">
        <v>15.94</v>
      </c>
      <c r="AG1127">
        <v>0</v>
      </c>
      <c r="AH1127">
        <v>-34.49</v>
      </c>
      <c r="AI1127">
        <v>5</v>
      </c>
      <c r="AJ1127">
        <v>226.06</v>
      </c>
      <c r="AK1127">
        <v>65.34</v>
      </c>
      <c r="AL1127" t="s">
        <v>14</v>
      </c>
      <c r="AM1127" t="s">
        <v>15</v>
      </c>
      <c r="AN1127" t="str">
        <f t="shared" si="68"/>
        <v>Afternoon</v>
      </c>
      <c r="AO1127" t="str">
        <f t="shared" si="69"/>
        <v>Off-Peak</v>
      </c>
      <c r="AP1127" t="str">
        <f t="shared" si="70"/>
        <v>Medium</v>
      </c>
      <c r="AQ1127" t="str">
        <f t="shared" si="71"/>
        <v>Low</v>
      </c>
    </row>
    <row r="1128" spans="1:43" x14ac:dyDescent="0.3">
      <c r="A1128">
        <v>1127</v>
      </c>
      <c r="B1128" t="s">
        <v>16</v>
      </c>
      <c r="C1128" t="s">
        <v>17</v>
      </c>
      <c r="D1128" s="1">
        <v>46057</v>
      </c>
      <c r="E1128" t="s">
        <v>18</v>
      </c>
      <c r="F1128">
        <v>0</v>
      </c>
      <c r="G1128">
        <v>8</v>
      </c>
      <c r="H1128" t="s">
        <v>27</v>
      </c>
      <c r="I1128" t="s">
        <v>50</v>
      </c>
      <c r="J1128">
        <v>1.2</v>
      </c>
      <c r="K1128" t="s">
        <v>12</v>
      </c>
      <c r="L1128">
        <v>0</v>
      </c>
      <c r="M1128">
        <v>4.8</v>
      </c>
      <c r="N1128">
        <v>71</v>
      </c>
      <c r="O1128" t="s">
        <v>13</v>
      </c>
      <c r="P1128">
        <v>11</v>
      </c>
      <c r="Q1128">
        <v>8.1</v>
      </c>
      <c r="R1128">
        <v>56.6</v>
      </c>
      <c r="S1128">
        <v>150.34</v>
      </c>
      <c r="T1128">
        <v>100</v>
      </c>
      <c r="U1128">
        <v>1.25</v>
      </c>
      <c r="V1128">
        <v>37.58</v>
      </c>
      <c r="W1128">
        <v>287.92</v>
      </c>
      <c r="X1128">
        <v>42.5</v>
      </c>
      <c r="Y1128">
        <v>109.81</v>
      </c>
      <c r="Z1128">
        <v>20.95</v>
      </c>
      <c r="AA1128">
        <v>2.52</v>
      </c>
      <c r="AB1128">
        <v>264.45</v>
      </c>
      <c r="AC1128">
        <v>280.33568904593636</v>
      </c>
      <c r="AD1128">
        <v>32.648148148148145</v>
      </c>
      <c r="AE1128">
        <v>77.94</v>
      </c>
      <c r="AF1128">
        <v>15.22</v>
      </c>
      <c r="AG1128">
        <v>1</v>
      </c>
      <c r="AH1128">
        <v>-2.19</v>
      </c>
      <c r="AI1128">
        <v>68.81</v>
      </c>
      <c r="AJ1128">
        <v>273.85000000000002</v>
      </c>
      <c r="AK1128">
        <v>86.81</v>
      </c>
      <c r="AL1128" t="s">
        <v>23</v>
      </c>
      <c r="AM1128" t="s">
        <v>24</v>
      </c>
      <c r="AN1128" t="str">
        <f t="shared" si="68"/>
        <v>Morning</v>
      </c>
      <c r="AO1128" t="str">
        <f t="shared" si="69"/>
        <v>Peak</v>
      </c>
      <c r="AP1128" t="str">
        <f t="shared" si="70"/>
        <v>High</v>
      </c>
      <c r="AQ1128" t="str">
        <f t="shared" si="71"/>
        <v>High</v>
      </c>
    </row>
    <row r="1129" spans="1:43" x14ac:dyDescent="0.3">
      <c r="A1129">
        <v>1128</v>
      </c>
      <c r="B1129" t="s">
        <v>25</v>
      </c>
      <c r="C1129" t="s">
        <v>17</v>
      </c>
      <c r="D1129" s="1">
        <v>46046</v>
      </c>
      <c r="E1129" t="s">
        <v>31</v>
      </c>
      <c r="F1129">
        <v>1</v>
      </c>
      <c r="G1129">
        <v>21</v>
      </c>
      <c r="H1129" t="s">
        <v>19</v>
      </c>
      <c r="I1129" t="s">
        <v>46</v>
      </c>
      <c r="J1129">
        <v>1.1499999999999999</v>
      </c>
      <c r="K1129" t="s">
        <v>12</v>
      </c>
      <c r="L1129">
        <v>0</v>
      </c>
      <c r="M1129">
        <v>4.08</v>
      </c>
      <c r="N1129">
        <v>96</v>
      </c>
      <c r="O1129" t="s">
        <v>13</v>
      </c>
      <c r="P1129">
        <v>23</v>
      </c>
      <c r="Q1129">
        <v>4.38</v>
      </c>
      <c r="R1129">
        <v>40.299999999999997</v>
      </c>
      <c r="S1129">
        <v>101.96</v>
      </c>
      <c r="T1129">
        <v>94.15</v>
      </c>
      <c r="U1129">
        <v>1.33</v>
      </c>
      <c r="V1129">
        <v>33.65</v>
      </c>
      <c r="W1129">
        <v>229.76</v>
      </c>
      <c r="X1129">
        <v>43.1</v>
      </c>
      <c r="Y1129">
        <v>108.48</v>
      </c>
      <c r="Z1129">
        <v>11.04</v>
      </c>
      <c r="AA1129">
        <v>5.41</v>
      </c>
      <c r="AB1129">
        <v>213.31</v>
      </c>
      <c r="AC1129">
        <v>317.58312655086849</v>
      </c>
      <c r="AD1129">
        <v>48.700913242009136</v>
      </c>
      <c r="AE1129">
        <v>79.23</v>
      </c>
      <c r="AF1129">
        <v>13.18</v>
      </c>
      <c r="AG1129">
        <v>1</v>
      </c>
      <c r="AH1129">
        <v>-13.4</v>
      </c>
      <c r="AI1129">
        <v>82.6</v>
      </c>
      <c r="AJ1129">
        <v>341.36</v>
      </c>
      <c r="AK1129">
        <v>78.739999999999995</v>
      </c>
      <c r="AL1129" t="s">
        <v>14</v>
      </c>
      <c r="AM1129" t="s">
        <v>15</v>
      </c>
      <c r="AN1129" t="str">
        <f t="shared" si="68"/>
        <v>Night</v>
      </c>
      <c r="AO1129" t="str">
        <f t="shared" si="69"/>
        <v>Off-Peak</v>
      </c>
      <c r="AP1129" t="str">
        <f t="shared" si="70"/>
        <v>High</v>
      </c>
      <c r="AQ1129" t="str">
        <f t="shared" si="71"/>
        <v>High</v>
      </c>
    </row>
    <row r="1130" spans="1:43" x14ac:dyDescent="0.3">
      <c r="A1130">
        <v>1129</v>
      </c>
      <c r="B1130" t="s">
        <v>29</v>
      </c>
      <c r="C1130" t="s">
        <v>30</v>
      </c>
      <c r="D1130" s="1">
        <v>46071</v>
      </c>
      <c r="E1130" t="s">
        <v>18</v>
      </c>
      <c r="F1130">
        <v>0</v>
      </c>
      <c r="G1130">
        <v>8</v>
      </c>
      <c r="H1130" t="s">
        <v>47</v>
      </c>
      <c r="I1130" t="s">
        <v>45</v>
      </c>
      <c r="J1130">
        <v>1</v>
      </c>
      <c r="K1130" t="s">
        <v>21</v>
      </c>
      <c r="L1130">
        <v>0</v>
      </c>
      <c r="M1130">
        <v>2.97</v>
      </c>
      <c r="N1130">
        <v>39</v>
      </c>
      <c r="O1130" t="s">
        <v>35</v>
      </c>
      <c r="P1130">
        <v>10</v>
      </c>
      <c r="Q1130">
        <v>1.58</v>
      </c>
      <c r="R1130">
        <v>18.7</v>
      </c>
      <c r="S1130">
        <v>65.989999999999995</v>
      </c>
      <c r="T1130">
        <v>31.92</v>
      </c>
      <c r="U1130">
        <v>1</v>
      </c>
      <c r="V1130">
        <v>0</v>
      </c>
      <c r="W1130">
        <v>97.91</v>
      </c>
      <c r="X1130">
        <v>42</v>
      </c>
      <c r="Y1130">
        <v>106.32</v>
      </c>
      <c r="Z1130">
        <v>4</v>
      </c>
      <c r="AA1130">
        <v>6.95</v>
      </c>
      <c r="AB1130">
        <v>86.96</v>
      </c>
      <c r="AC1130">
        <v>279.01604278074865</v>
      </c>
      <c r="AD1130">
        <v>55.037974683544299</v>
      </c>
      <c r="AE1130">
        <v>59.65</v>
      </c>
      <c r="AF1130">
        <v>19.809999999999999</v>
      </c>
      <c r="AG1130">
        <v>0</v>
      </c>
      <c r="AH1130">
        <v>9.2899999999999991</v>
      </c>
      <c r="AI1130">
        <v>48.29</v>
      </c>
      <c r="AJ1130">
        <v>273.23</v>
      </c>
      <c r="AK1130">
        <v>73.73</v>
      </c>
      <c r="AL1130" t="s">
        <v>23</v>
      </c>
      <c r="AM1130" t="s">
        <v>24</v>
      </c>
      <c r="AN1130" t="str">
        <f t="shared" si="68"/>
        <v>Morning</v>
      </c>
      <c r="AO1130" t="str">
        <f t="shared" si="69"/>
        <v>Peak</v>
      </c>
      <c r="AP1130" t="str">
        <f t="shared" si="70"/>
        <v>High</v>
      </c>
      <c r="AQ1130" t="str">
        <f t="shared" si="71"/>
        <v>Medium</v>
      </c>
    </row>
    <row r="1131" spans="1:43" x14ac:dyDescent="0.3">
      <c r="A1131">
        <v>1130</v>
      </c>
      <c r="B1131" t="s">
        <v>25</v>
      </c>
      <c r="C1131" t="s">
        <v>17</v>
      </c>
      <c r="D1131" s="1">
        <v>46053</v>
      </c>
      <c r="E1131" t="s">
        <v>31</v>
      </c>
      <c r="F1131">
        <v>1</v>
      </c>
      <c r="G1131">
        <v>17</v>
      </c>
      <c r="H1131" t="s">
        <v>40</v>
      </c>
      <c r="I1131" t="s">
        <v>46</v>
      </c>
      <c r="J1131">
        <v>1.1499999999999999</v>
      </c>
      <c r="K1131" t="s">
        <v>12</v>
      </c>
      <c r="L1131">
        <v>0</v>
      </c>
      <c r="M1131">
        <v>3.43</v>
      </c>
      <c r="N1131">
        <v>99</v>
      </c>
      <c r="O1131" t="s">
        <v>13</v>
      </c>
      <c r="P1131">
        <v>21</v>
      </c>
      <c r="Q1131">
        <v>5.07</v>
      </c>
      <c r="R1131">
        <v>47.8</v>
      </c>
      <c r="S1131">
        <v>111.17</v>
      </c>
      <c r="T1131">
        <v>100</v>
      </c>
      <c r="U1131">
        <v>1.31</v>
      </c>
      <c r="V1131">
        <v>34.46</v>
      </c>
      <c r="W1131">
        <v>245.63</v>
      </c>
      <c r="X1131">
        <v>39</v>
      </c>
      <c r="Y1131">
        <v>101.42</v>
      </c>
      <c r="Z1131">
        <v>13.18</v>
      </c>
      <c r="AA1131">
        <v>5.03</v>
      </c>
      <c r="AB1131">
        <v>227.42</v>
      </c>
      <c r="AC1131">
        <v>285.46443514644352</v>
      </c>
      <c r="AD1131">
        <v>44.856015779092694</v>
      </c>
      <c r="AE1131">
        <v>73.739999999999995</v>
      </c>
      <c r="AF1131">
        <v>14.67</v>
      </c>
      <c r="AG1131">
        <v>1</v>
      </c>
      <c r="AH1131">
        <v>-2.04</v>
      </c>
      <c r="AI1131">
        <v>96.96</v>
      </c>
      <c r="AJ1131">
        <v>304.26</v>
      </c>
      <c r="AK1131">
        <v>85.51</v>
      </c>
      <c r="AL1131" t="s">
        <v>23</v>
      </c>
      <c r="AM1131" t="s">
        <v>24</v>
      </c>
      <c r="AN1131" t="str">
        <f t="shared" si="68"/>
        <v>Evening</v>
      </c>
      <c r="AO1131" t="str">
        <f t="shared" si="69"/>
        <v>Peak</v>
      </c>
      <c r="AP1131" t="str">
        <f t="shared" si="70"/>
        <v>High</v>
      </c>
      <c r="AQ1131" t="str">
        <f t="shared" si="71"/>
        <v>High</v>
      </c>
    </row>
    <row r="1132" spans="1:43" x14ac:dyDescent="0.3">
      <c r="A1132">
        <v>1131</v>
      </c>
      <c r="B1132" t="s">
        <v>48</v>
      </c>
      <c r="C1132" t="s">
        <v>30</v>
      </c>
      <c r="D1132" s="1">
        <v>46121</v>
      </c>
      <c r="E1132" t="s">
        <v>41</v>
      </c>
      <c r="F1132">
        <v>0</v>
      </c>
      <c r="G1132">
        <v>21</v>
      </c>
      <c r="H1132" t="s">
        <v>36</v>
      </c>
      <c r="I1132" t="s">
        <v>45</v>
      </c>
      <c r="J1132">
        <v>1</v>
      </c>
      <c r="K1132" t="s">
        <v>12</v>
      </c>
      <c r="L1132">
        <v>0</v>
      </c>
      <c r="M1132">
        <v>2.95</v>
      </c>
      <c r="N1132">
        <v>34</v>
      </c>
      <c r="O1132" t="s">
        <v>22</v>
      </c>
      <c r="P1132">
        <v>12</v>
      </c>
      <c r="Q1132">
        <v>5.53</v>
      </c>
      <c r="R1132">
        <v>39.5</v>
      </c>
      <c r="S1132">
        <v>97.24</v>
      </c>
      <c r="T1132">
        <v>58.21</v>
      </c>
      <c r="U1132">
        <v>1</v>
      </c>
      <c r="V1132">
        <v>0</v>
      </c>
      <c r="W1132">
        <v>155.44999999999999</v>
      </c>
      <c r="X1132">
        <v>39.1</v>
      </c>
      <c r="Y1132">
        <v>101.65</v>
      </c>
      <c r="Z1132">
        <v>14.36</v>
      </c>
      <c r="AA1132">
        <v>9.42</v>
      </c>
      <c r="AB1132">
        <v>131.66999999999999</v>
      </c>
      <c r="AC1132">
        <v>200.00506329113924</v>
      </c>
      <c r="AD1132">
        <v>23.810126582278478</v>
      </c>
      <c r="AE1132">
        <v>73.83</v>
      </c>
      <c r="AF1132">
        <v>14.11</v>
      </c>
      <c r="AG1132">
        <v>0</v>
      </c>
      <c r="AH1132">
        <v>-0.41</v>
      </c>
      <c r="AI1132">
        <v>33.590000000000003</v>
      </c>
      <c r="AJ1132">
        <v>199.37</v>
      </c>
      <c r="AK1132">
        <v>67.81</v>
      </c>
      <c r="AL1132" t="s">
        <v>14</v>
      </c>
      <c r="AM1132" t="s">
        <v>15</v>
      </c>
      <c r="AN1132" t="str">
        <f t="shared" si="68"/>
        <v>Night</v>
      </c>
      <c r="AO1132" t="str">
        <f t="shared" si="69"/>
        <v>Off-Peak</v>
      </c>
      <c r="AP1132" t="str">
        <f t="shared" si="70"/>
        <v>Medium</v>
      </c>
      <c r="AQ1132" t="str">
        <f t="shared" si="71"/>
        <v>Low</v>
      </c>
    </row>
    <row r="1133" spans="1:43" x14ac:dyDescent="0.3">
      <c r="A1133">
        <v>1132</v>
      </c>
      <c r="B1133" t="s">
        <v>25</v>
      </c>
      <c r="C1133" t="s">
        <v>17</v>
      </c>
      <c r="D1133" s="1">
        <v>46041</v>
      </c>
      <c r="E1133" t="s">
        <v>38</v>
      </c>
      <c r="F1133">
        <v>0</v>
      </c>
      <c r="G1133">
        <v>17</v>
      </c>
      <c r="H1133" t="s">
        <v>40</v>
      </c>
      <c r="I1133" t="s">
        <v>11</v>
      </c>
      <c r="J1133">
        <v>1.18</v>
      </c>
      <c r="K1133" t="s">
        <v>12</v>
      </c>
      <c r="L1133">
        <v>0</v>
      </c>
      <c r="M1133">
        <v>3.49</v>
      </c>
      <c r="N1133">
        <v>88</v>
      </c>
      <c r="O1133" t="s">
        <v>13</v>
      </c>
      <c r="P1133">
        <v>14</v>
      </c>
      <c r="Q1133">
        <v>8.9600000000000009</v>
      </c>
      <c r="R1133">
        <v>63.1</v>
      </c>
      <c r="S1133">
        <v>164.63</v>
      </c>
      <c r="T1133">
        <v>100</v>
      </c>
      <c r="U1133">
        <v>1.34</v>
      </c>
      <c r="V1133">
        <v>55.97</v>
      </c>
      <c r="W1133">
        <v>320.60000000000002</v>
      </c>
      <c r="X1133">
        <v>36</v>
      </c>
      <c r="Y1133">
        <v>104.74</v>
      </c>
      <c r="Z1133">
        <v>26.1</v>
      </c>
      <c r="AA1133">
        <v>9.2200000000000006</v>
      </c>
      <c r="AB1133">
        <v>285.27999999999997</v>
      </c>
      <c r="AC1133">
        <v>271.26465927099838</v>
      </c>
      <c r="AD1133">
        <v>31.839285714285708</v>
      </c>
      <c r="AE1133">
        <v>73.31</v>
      </c>
      <c r="AF1133">
        <v>13.74</v>
      </c>
      <c r="AG1133">
        <v>1</v>
      </c>
      <c r="AH1133">
        <v>15.18</v>
      </c>
      <c r="AI1133">
        <v>103.18</v>
      </c>
      <c r="AJ1133">
        <v>262.87</v>
      </c>
      <c r="AK1133">
        <v>77.92</v>
      </c>
      <c r="AL1133" t="s">
        <v>23</v>
      </c>
      <c r="AM1133" t="s">
        <v>24</v>
      </c>
      <c r="AN1133" t="str">
        <f t="shared" si="68"/>
        <v>Evening</v>
      </c>
      <c r="AO1133" t="str">
        <f t="shared" si="69"/>
        <v>Peak</v>
      </c>
      <c r="AP1133" t="str">
        <f t="shared" si="70"/>
        <v>High</v>
      </c>
      <c r="AQ1133" t="str">
        <f t="shared" si="71"/>
        <v>High</v>
      </c>
    </row>
    <row r="1134" spans="1:43" x14ac:dyDescent="0.3">
      <c r="A1134">
        <v>1133</v>
      </c>
      <c r="B1134" t="s">
        <v>16</v>
      </c>
      <c r="C1134" t="s">
        <v>17</v>
      </c>
      <c r="D1134" s="1">
        <v>46038</v>
      </c>
      <c r="E1134" t="s">
        <v>9</v>
      </c>
      <c r="F1134">
        <v>0</v>
      </c>
      <c r="G1134">
        <v>19</v>
      </c>
      <c r="H1134" t="s">
        <v>40</v>
      </c>
      <c r="I1134" t="s">
        <v>42</v>
      </c>
      <c r="J1134">
        <v>1.08</v>
      </c>
      <c r="K1134" t="s">
        <v>12</v>
      </c>
      <c r="L1134">
        <v>0</v>
      </c>
      <c r="M1134">
        <v>4.24</v>
      </c>
      <c r="N1134">
        <v>76</v>
      </c>
      <c r="O1134" t="s">
        <v>13</v>
      </c>
      <c r="P1134">
        <v>17</v>
      </c>
      <c r="Q1134">
        <v>1.44</v>
      </c>
      <c r="R1134">
        <v>37.1</v>
      </c>
      <c r="S1134">
        <v>85.36</v>
      </c>
      <c r="T1134">
        <v>98.29</v>
      </c>
      <c r="U1134">
        <v>1.2</v>
      </c>
      <c r="V1134">
        <v>17.07</v>
      </c>
      <c r="W1134">
        <v>200.72</v>
      </c>
      <c r="X1134">
        <v>45.6</v>
      </c>
      <c r="Y1134">
        <v>107.68</v>
      </c>
      <c r="Z1134">
        <v>3.4</v>
      </c>
      <c r="AA1134">
        <v>11.72</v>
      </c>
      <c r="AB1134">
        <v>185.6</v>
      </c>
      <c r="AC1134">
        <v>300.16172506738542</v>
      </c>
      <c r="AD1134">
        <v>128.88888888888889</v>
      </c>
      <c r="AE1134">
        <v>73.400000000000006</v>
      </c>
      <c r="AF1134">
        <v>16.559999999999999</v>
      </c>
      <c r="AG1134">
        <v>1</v>
      </c>
      <c r="AH1134">
        <v>8.9600000000000009</v>
      </c>
      <c r="AI1134">
        <v>84.96</v>
      </c>
      <c r="AJ1134">
        <v>266.25</v>
      </c>
      <c r="AK1134">
        <v>71.739999999999995</v>
      </c>
      <c r="AL1134" t="s">
        <v>23</v>
      </c>
      <c r="AM1134" t="s">
        <v>24</v>
      </c>
      <c r="AN1134" t="str">
        <f t="shared" si="68"/>
        <v>Night</v>
      </c>
      <c r="AO1134" t="str">
        <f t="shared" si="69"/>
        <v>Peak</v>
      </c>
      <c r="AP1134" t="str">
        <f t="shared" si="70"/>
        <v>High</v>
      </c>
      <c r="AQ1134" t="str">
        <f t="shared" si="71"/>
        <v>High</v>
      </c>
    </row>
    <row r="1135" spans="1:43" x14ac:dyDescent="0.3">
      <c r="A1135">
        <v>1134</v>
      </c>
      <c r="B1135" t="s">
        <v>16</v>
      </c>
      <c r="C1135" t="s">
        <v>17</v>
      </c>
      <c r="D1135" s="1">
        <v>46278</v>
      </c>
      <c r="E1135" t="s">
        <v>26</v>
      </c>
      <c r="F1135">
        <v>1</v>
      </c>
      <c r="G1135">
        <v>11</v>
      </c>
      <c r="H1135" t="s">
        <v>19</v>
      </c>
      <c r="I1135" t="s">
        <v>11</v>
      </c>
      <c r="J1135">
        <v>1.18</v>
      </c>
      <c r="K1135" t="s">
        <v>12</v>
      </c>
      <c r="L1135">
        <v>0</v>
      </c>
      <c r="M1135">
        <v>2.81</v>
      </c>
      <c r="N1135">
        <v>46</v>
      </c>
      <c r="O1135" t="s">
        <v>35</v>
      </c>
      <c r="P1135">
        <v>6</v>
      </c>
      <c r="Q1135">
        <v>1.78</v>
      </c>
      <c r="R1135">
        <v>23.9</v>
      </c>
      <c r="S1135">
        <v>75.8</v>
      </c>
      <c r="T1135">
        <v>46.46</v>
      </c>
      <c r="U1135">
        <v>1.02</v>
      </c>
      <c r="V1135">
        <v>1.52</v>
      </c>
      <c r="W1135">
        <v>123.78</v>
      </c>
      <c r="X1135">
        <v>39.1</v>
      </c>
      <c r="Y1135">
        <v>101.73</v>
      </c>
      <c r="Z1135">
        <v>4.62</v>
      </c>
      <c r="AA1135">
        <v>6.01</v>
      </c>
      <c r="AB1135">
        <v>113.15</v>
      </c>
      <c r="AC1135">
        <v>284.05857740585776</v>
      </c>
      <c r="AD1135">
        <v>63.567415730337082</v>
      </c>
      <c r="AE1135">
        <v>96.15</v>
      </c>
      <c r="AF1135">
        <v>14.59</v>
      </c>
      <c r="AG1135">
        <v>1</v>
      </c>
      <c r="AH1135">
        <v>1.25</v>
      </c>
      <c r="AI1135">
        <v>47.25</v>
      </c>
      <c r="AJ1135">
        <v>321.95999999999998</v>
      </c>
      <c r="AK1135">
        <v>73.709999999999994</v>
      </c>
      <c r="AL1135" t="s">
        <v>23</v>
      </c>
      <c r="AM1135" t="s">
        <v>24</v>
      </c>
      <c r="AN1135" t="str">
        <f t="shared" si="68"/>
        <v>Afternoon</v>
      </c>
      <c r="AO1135" t="str">
        <f t="shared" si="69"/>
        <v>Off-Peak</v>
      </c>
      <c r="AP1135" t="str">
        <f t="shared" si="70"/>
        <v>High</v>
      </c>
      <c r="AQ1135" t="str">
        <f t="shared" si="71"/>
        <v>Medium</v>
      </c>
    </row>
    <row r="1136" spans="1:43" x14ac:dyDescent="0.3">
      <c r="A1136">
        <v>1135</v>
      </c>
      <c r="B1136" t="s">
        <v>25</v>
      </c>
      <c r="C1136" t="s">
        <v>17</v>
      </c>
      <c r="D1136" s="1">
        <v>46045</v>
      </c>
      <c r="E1136" t="s">
        <v>9</v>
      </c>
      <c r="F1136">
        <v>0</v>
      </c>
      <c r="G1136">
        <v>20</v>
      </c>
      <c r="H1136" t="s">
        <v>40</v>
      </c>
      <c r="I1136" t="s">
        <v>39</v>
      </c>
      <c r="J1136">
        <v>1.05</v>
      </c>
      <c r="K1136" t="s">
        <v>21</v>
      </c>
      <c r="L1136">
        <v>0</v>
      </c>
      <c r="M1136">
        <v>3.34</v>
      </c>
      <c r="N1136">
        <v>80</v>
      </c>
      <c r="O1136" t="s">
        <v>13</v>
      </c>
      <c r="P1136">
        <v>11</v>
      </c>
      <c r="Q1136">
        <v>3.89</v>
      </c>
      <c r="R1136">
        <v>37.5</v>
      </c>
      <c r="S1136">
        <v>117.93</v>
      </c>
      <c r="T1136">
        <v>82.22</v>
      </c>
      <c r="U1136">
        <v>1.27</v>
      </c>
      <c r="V1136">
        <v>31.84</v>
      </c>
      <c r="W1136">
        <v>231.99</v>
      </c>
      <c r="X1136">
        <v>39.5</v>
      </c>
      <c r="Y1136">
        <v>109.16</v>
      </c>
      <c r="Z1136">
        <v>10.75</v>
      </c>
      <c r="AA1136">
        <v>9.86</v>
      </c>
      <c r="AB1136">
        <v>211.38</v>
      </c>
      <c r="AC1136">
        <v>338.20799999999997</v>
      </c>
      <c r="AD1136">
        <v>54.339331619537269</v>
      </c>
      <c r="AE1136">
        <v>76.39</v>
      </c>
      <c r="AF1136">
        <v>14.91</v>
      </c>
      <c r="AG1136">
        <v>1</v>
      </c>
      <c r="AH1136">
        <v>28.3</v>
      </c>
      <c r="AI1136">
        <v>108.3</v>
      </c>
      <c r="AJ1136">
        <v>347</v>
      </c>
      <c r="AK1136">
        <v>73.239999999999995</v>
      </c>
      <c r="AL1136" t="s">
        <v>23</v>
      </c>
      <c r="AM1136" t="s">
        <v>24</v>
      </c>
      <c r="AN1136" t="str">
        <f t="shared" si="68"/>
        <v>Night</v>
      </c>
      <c r="AO1136" t="str">
        <f t="shared" si="69"/>
        <v>Peak</v>
      </c>
      <c r="AP1136" t="str">
        <f t="shared" si="70"/>
        <v>High</v>
      </c>
      <c r="AQ1136" t="str">
        <f t="shared" si="71"/>
        <v>High</v>
      </c>
    </row>
    <row r="1137" spans="1:43" x14ac:dyDescent="0.3">
      <c r="A1137">
        <v>1136</v>
      </c>
      <c r="B1137" t="s">
        <v>7</v>
      </c>
      <c r="C1137" t="s">
        <v>8</v>
      </c>
      <c r="D1137" s="1">
        <v>46042</v>
      </c>
      <c r="E1137" t="s">
        <v>44</v>
      </c>
      <c r="F1137">
        <v>0</v>
      </c>
      <c r="G1137">
        <v>13</v>
      </c>
      <c r="H1137" t="s">
        <v>10</v>
      </c>
      <c r="I1137" t="s">
        <v>39</v>
      </c>
      <c r="J1137">
        <v>1.05</v>
      </c>
      <c r="K1137" t="s">
        <v>21</v>
      </c>
      <c r="L1137">
        <v>0</v>
      </c>
      <c r="M1137">
        <v>4.8899999999999997</v>
      </c>
      <c r="N1137">
        <v>81</v>
      </c>
      <c r="O1137" t="s">
        <v>13</v>
      </c>
      <c r="P1137">
        <v>24</v>
      </c>
      <c r="Q1137">
        <v>5.89</v>
      </c>
      <c r="R1137">
        <v>47.5</v>
      </c>
      <c r="S1137">
        <v>101.72</v>
      </c>
      <c r="T1137">
        <v>81.61</v>
      </c>
      <c r="U1137">
        <v>1</v>
      </c>
      <c r="V1137">
        <v>0</v>
      </c>
      <c r="W1137">
        <v>183.33</v>
      </c>
      <c r="X1137">
        <v>49.9</v>
      </c>
      <c r="Y1137">
        <v>106.84</v>
      </c>
      <c r="Z1137">
        <v>12.6</v>
      </c>
      <c r="AA1137">
        <v>9.41</v>
      </c>
      <c r="AB1137">
        <v>161.32</v>
      </c>
      <c r="AC1137">
        <v>203.77263157894737</v>
      </c>
      <c r="AD1137">
        <v>27.388794567062817</v>
      </c>
      <c r="AE1137">
        <v>80.7</v>
      </c>
      <c r="AF1137">
        <v>20</v>
      </c>
      <c r="AG1137">
        <v>1</v>
      </c>
      <c r="AH1137">
        <v>14.07</v>
      </c>
      <c r="AI1137">
        <v>95.07</v>
      </c>
      <c r="AJ1137">
        <v>167.42</v>
      </c>
      <c r="AK1137">
        <v>74.849999999999994</v>
      </c>
      <c r="AL1137" t="s">
        <v>14</v>
      </c>
      <c r="AM1137" t="s">
        <v>15</v>
      </c>
      <c r="AN1137" t="str">
        <f t="shared" si="68"/>
        <v>Afternoon</v>
      </c>
      <c r="AO1137" t="str">
        <f t="shared" si="69"/>
        <v>Off-Peak</v>
      </c>
      <c r="AP1137" t="str">
        <f t="shared" si="70"/>
        <v>Medium</v>
      </c>
      <c r="AQ1137" t="str">
        <f t="shared" si="71"/>
        <v>High</v>
      </c>
    </row>
    <row r="1138" spans="1:43" x14ac:dyDescent="0.3">
      <c r="A1138">
        <v>1137</v>
      </c>
      <c r="B1138" t="s">
        <v>16</v>
      </c>
      <c r="C1138" t="s">
        <v>17</v>
      </c>
      <c r="D1138" s="1">
        <v>46030</v>
      </c>
      <c r="E1138" t="s">
        <v>41</v>
      </c>
      <c r="F1138">
        <v>0</v>
      </c>
      <c r="G1138">
        <v>7</v>
      </c>
      <c r="H1138" t="s">
        <v>27</v>
      </c>
      <c r="I1138" t="s">
        <v>20</v>
      </c>
      <c r="J1138">
        <v>1.25</v>
      </c>
      <c r="K1138" t="s">
        <v>12</v>
      </c>
      <c r="L1138">
        <v>0</v>
      </c>
      <c r="M1138">
        <v>4.4400000000000004</v>
      </c>
      <c r="N1138">
        <v>80</v>
      </c>
      <c r="O1138" t="s">
        <v>13</v>
      </c>
      <c r="P1138">
        <v>13</v>
      </c>
      <c r="Q1138">
        <v>1.2</v>
      </c>
      <c r="R1138">
        <v>29.2</v>
      </c>
      <c r="S1138">
        <v>72.239999999999995</v>
      </c>
      <c r="T1138">
        <v>81.17</v>
      </c>
      <c r="U1138">
        <v>1.37</v>
      </c>
      <c r="V1138">
        <v>26.73</v>
      </c>
      <c r="W1138">
        <v>180.14</v>
      </c>
      <c r="X1138">
        <v>40.799999999999997</v>
      </c>
      <c r="Y1138">
        <v>103.12</v>
      </c>
      <c r="Z1138">
        <v>3.05</v>
      </c>
      <c r="AA1138">
        <v>11.89</v>
      </c>
      <c r="AB1138">
        <v>165.2</v>
      </c>
      <c r="AC1138">
        <v>339.45205479452056</v>
      </c>
      <c r="AD1138">
        <v>137.66666666666666</v>
      </c>
      <c r="AE1138">
        <v>80.34</v>
      </c>
      <c r="AF1138">
        <v>13.61</v>
      </c>
      <c r="AG1138">
        <v>1</v>
      </c>
      <c r="AH1138">
        <v>-3.24</v>
      </c>
      <c r="AI1138">
        <v>76.760000000000005</v>
      </c>
      <c r="AJ1138">
        <v>351.48</v>
      </c>
      <c r="AK1138">
        <v>83.11</v>
      </c>
      <c r="AL1138" t="s">
        <v>23</v>
      </c>
      <c r="AM1138" t="s">
        <v>24</v>
      </c>
      <c r="AN1138" t="str">
        <f t="shared" si="68"/>
        <v>Morning</v>
      </c>
      <c r="AO1138" t="str">
        <f t="shared" si="69"/>
        <v>Peak</v>
      </c>
      <c r="AP1138" t="str">
        <f t="shared" si="70"/>
        <v>High</v>
      </c>
      <c r="AQ1138" t="str">
        <f t="shared" si="71"/>
        <v>High</v>
      </c>
    </row>
    <row r="1139" spans="1:43" x14ac:dyDescent="0.3">
      <c r="A1139">
        <v>1138</v>
      </c>
      <c r="B1139" t="s">
        <v>48</v>
      </c>
      <c r="C1139" t="s">
        <v>30</v>
      </c>
      <c r="D1139" s="1">
        <v>46057</v>
      </c>
      <c r="E1139" t="s">
        <v>18</v>
      </c>
      <c r="F1139">
        <v>0</v>
      </c>
      <c r="G1139">
        <v>12</v>
      </c>
      <c r="H1139" t="s">
        <v>43</v>
      </c>
      <c r="I1139" t="s">
        <v>11</v>
      </c>
      <c r="J1139">
        <v>1.18</v>
      </c>
      <c r="K1139" t="s">
        <v>12</v>
      </c>
      <c r="L1139">
        <v>0</v>
      </c>
      <c r="M1139">
        <v>2.64</v>
      </c>
      <c r="N1139">
        <v>9</v>
      </c>
      <c r="O1139" t="s">
        <v>22</v>
      </c>
      <c r="P1139">
        <v>2</v>
      </c>
      <c r="Q1139">
        <v>1.48</v>
      </c>
      <c r="R1139">
        <v>38.1</v>
      </c>
      <c r="S1139">
        <v>59.05</v>
      </c>
      <c r="T1139">
        <v>28.03</v>
      </c>
      <c r="U1139">
        <v>1</v>
      </c>
      <c r="V1139">
        <v>0</v>
      </c>
      <c r="W1139">
        <v>87.08</v>
      </c>
      <c r="X1139">
        <v>42.7</v>
      </c>
      <c r="Y1139">
        <v>108.86</v>
      </c>
      <c r="Z1139">
        <v>3.77</v>
      </c>
      <c r="AA1139">
        <v>9.74</v>
      </c>
      <c r="AB1139">
        <v>73.569999999999993</v>
      </c>
      <c r="AC1139">
        <v>115.85826771653542</v>
      </c>
      <c r="AD1139">
        <v>49.709459459459453</v>
      </c>
      <c r="AE1139">
        <v>77.44</v>
      </c>
      <c r="AF1139">
        <v>16.940000000000001</v>
      </c>
      <c r="AG1139">
        <v>0</v>
      </c>
      <c r="AH1139">
        <v>-2.57</v>
      </c>
      <c r="AI1139">
        <v>6.43</v>
      </c>
      <c r="AJ1139">
        <v>126.26</v>
      </c>
      <c r="AK1139">
        <v>73.52</v>
      </c>
      <c r="AL1139" t="s">
        <v>14</v>
      </c>
      <c r="AM1139" t="s">
        <v>15</v>
      </c>
      <c r="AN1139" t="str">
        <f t="shared" si="68"/>
        <v>Afternoon</v>
      </c>
      <c r="AO1139" t="str">
        <f t="shared" si="69"/>
        <v>Off-Peak</v>
      </c>
      <c r="AP1139" t="str">
        <f t="shared" si="70"/>
        <v>Low</v>
      </c>
      <c r="AQ1139" t="str">
        <f t="shared" si="71"/>
        <v>Low</v>
      </c>
    </row>
    <row r="1140" spans="1:43" x14ac:dyDescent="0.3">
      <c r="A1140">
        <v>1139</v>
      </c>
      <c r="B1140" t="s">
        <v>16</v>
      </c>
      <c r="C1140" t="s">
        <v>17</v>
      </c>
      <c r="D1140" s="1">
        <v>46159</v>
      </c>
      <c r="E1140" t="s">
        <v>26</v>
      </c>
      <c r="F1140">
        <v>1</v>
      </c>
      <c r="G1140">
        <v>12</v>
      </c>
      <c r="H1140" t="s">
        <v>19</v>
      </c>
      <c r="I1140" t="s">
        <v>45</v>
      </c>
      <c r="J1140">
        <v>1</v>
      </c>
      <c r="K1140" t="s">
        <v>12</v>
      </c>
      <c r="L1140">
        <v>0</v>
      </c>
      <c r="M1140">
        <v>3.12</v>
      </c>
      <c r="N1140">
        <v>32</v>
      </c>
      <c r="O1140" t="s">
        <v>22</v>
      </c>
      <c r="P1140">
        <v>6</v>
      </c>
      <c r="Q1140">
        <v>6.88</v>
      </c>
      <c r="R1140">
        <v>55.3</v>
      </c>
      <c r="S1140">
        <v>127.6</v>
      </c>
      <c r="T1140">
        <v>39.36</v>
      </c>
      <c r="U1140">
        <v>1.0900000000000001</v>
      </c>
      <c r="V1140">
        <v>11.48</v>
      </c>
      <c r="W1140">
        <v>178.44</v>
      </c>
      <c r="X1140">
        <v>40.799999999999997</v>
      </c>
      <c r="Y1140">
        <v>105.99</v>
      </c>
      <c r="Z1140">
        <v>17.88</v>
      </c>
      <c r="AA1140">
        <v>4.84</v>
      </c>
      <c r="AB1140">
        <v>155.72</v>
      </c>
      <c r="AC1140">
        <v>168.95479204339964</v>
      </c>
      <c r="AD1140">
        <v>22.63372093023256</v>
      </c>
      <c r="AE1140">
        <v>70.739999999999995</v>
      </c>
      <c r="AF1140">
        <v>15.41</v>
      </c>
      <c r="AG1140">
        <v>1</v>
      </c>
      <c r="AH1140">
        <v>14.83</v>
      </c>
      <c r="AI1140">
        <v>46.83</v>
      </c>
      <c r="AJ1140">
        <v>158.13999999999999</v>
      </c>
      <c r="AK1140">
        <v>60</v>
      </c>
      <c r="AL1140" t="s">
        <v>14</v>
      </c>
      <c r="AM1140" t="s">
        <v>15</v>
      </c>
      <c r="AN1140" t="str">
        <f t="shared" si="68"/>
        <v>Afternoon</v>
      </c>
      <c r="AO1140" t="str">
        <f t="shared" si="69"/>
        <v>Off-Peak</v>
      </c>
      <c r="AP1140" t="str">
        <f t="shared" si="70"/>
        <v>Medium</v>
      </c>
      <c r="AQ1140" t="str">
        <f t="shared" si="71"/>
        <v>Low</v>
      </c>
    </row>
    <row r="1141" spans="1:43" x14ac:dyDescent="0.3">
      <c r="A1141">
        <v>1140</v>
      </c>
      <c r="B1141" t="s">
        <v>29</v>
      </c>
      <c r="C1141" t="s">
        <v>30</v>
      </c>
      <c r="D1141" s="1">
        <v>46236</v>
      </c>
      <c r="E1141" t="s">
        <v>26</v>
      </c>
      <c r="F1141">
        <v>1</v>
      </c>
      <c r="G1141">
        <v>15</v>
      </c>
      <c r="H1141" t="s">
        <v>43</v>
      </c>
      <c r="I1141" t="s">
        <v>45</v>
      </c>
      <c r="J1141">
        <v>1</v>
      </c>
      <c r="K1141" t="s">
        <v>12</v>
      </c>
      <c r="L1141">
        <v>0</v>
      </c>
      <c r="M1141">
        <v>2.93</v>
      </c>
      <c r="N1141">
        <v>39</v>
      </c>
      <c r="O1141" t="s">
        <v>35</v>
      </c>
      <c r="P1141">
        <v>8</v>
      </c>
      <c r="Q1141">
        <v>1.25</v>
      </c>
      <c r="R1141">
        <v>24</v>
      </c>
      <c r="S1141">
        <v>63.92</v>
      </c>
      <c r="T1141">
        <v>46.99</v>
      </c>
      <c r="U1141">
        <v>1</v>
      </c>
      <c r="V1141">
        <v>0</v>
      </c>
      <c r="W1141">
        <v>110.91</v>
      </c>
      <c r="X1141">
        <v>39.4</v>
      </c>
      <c r="Y1141">
        <v>107.33</v>
      </c>
      <c r="Z1141">
        <v>3.42</v>
      </c>
      <c r="AA1141">
        <v>2.15</v>
      </c>
      <c r="AB1141">
        <v>105.34</v>
      </c>
      <c r="AC1141">
        <v>263.34999999999997</v>
      </c>
      <c r="AD1141">
        <v>84.272000000000006</v>
      </c>
      <c r="AE1141">
        <v>85.1</v>
      </c>
      <c r="AF1141">
        <v>14.04</v>
      </c>
      <c r="AG1141">
        <v>1</v>
      </c>
      <c r="AH1141">
        <v>6.04</v>
      </c>
      <c r="AI1141">
        <v>45.04</v>
      </c>
      <c r="AJ1141">
        <v>252.24</v>
      </c>
      <c r="AK1141">
        <v>62.72</v>
      </c>
      <c r="AL1141" t="s">
        <v>14</v>
      </c>
      <c r="AM1141" t="s">
        <v>15</v>
      </c>
      <c r="AN1141" t="str">
        <f t="shared" si="68"/>
        <v>Evening</v>
      </c>
      <c r="AO1141" t="str">
        <f t="shared" si="69"/>
        <v>Off-Peak</v>
      </c>
      <c r="AP1141" t="str">
        <f t="shared" si="70"/>
        <v>High</v>
      </c>
      <c r="AQ1141" t="str">
        <f t="shared" si="71"/>
        <v>Medium</v>
      </c>
    </row>
    <row r="1142" spans="1:43" x14ac:dyDescent="0.3">
      <c r="A1142">
        <v>1141</v>
      </c>
      <c r="B1142" t="s">
        <v>23</v>
      </c>
      <c r="C1142" t="s">
        <v>17</v>
      </c>
      <c r="D1142" s="1">
        <v>46212</v>
      </c>
      <c r="E1142" t="s">
        <v>41</v>
      </c>
      <c r="F1142">
        <v>0</v>
      </c>
      <c r="G1142">
        <v>11</v>
      </c>
      <c r="H1142" t="s">
        <v>19</v>
      </c>
      <c r="I1142" t="s">
        <v>20</v>
      </c>
      <c r="J1142">
        <v>1.25</v>
      </c>
      <c r="K1142" t="s">
        <v>34</v>
      </c>
      <c r="L1142">
        <v>1</v>
      </c>
      <c r="M1142">
        <v>2.81</v>
      </c>
      <c r="N1142">
        <v>55</v>
      </c>
      <c r="O1142" t="s">
        <v>35</v>
      </c>
      <c r="P1142">
        <v>7</v>
      </c>
      <c r="Q1142">
        <v>1.8</v>
      </c>
      <c r="R1142">
        <v>24.3</v>
      </c>
      <c r="S1142">
        <v>72.61</v>
      </c>
      <c r="T1142">
        <v>62.24</v>
      </c>
      <c r="U1142">
        <v>1.18</v>
      </c>
      <c r="V1142">
        <v>13.07</v>
      </c>
      <c r="W1142">
        <v>147.91999999999999</v>
      </c>
      <c r="X1142">
        <v>35.1</v>
      </c>
      <c r="Y1142">
        <v>103.85</v>
      </c>
      <c r="Z1142">
        <v>5.32</v>
      </c>
      <c r="AA1142">
        <v>11.68</v>
      </c>
      <c r="AB1142">
        <v>130.91999999999999</v>
      </c>
      <c r="AC1142">
        <v>323.25925925925918</v>
      </c>
      <c r="AD1142">
        <v>72.73333333333332</v>
      </c>
      <c r="AE1142">
        <v>79.95</v>
      </c>
      <c r="AF1142">
        <v>16.43</v>
      </c>
      <c r="AG1142">
        <v>0</v>
      </c>
      <c r="AH1142">
        <v>-13.82</v>
      </c>
      <c r="AI1142">
        <v>41.18</v>
      </c>
      <c r="AJ1142">
        <v>328.56</v>
      </c>
      <c r="AK1142">
        <v>75.37</v>
      </c>
      <c r="AL1142" t="s">
        <v>23</v>
      </c>
      <c r="AM1142" t="s">
        <v>24</v>
      </c>
      <c r="AN1142" t="str">
        <f t="shared" si="68"/>
        <v>Afternoon</v>
      </c>
      <c r="AO1142" t="str">
        <f t="shared" si="69"/>
        <v>Off-Peak</v>
      </c>
      <c r="AP1142" t="str">
        <f t="shared" si="70"/>
        <v>High</v>
      </c>
      <c r="AQ1142" t="str">
        <f t="shared" si="71"/>
        <v>Medium</v>
      </c>
    </row>
    <row r="1143" spans="1:43" x14ac:dyDescent="0.3">
      <c r="A1143">
        <v>1142</v>
      </c>
      <c r="B1143" t="s">
        <v>48</v>
      </c>
      <c r="C1143" t="s">
        <v>30</v>
      </c>
      <c r="D1143" s="1">
        <v>46172</v>
      </c>
      <c r="E1143" t="s">
        <v>31</v>
      </c>
      <c r="F1143">
        <v>1</v>
      </c>
      <c r="G1143">
        <v>14</v>
      </c>
      <c r="H1143" t="s">
        <v>43</v>
      </c>
      <c r="I1143" t="s">
        <v>50</v>
      </c>
      <c r="J1143">
        <v>1.2</v>
      </c>
      <c r="K1143" t="s">
        <v>12</v>
      </c>
      <c r="L1143">
        <v>0</v>
      </c>
      <c r="M1143">
        <v>3.06</v>
      </c>
      <c r="N1143">
        <v>46</v>
      </c>
      <c r="O1143" t="s">
        <v>35</v>
      </c>
      <c r="P1143">
        <v>14</v>
      </c>
      <c r="Q1143">
        <v>7.18</v>
      </c>
      <c r="R1143">
        <v>52.3</v>
      </c>
      <c r="S1143">
        <v>120.86</v>
      </c>
      <c r="T1143">
        <v>37.76</v>
      </c>
      <c r="U1143">
        <v>1</v>
      </c>
      <c r="V1143">
        <v>0</v>
      </c>
      <c r="W1143">
        <v>158.62</v>
      </c>
      <c r="X1143">
        <v>47.8</v>
      </c>
      <c r="Y1143">
        <v>103.94</v>
      </c>
      <c r="Z1143">
        <v>15.61</v>
      </c>
      <c r="AA1143">
        <v>9.16</v>
      </c>
      <c r="AB1143">
        <v>133.85</v>
      </c>
      <c r="AC1143">
        <v>153.55640535372851</v>
      </c>
      <c r="AD1143">
        <v>18.642061281337046</v>
      </c>
      <c r="AE1143">
        <v>65.38</v>
      </c>
      <c r="AF1143">
        <v>12.05</v>
      </c>
      <c r="AG1143">
        <v>1</v>
      </c>
      <c r="AH1143">
        <v>16.420000000000002</v>
      </c>
      <c r="AI1143">
        <v>62.42</v>
      </c>
      <c r="AJ1143">
        <v>171.48</v>
      </c>
      <c r="AK1143">
        <v>73.14</v>
      </c>
      <c r="AL1143" t="s">
        <v>14</v>
      </c>
      <c r="AM1143" t="s">
        <v>15</v>
      </c>
      <c r="AN1143" t="str">
        <f t="shared" si="68"/>
        <v>Afternoon</v>
      </c>
      <c r="AO1143" t="str">
        <f t="shared" si="69"/>
        <v>Off-Peak</v>
      </c>
      <c r="AP1143" t="str">
        <f t="shared" si="70"/>
        <v>Medium</v>
      </c>
      <c r="AQ1143" t="str">
        <f t="shared" si="71"/>
        <v>Medium</v>
      </c>
    </row>
    <row r="1144" spans="1:43" x14ac:dyDescent="0.3">
      <c r="A1144">
        <v>1143</v>
      </c>
      <c r="B1144" t="s">
        <v>23</v>
      </c>
      <c r="C1144" t="s">
        <v>17</v>
      </c>
      <c r="D1144" s="1">
        <v>46044</v>
      </c>
      <c r="E1144" t="s">
        <v>41</v>
      </c>
      <c r="F1144">
        <v>0</v>
      </c>
      <c r="G1144">
        <v>13</v>
      </c>
      <c r="H1144" t="s">
        <v>19</v>
      </c>
      <c r="I1144" t="s">
        <v>39</v>
      </c>
      <c r="J1144">
        <v>1.05</v>
      </c>
      <c r="K1144" t="s">
        <v>34</v>
      </c>
      <c r="L1144">
        <v>1</v>
      </c>
      <c r="M1144">
        <v>3</v>
      </c>
      <c r="N1144">
        <v>55</v>
      </c>
      <c r="O1144" t="s">
        <v>35</v>
      </c>
      <c r="P1144">
        <v>7</v>
      </c>
      <c r="Q1144">
        <v>5.83</v>
      </c>
      <c r="R1144">
        <v>46.9</v>
      </c>
      <c r="S1144">
        <v>117.34</v>
      </c>
      <c r="T1144">
        <v>55.03</v>
      </c>
      <c r="U1144">
        <v>1.1100000000000001</v>
      </c>
      <c r="V1144">
        <v>12.91</v>
      </c>
      <c r="W1144">
        <v>185.28</v>
      </c>
      <c r="X1144">
        <v>42.1</v>
      </c>
      <c r="Y1144">
        <v>100.13</v>
      </c>
      <c r="Z1144">
        <v>13.86</v>
      </c>
      <c r="AA1144">
        <v>10.130000000000001</v>
      </c>
      <c r="AB1144">
        <v>161.29</v>
      </c>
      <c r="AC1144">
        <v>206.3411513859275</v>
      </c>
      <c r="AD1144">
        <v>27.665523156089193</v>
      </c>
      <c r="AE1144">
        <v>75.540000000000006</v>
      </c>
      <c r="AF1144">
        <v>9.85</v>
      </c>
      <c r="AG1144">
        <v>0</v>
      </c>
      <c r="AH1144">
        <v>21.86</v>
      </c>
      <c r="AI1144">
        <v>76.86</v>
      </c>
      <c r="AJ1144">
        <v>212.91</v>
      </c>
      <c r="AK1144">
        <v>68.53</v>
      </c>
      <c r="AL1144" t="s">
        <v>14</v>
      </c>
      <c r="AM1144" t="s">
        <v>15</v>
      </c>
      <c r="AN1144" t="str">
        <f t="shared" si="68"/>
        <v>Afternoon</v>
      </c>
      <c r="AO1144" t="str">
        <f t="shared" si="69"/>
        <v>Off-Peak</v>
      </c>
      <c r="AP1144" t="str">
        <f t="shared" si="70"/>
        <v>Medium</v>
      </c>
      <c r="AQ1144" t="str">
        <f t="shared" si="71"/>
        <v>Medium</v>
      </c>
    </row>
    <row r="1145" spans="1:43" x14ac:dyDescent="0.3">
      <c r="A1145">
        <v>1144</v>
      </c>
      <c r="B1145" t="s">
        <v>16</v>
      </c>
      <c r="C1145" t="s">
        <v>17</v>
      </c>
      <c r="D1145" s="1">
        <v>46222</v>
      </c>
      <c r="E1145" t="s">
        <v>26</v>
      </c>
      <c r="F1145">
        <v>1</v>
      </c>
      <c r="G1145">
        <v>12</v>
      </c>
      <c r="H1145" t="s">
        <v>19</v>
      </c>
      <c r="I1145" t="s">
        <v>33</v>
      </c>
      <c r="J1145">
        <v>1</v>
      </c>
      <c r="K1145" t="s">
        <v>12</v>
      </c>
      <c r="L1145">
        <v>0</v>
      </c>
      <c r="M1145">
        <v>2.2400000000000002</v>
      </c>
      <c r="N1145">
        <v>58</v>
      </c>
      <c r="O1145" t="s">
        <v>35</v>
      </c>
      <c r="P1145">
        <v>14</v>
      </c>
      <c r="Q1145">
        <v>2.23</v>
      </c>
      <c r="R1145">
        <v>24.9</v>
      </c>
      <c r="S1145">
        <v>80.260000000000005</v>
      </c>
      <c r="T1145">
        <v>54.23</v>
      </c>
      <c r="U1145">
        <v>1.1299999999999999</v>
      </c>
      <c r="V1145">
        <v>10.43</v>
      </c>
      <c r="W1145">
        <v>144.91999999999999</v>
      </c>
      <c r="X1145">
        <v>45.8</v>
      </c>
      <c r="Y1145">
        <v>105.38</v>
      </c>
      <c r="Z1145">
        <v>5.14</v>
      </c>
      <c r="AA1145">
        <v>9.93</v>
      </c>
      <c r="AB1145">
        <v>129.85</v>
      </c>
      <c r="AC1145">
        <v>312.89156626506025</v>
      </c>
      <c r="AD1145">
        <v>58.228699551569505</v>
      </c>
      <c r="AE1145">
        <v>75.260000000000005</v>
      </c>
      <c r="AF1145">
        <v>13.79</v>
      </c>
      <c r="AG1145">
        <v>1</v>
      </c>
      <c r="AH1145">
        <v>20.72</v>
      </c>
      <c r="AI1145">
        <v>78.72</v>
      </c>
      <c r="AJ1145">
        <v>334.48</v>
      </c>
      <c r="AK1145">
        <v>69.98</v>
      </c>
      <c r="AL1145" t="s">
        <v>14</v>
      </c>
      <c r="AM1145" t="s">
        <v>15</v>
      </c>
      <c r="AN1145" t="str">
        <f t="shared" si="68"/>
        <v>Afternoon</v>
      </c>
      <c r="AO1145" t="str">
        <f t="shared" si="69"/>
        <v>Off-Peak</v>
      </c>
      <c r="AP1145" t="str">
        <f t="shared" si="70"/>
        <v>High</v>
      </c>
      <c r="AQ1145" t="str">
        <f t="shared" si="71"/>
        <v>Medium</v>
      </c>
    </row>
    <row r="1146" spans="1:43" x14ac:dyDescent="0.3">
      <c r="A1146">
        <v>1145</v>
      </c>
      <c r="B1146" t="s">
        <v>48</v>
      </c>
      <c r="C1146" t="s">
        <v>30</v>
      </c>
      <c r="D1146" s="1">
        <v>46032</v>
      </c>
      <c r="E1146" t="s">
        <v>31</v>
      </c>
      <c r="F1146">
        <v>1</v>
      </c>
      <c r="G1146">
        <v>18</v>
      </c>
      <c r="H1146" t="s">
        <v>32</v>
      </c>
      <c r="I1146" t="s">
        <v>39</v>
      </c>
      <c r="J1146">
        <v>1.05</v>
      </c>
      <c r="K1146" t="s">
        <v>12</v>
      </c>
      <c r="L1146">
        <v>0</v>
      </c>
      <c r="M1146">
        <v>2.8</v>
      </c>
      <c r="N1146">
        <v>102</v>
      </c>
      <c r="O1146" t="s">
        <v>13</v>
      </c>
      <c r="P1146">
        <v>36</v>
      </c>
      <c r="Q1146">
        <v>5.36</v>
      </c>
      <c r="R1146">
        <v>46</v>
      </c>
      <c r="S1146">
        <v>99.55</v>
      </c>
      <c r="T1146">
        <v>100</v>
      </c>
      <c r="U1146">
        <v>1</v>
      </c>
      <c r="V1146">
        <v>0</v>
      </c>
      <c r="W1146">
        <v>199.55</v>
      </c>
      <c r="X1146">
        <v>49.4</v>
      </c>
      <c r="Y1146">
        <v>107.61</v>
      </c>
      <c r="Z1146">
        <v>11.69</v>
      </c>
      <c r="AA1146">
        <v>9.36</v>
      </c>
      <c r="AB1146">
        <v>178.5</v>
      </c>
      <c r="AC1146">
        <v>232.82608695652172</v>
      </c>
      <c r="AD1146">
        <v>33.302238805970148</v>
      </c>
      <c r="AE1146">
        <v>78.41</v>
      </c>
      <c r="AF1146">
        <v>12.36</v>
      </c>
      <c r="AG1146">
        <v>1</v>
      </c>
      <c r="AH1146">
        <v>26.14</v>
      </c>
      <c r="AI1146">
        <v>128.13999999999999</v>
      </c>
      <c r="AJ1146">
        <v>257.8</v>
      </c>
      <c r="AK1146">
        <v>76.42</v>
      </c>
      <c r="AL1146" t="s">
        <v>14</v>
      </c>
      <c r="AM1146" t="s">
        <v>15</v>
      </c>
      <c r="AN1146" t="str">
        <f t="shared" si="68"/>
        <v>Night</v>
      </c>
      <c r="AO1146" t="str">
        <f t="shared" si="69"/>
        <v>Peak</v>
      </c>
      <c r="AP1146" t="str">
        <f t="shared" si="70"/>
        <v>Medium</v>
      </c>
      <c r="AQ1146" t="str">
        <f t="shared" si="71"/>
        <v>High</v>
      </c>
    </row>
    <row r="1147" spans="1:43" x14ac:dyDescent="0.3">
      <c r="A1147">
        <v>1146</v>
      </c>
      <c r="B1147" t="s">
        <v>29</v>
      </c>
      <c r="C1147" t="s">
        <v>30</v>
      </c>
      <c r="D1147" s="1">
        <v>46185</v>
      </c>
      <c r="E1147" t="s">
        <v>9</v>
      </c>
      <c r="F1147">
        <v>0</v>
      </c>
      <c r="G1147">
        <v>11</v>
      </c>
      <c r="H1147" t="s">
        <v>43</v>
      </c>
      <c r="I1147" t="s">
        <v>42</v>
      </c>
      <c r="J1147">
        <v>1.08</v>
      </c>
      <c r="K1147" t="s">
        <v>12</v>
      </c>
      <c r="L1147">
        <v>0</v>
      </c>
      <c r="M1147">
        <v>2.71</v>
      </c>
      <c r="N1147">
        <v>38</v>
      </c>
      <c r="O1147" t="s">
        <v>35</v>
      </c>
      <c r="P1147">
        <v>12</v>
      </c>
      <c r="Q1147">
        <v>4.66</v>
      </c>
      <c r="R1147">
        <v>35</v>
      </c>
      <c r="S1147">
        <v>84.46</v>
      </c>
      <c r="T1147">
        <v>33.340000000000003</v>
      </c>
      <c r="U1147">
        <v>1</v>
      </c>
      <c r="V1147">
        <v>0</v>
      </c>
      <c r="W1147">
        <v>117.8</v>
      </c>
      <c r="X1147">
        <v>35</v>
      </c>
      <c r="Y1147">
        <v>109.69</v>
      </c>
      <c r="Z1147">
        <v>14.58</v>
      </c>
      <c r="AA1147">
        <v>9.51</v>
      </c>
      <c r="AB1147">
        <v>93.71</v>
      </c>
      <c r="AC1147">
        <v>160.64571428571426</v>
      </c>
      <c r="AD1147">
        <v>20.109442060085836</v>
      </c>
      <c r="AE1147">
        <v>79.11</v>
      </c>
      <c r="AF1147">
        <v>12.03</v>
      </c>
      <c r="AG1147">
        <v>0</v>
      </c>
      <c r="AH1147">
        <v>34.04</v>
      </c>
      <c r="AI1147">
        <v>72.040000000000006</v>
      </c>
      <c r="AJ1147">
        <v>157.01</v>
      </c>
      <c r="AK1147">
        <v>63.58</v>
      </c>
      <c r="AL1147" t="s">
        <v>14</v>
      </c>
      <c r="AM1147" t="s">
        <v>15</v>
      </c>
      <c r="AN1147" t="str">
        <f t="shared" si="68"/>
        <v>Afternoon</v>
      </c>
      <c r="AO1147" t="str">
        <f t="shared" si="69"/>
        <v>Off-Peak</v>
      </c>
      <c r="AP1147" t="str">
        <f t="shared" si="70"/>
        <v>Medium</v>
      </c>
      <c r="AQ1147" t="str">
        <f t="shared" si="71"/>
        <v>Medium</v>
      </c>
    </row>
    <row r="1148" spans="1:43" x14ac:dyDescent="0.3">
      <c r="A1148">
        <v>1147</v>
      </c>
      <c r="B1148" t="s">
        <v>29</v>
      </c>
      <c r="C1148" t="s">
        <v>30</v>
      </c>
      <c r="D1148" s="1">
        <v>46128</v>
      </c>
      <c r="E1148" t="s">
        <v>41</v>
      </c>
      <c r="F1148">
        <v>0</v>
      </c>
      <c r="G1148">
        <v>19</v>
      </c>
      <c r="H1148" t="s">
        <v>32</v>
      </c>
      <c r="I1148" t="s">
        <v>50</v>
      </c>
      <c r="J1148">
        <v>1.2</v>
      </c>
      <c r="K1148" t="s">
        <v>12</v>
      </c>
      <c r="L1148">
        <v>0</v>
      </c>
      <c r="M1148">
        <v>4.55</v>
      </c>
      <c r="N1148">
        <v>59</v>
      </c>
      <c r="O1148" t="s">
        <v>35</v>
      </c>
      <c r="P1148">
        <v>17</v>
      </c>
      <c r="Q1148">
        <v>3.43</v>
      </c>
      <c r="R1148">
        <v>36.799999999999997</v>
      </c>
      <c r="S1148">
        <v>79.48</v>
      </c>
      <c r="T1148">
        <v>63.72</v>
      </c>
      <c r="U1148">
        <v>1</v>
      </c>
      <c r="V1148">
        <v>0</v>
      </c>
      <c r="W1148">
        <v>143.19999999999999</v>
      </c>
      <c r="X1148">
        <v>45.1</v>
      </c>
      <c r="Y1148">
        <v>108.92</v>
      </c>
      <c r="Z1148">
        <v>8.27</v>
      </c>
      <c r="AA1148">
        <v>11.29</v>
      </c>
      <c r="AB1148">
        <v>123.64</v>
      </c>
      <c r="AC1148">
        <v>201.58695652173915</v>
      </c>
      <c r="AD1148">
        <v>36.046647230320701</v>
      </c>
      <c r="AE1148">
        <v>81.8</v>
      </c>
      <c r="AF1148">
        <v>13.34</v>
      </c>
      <c r="AG1148">
        <v>1</v>
      </c>
      <c r="AH1148">
        <v>28.95</v>
      </c>
      <c r="AI1148">
        <v>87.95</v>
      </c>
      <c r="AJ1148">
        <v>185.77</v>
      </c>
      <c r="AK1148">
        <v>64.05</v>
      </c>
      <c r="AL1148" t="s">
        <v>14</v>
      </c>
      <c r="AM1148" t="s">
        <v>15</v>
      </c>
      <c r="AN1148" t="str">
        <f t="shared" si="68"/>
        <v>Night</v>
      </c>
      <c r="AO1148" t="str">
        <f t="shared" si="69"/>
        <v>Peak</v>
      </c>
      <c r="AP1148" t="str">
        <f t="shared" si="70"/>
        <v>Medium</v>
      </c>
      <c r="AQ1148" t="str">
        <f t="shared" si="71"/>
        <v>Medium</v>
      </c>
    </row>
    <row r="1149" spans="1:43" x14ac:dyDescent="0.3">
      <c r="A1149">
        <v>1148</v>
      </c>
      <c r="B1149" t="s">
        <v>16</v>
      </c>
      <c r="C1149" t="s">
        <v>17</v>
      </c>
      <c r="D1149" s="1">
        <v>46250</v>
      </c>
      <c r="E1149" t="s">
        <v>26</v>
      </c>
      <c r="F1149">
        <v>1</v>
      </c>
      <c r="G1149">
        <v>11</v>
      </c>
      <c r="H1149" t="s">
        <v>19</v>
      </c>
      <c r="I1149" t="s">
        <v>33</v>
      </c>
      <c r="J1149">
        <v>1</v>
      </c>
      <c r="K1149" t="s">
        <v>34</v>
      </c>
      <c r="L1149">
        <v>1</v>
      </c>
      <c r="M1149">
        <v>2.94</v>
      </c>
      <c r="N1149">
        <v>66</v>
      </c>
      <c r="O1149" t="s">
        <v>35</v>
      </c>
      <c r="P1149">
        <v>14</v>
      </c>
      <c r="Q1149">
        <v>2.77</v>
      </c>
      <c r="R1149">
        <v>34.1</v>
      </c>
      <c r="S1149">
        <v>99.36</v>
      </c>
      <c r="T1149">
        <v>74.66</v>
      </c>
      <c r="U1149">
        <v>1.1000000000000001</v>
      </c>
      <c r="V1149">
        <v>9.94</v>
      </c>
      <c r="W1149">
        <v>183.96</v>
      </c>
      <c r="X1149">
        <v>36.799999999999997</v>
      </c>
      <c r="Y1149">
        <v>100.87</v>
      </c>
      <c r="Z1149">
        <v>7.59</v>
      </c>
      <c r="AA1149">
        <v>11.14</v>
      </c>
      <c r="AB1149">
        <v>165.23</v>
      </c>
      <c r="AC1149">
        <v>290.72727272727269</v>
      </c>
      <c r="AD1149">
        <v>59.649819494584833</v>
      </c>
      <c r="AE1149">
        <v>81.41</v>
      </c>
      <c r="AF1149">
        <v>17.97</v>
      </c>
      <c r="AG1149">
        <v>1</v>
      </c>
      <c r="AH1149">
        <v>8.11</v>
      </c>
      <c r="AI1149">
        <v>74.11</v>
      </c>
      <c r="AJ1149">
        <v>292.44</v>
      </c>
      <c r="AK1149">
        <v>78.48</v>
      </c>
      <c r="AL1149" t="s">
        <v>23</v>
      </c>
      <c r="AM1149" t="s">
        <v>24</v>
      </c>
      <c r="AN1149" t="str">
        <f t="shared" si="68"/>
        <v>Afternoon</v>
      </c>
      <c r="AO1149" t="str">
        <f t="shared" si="69"/>
        <v>Off-Peak</v>
      </c>
      <c r="AP1149" t="str">
        <f t="shared" si="70"/>
        <v>High</v>
      </c>
      <c r="AQ1149" t="str">
        <f t="shared" si="71"/>
        <v>Medium</v>
      </c>
    </row>
    <row r="1150" spans="1:43" x14ac:dyDescent="0.3">
      <c r="A1150">
        <v>1149</v>
      </c>
      <c r="B1150" t="s">
        <v>25</v>
      </c>
      <c r="C1150" t="s">
        <v>17</v>
      </c>
      <c r="D1150" s="1">
        <v>46102</v>
      </c>
      <c r="E1150" t="s">
        <v>31</v>
      </c>
      <c r="F1150">
        <v>1</v>
      </c>
      <c r="G1150">
        <v>20</v>
      </c>
      <c r="H1150" t="s">
        <v>40</v>
      </c>
      <c r="I1150" t="s">
        <v>42</v>
      </c>
      <c r="J1150">
        <v>1.08</v>
      </c>
      <c r="K1150" t="s">
        <v>12</v>
      </c>
      <c r="L1150">
        <v>0</v>
      </c>
      <c r="M1150">
        <v>5</v>
      </c>
      <c r="N1150">
        <v>81</v>
      </c>
      <c r="O1150" t="s">
        <v>13</v>
      </c>
      <c r="P1150">
        <v>17</v>
      </c>
      <c r="Q1150">
        <v>5.22</v>
      </c>
      <c r="R1150">
        <v>45.6</v>
      </c>
      <c r="S1150">
        <v>123.2</v>
      </c>
      <c r="T1150">
        <v>100</v>
      </c>
      <c r="U1150">
        <v>1.27</v>
      </c>
      <c r="V1150">
        <v>33.26</v>
      </c>
      <c r="W1150">
        <v>256.45999999999998</v>
      </c>
      <c r="X1150">
        <v>41.9</v>
      </c>
      <c r="Y1150">
        <v>109.81</v>
      </c>
      <c r="Z1150">
        <v>13.68</v>
      </c>
      <c r="AA1150">
        <v>5.79</v>
      </c>
      <c r="AB1150">
        <v>236.99</v>
      </c>
      <c r="AC1150">
        <v>311.82894736842104</v>
      </c>
      <c r="AD1150">
        <v>45.400383141762454</v>
      </c>
      <c r="AE1150">
        <v>81.19</v>
      </c>
      <c r="AF1150">
        <v>17.59</v>
      </c>
      <c r="AG1150">
        <v>1</v>
      </c>
      <c r="AH1150">
        <v>-0.13</v>
      </c>
      <c r="AI1150">
        <v>80.87</v>
      </c>
      <c r="AJ1150">
        <v>327.52999999999997</v>
      </c>
      <c r="AK1150">
        <v>78.709999999999994</v>
      </c>
      <c r="AL1150" t="s">
        <v>23</v>
      </c>
      <c r="AM1150" t="s">
        <v>24</v>
      </c>
      <c r="AN1150" t="str">
        <f t="shared" si="68"/>
        <v>Night</v>
      </c>
      <c r="AO1150" t="str">
        <f t="shared" si="69"/>
        <v>Peak</v>
      </c>
      <c r="AP1150" t="str">
        <f t="shared" si="70"/>
        <v>High</v>
      </c>
      <c r="AQ1150" t="str">
        <f t="shared" si="71"/>
        <v>High</v>
      </c>
    </row>
    <row r="1151" spans="1:43" x14ac:dyDescent="0.3">
      <c r="A1151">
        <v>1150</v>
      </c>
      <c r="B1151" t="s">
        <v>16</v>
      </c>
      <c r="C1151" t="s">
        <v>17</v>
      </c>
      <c r="D1151" s="1">
        <v>46187</v>
      </c>
      <c r="E1151" t="s">
        <v>26</v>
      </c>
      <c r="F1151">
        <v>1</v>
      </c>
      <c r="G1151">
        <v>12</v>
      </c>
      <c r="H1151" t="s">
        <v>19</v>
      </c>
      <c r="I1151" t="s">
        <v>39</v>
      </c>
      <c r="J1151">
        <v>1.05</v>
      </c>
      <c r="K1151" t="s">
        <v>34</v>
      </c>
      <c r="L1151">
        <v>1</v>
      </c>
      <c r="M1151">
        <v>4.21</v>
      </c>
      <c r="N1151">
        <v>41</v>
      </c>
      <c r="O1151" t="s">
        <v>35</v>
      </c>
      <c r="P1151">
        <v>10</v>
      </c>
      <c r="Q1151">
        <v>1.36</v>
      </c>
      <c r="R1151">
        <v>34.6</v>
      </c>
      <c r="S1151">
        <v>77.790000000000006</v>
      </c>
      <c r="T1151">
        <v>47.7</v>
      </c>
      <c r="U1151">
        <v>1.1000000000000001</v>
      </c>
      <c r="V1151">
        <v>7.78</v>
      </c>
      <c r="W1151">
        <v>133.27000000000001</v>
      </c>
      <c r="X1151">
        <v>47.7</v>
      </c>
      <c r="Y1151">
        <v>101.49</v>
      </c>
      <c r="Z1151">
        <v>2.89</v>
      </c>
      <c r="AA1151">
        <v>2.31</v>
      </c>
      <c r="AB1151">
        <v>128.07</v>
      </c>
      <c r="AC1151">
        <v>222.08670520231212</v>
      </c>
      <c r="AD1151">
        <v>94.169117647058812</v>
      </c>
      <c r="AE1151">
        <v>75.97</v>
      </c>
      <c r="AF1151">
        <v>16.920000000000002</v>
      </c>
      <c r="AG1151">
        <v>1</v>
      </c>
      <c r="AH1151">
        <v>-24.44</v>
      </c>
      <c r="AI1151">
        <v>16.559999999999999</v>
      </c>
      <c r="AJ1151">
        <v>228.03</v>
      </c>
      <c r="AK1151">
        <v>65.349999999999994</v>
      </c>
      <c r="AL1151" t="s">
        <v>14</v>
      </c>
      <c r="AM1151" t="s">
        <v>15</v>
      </c>
      <c r="AN1151" t="str">
        <f t="shared" si="68"/>
        <v>Afternoon</v>
      </c>
      <c r="AO1151" t="str">
        <f t="shared" si="69"/>
        <v>Off-Peak</v>
      </c>
      <c r="AP1151" t="str">
        <f t="shared" si="70"/>
        <v>Medium</v>
      </c>
      <c r="AQ1151" t="str">
        <f t="shared" si="71"/>
        <v>Medium</v>
      </c>
    </row>
    <row r="1152" spans="1:43" x14ac:dyDescent="0.3">
      <c r="A1152">
        <v>1151</v>
      </c>
      <c r="B1152" t="s">
        <v>48</v>
      </c>
      <c r="C1152" t="s">
        <v>30</v>
      </c>
      <c r="D1152" s="1">
        <v>46136</v>
      </c>
      <c r="E1152" t="s">
        <v>9</v>
      </c>
      <c r="F1152">
        <v>0</v>
      </c>
      <c r="G1152">
        <v>7</v>
      </c>
      <c r="H1152" t="s">
        <v>47</v>
      </c>
      <c r="I1152" t="s">
        <v>39</v>
      </c>
      <c r="J1152">
        <v>1.05</v>
      </c>
      <c r="K1152" t="s">
        <v>34</v>
      </c>
      <c r="L1152">
        <v>1</v>
      </c>
      <c r="M1152">
        <v>4.54</v>
      </c>
      <c r="N1152">
        <v>38</v>
      </c>
      <c r="O1152" t="s">
        <v>35</v>
      </c>
      <c r="P1152">
        <v>14</v>
      </c>
      <c r="Q1152">
        <v>5.17</v>
      </c>
      <c r="R1152">
        <v>49.4</v>
      </c>
      <c r="S1152">
        <v>97.83</v>
      </c>
      <c r="T1152">
        <v>42.91</v>
      </c>
      <c r="U1152">
        <v>1</v>
      </c>
      <c r="V1152">
        <v>0</v>
      </c>
      <c r="W1152">
        <v>140.74</v>
      </c>
      <c r="X1152">
        <v>36.1</v>
      </c>
      <c r="Y1152">
        <v>100.41</v>
      </c>
      <c r="Z1152">
        <v>14.4</v>
      </c>
      <c r="AA1152">
        <v>2.39</v>
      </c>
      <c r="AB1152">
        <v>123.95</v>
      </c>
      <c r="AC1152">
        <v>150.54655870445345</v>
      </c>
      <c r="AD1152">
        <v>23.974854932301742</v>
      </c>
      <c r="AE1152">
        <v>57.83</v>
      </c>
      <c r="AF1152">
        <v>20</v>
      </c>
      <c r="AG1152">
        <v>0</v>
      </c>
      <c r="AH1152">
        <v>3.16</v>
      </c>
      <c r="AI1152">
        <v>41.16</v>
      </c>
      <c r="AJ1152">
        <v>165.12</v>
      </c>
      <c r="AK1152">
        <v>73.239999999999995</v>
      </c>
      <c r="AL1152" t="s">
        <v>23</v>
      </c>
      <c r="AM1152" t="s">
        <v>24</v>
      </c>
      <c r="AN1152" t="str">
        <f t="shared" si="68"/>
        <v>Morning</v>
      </c>
      <c r="AO1152" t="str">
        <f t="shared" si="69"/>
        <v>Peak</v>
      </c>
      <c r="AP1152" t="str">
        <f t="shared" si="70"/>
        <v>Medium</v>
      </c>
      <c r="AQ1152" t="str">
        <f t="shared" si="71"/>
        <v>Medium</v>
      </c>
    </row>
    <row r="1153" spans="1:43" x14ac:dyDescent="0.3">
      <c r="A1153">
        <v>1152</v>
      </c>
      <c r="B1153" t="s">
        <v>29</v>
      </c>
      <c r="C1153" t="s">
        <v>30</v>
      </c>
      <c r="D1153" s="1">
        <v>46157</v>
      </c>
      <c r="E1153" t="s">
        <v>9</v>
      </c>
      <c r="F1153">
        <v>0</v>
      </c>
      <c r="G1153">
        <v>9</v>
      </c>
      <c r="H1153" t="s">
        <v>47</v>
      </c>
      <c r="I1153" t="s">
        <v>33</v>
      </c>
      <c r="J1153">
        <v>1</v>
      </c>
      <c r="K1153" t="s">
        <v>12</v>
      </c>
      <c r="L1153">
        <v>0</v>
      </c>
      <c r="M1153">
        <v>3.64</v>
      </c>
      <c r="N1153">
        <v>38</v>
      </c>
      <c r="O1153" t="s">
        <v>35</v>
      </c>
      <c r="P1153">
        <v>10</v>
      </c>
      <c r="Q1153">
        <v>4.3499999999999996</v>
      </c>
      <c r="R1153">
        <v>33</v>
      </c>
      <c r="S1153">
        <v>74.95</v>
      </c>
      <c r="T1153">
        <v>30.51</v>
      </c>
      <c r="U1153">
        <v>1</v>
      </c>
      <c r="V1153">
        <v>0</v>
      </c>
      <c r="W1153">
        <v>105.46</v>
      </c>
      <c r="X1153">
        <v>49.8</v>
      </c>
      <c r="Y1153">
        <v>107.49</v>
      </c>
      <c r="Z1153">
        <v>9.3800000000000008</v>
      </c>
      <c r="AA1153">
        <v>6.47</v>
      </c>
      <c r="AB1153">
        <v>89.61</v>
      </c>
      <c r="AC1153">
        <v>162.92727272727271</v>
      </c>
      <c r="AD1153">
        <v>20.6</v>
      </c>
      <c r="AE1153">
        <v>81.260000000000005</v>
      </c>
      <c r="AF1153">
        <v>18.170000000000002</v>
      </c>
      <c r="AG1153">
        <v>0</v>
      </c>
      <c r="AH1153">
        <v>10.79</v>
      </c>
      <c r="AI1153">
        <v>48.79</v>
      </c>
      <c r="AJ1153">
        <v>175.98</v>
      </c>
      <c r="AK1153">
        <v>65.95</v>
      </c>
      <c r="AL1153" t="s">
        <v>23</v>
      </c>
      <c r="AM1153" t="s">
        <v>24</v>
      </c>
      <c r="AN1153" t="str">
        <f t="shared" si="68"/>
        <v>Morning</v>
      </c>
      <c r="AO1153" t="str">
        <f t="shared" si="69"/>
        <v>Peak</v>
      </c>
      <c r="AP1153" t="str">
        <f t="shared" si="70"/>
        <v>Medium</v>
      </c>
      <c r="AQ1153" t="str">
        <f t="shared" si="71"/>
        <v>Medium</v>
      </c>
    </row>
    <row r="1154" spans="1:43" x14ac:dyDescent="0.3">
      <c r="A1154">
        <v>1153</v>
      </c>
      <c r="B1154" t="s">
        <v>29</v>
      </c>
      <c r="C1154" t="s">
        <v>30</v>
      </c>
      <c r="D1154" s="1">
        <v>46265</v>
      </c>
      <c r="E1154" t="s">
        <v>38</v>
      </c>
      <c r="F1154">
        <v>0</v>
      </c>
      <c r="G1154">
        <v>19</v>
      </c>
      <c r="H1154" t="s">
        <v>32</v>
      </c>
      <c r="I1154" t="s">
        <v>33</v>
      </c>
      <c r="J1154">
        <v>1</v>
      </c>
      <c r="K1154" t="s">
        <v>12</v>
      </c>
      <c r="L1154">
        <v>0</v>
      </c>
      <c r="M1154">
        <v>5</v>
      </c>
      <c r="N1154">
        <v>73</v>
      </c>
      <c r="O1154" t="s">
        <v>13</v>
      </c>
      <c r="P1154">
        <v>21</v>
      </c>
      <c r="Q1154">
        <v>4.58</v>
      </c>
      <c r="R1154">
        <v>49.2</v>
      </c>
      <c r="S1154">
        <v>91.39</v>
      </c>
      <c r="T1154">
        <v>89.52</v>
      </c>
      <c r="U1154">
        <v>1</v>
      </c>
      <c r="V1154">
        <v>0</v>
      </c>
      <c r="W1154">
        <v>180.91</v>
      </c>
      <c r="X1154">
        <v>43.7</v>
      </c>
      <c r="Y1154">
        <v>109.06</v>
      </c>
      <c r="Z1154">
        <v>11.43</v>
      </c>
      <c r="AA1154">
        <v>10.35</v>
      </c>
      <c r="AB1154">
        <v>159.13</v>
      </c>
      <c r="AC1154">
        <v>194.06097560975607</v>
      </c>
      <c r="AD1154">
        <v>34.744541484716159</v>
      </c>
      <c r="AE1154">
        <v>81.75</v>
      </c>
      <c r="AF1154">
        <v>20</v>
      </c>
      <c r="AG1154">
        <v>1</v>
      </c>
      <c r="AH1154">
        <v>3.65</v>
      </c>
      <c r="AI1154">
        <v>76.650000000000006</v>
      </c>
      <c r="AJ1154">
        <v>210.18</v>
      </c>
      <c r="AK1154">
        <v>74.52</v>
      </c>
      <c r="AL1154" t="s">
        <v>14</v>
      </c>
      <c r="AM1154" t="s">
        <v>15</v>
      </c>
      <c r="AN1154" t="str">
        <f t="shared" si="68"/>
        <v>Night</v>
      </c>
      <c r="AO1154" t="str">
        <f t="shared" si="69"/>
        <v>Peak</v>
      </c>
      <c r="AP1154" t="str">
        <f t="shared" si="70"/>
        <v>Medium</v>
      </c>
      <c r="AQ1154" t="str">
        <f t="shared" si="71"/>
        <v>High</v>
      </c>
    </row>
    <row r="1155" spans="1:43" x14ac:dyDescent="0.3">
      <c r="A1155">
        <v>1154</v>
      </c>
      <c r="B1155" t="s">
        <v>23</v>
      </c>
      <c r="C1155" t="s">
        <v>17</v>
      </c>
      <c r="D1155" s="1">
        <v>46206</v>
      </c>
      <c r="E1155" t="s">
        <v>9</v>
      </c>
      <c r="F1155">
        <v>0</v>
      </c>
      <c r="G1155">
        <v>20</v>
      </c>
      <c r="H1155" t="s">
        <v>40</v>
      </c>
      <c r="I1155" t="s">
        <v>20</v>
      </c>
      <c r="J1155">
        <v>1.25</v>
      </c>
      <c r="K1155" t="s">
        <v>12</v>
      </c>
      <c r="L1155">
        <v>0</v>
      </c>
      <c r="M1155">
        <v>3.47</v>
      </c>
      <c r="N1155">
        <v>97</v>
      </c>
      <c r="O1155" t="s">
        <v>13</v>
      </c>
      <c r="P1155">
        <v>23</v>
      </c>
      <c r="Q1155">
        <v>1.73</v>
      </c>
      <c r="R1155">
        <v>21.2</v>
      </c>
      <c r="S1155">
        <v>78.14</v>
      </c>
      <c r="T1155">
        <v>100</v>
      </c>
      <c r="U1155">
        <v>1.22</v>
      </c>
      <c r="V1155">
        <v>17.190000000000001</v>
      </c>
      <c r="W1155">
        <v>195.33</v>
      </c>
      <c r="X1155">
        <v>40.9</v>
      </c>
      <c r="Y1155">
        <v>109.5</v>
      </c>
      <c r="Z1155">
        <v>4.63</v>
      </c>
      <c r="AA1155">
        <v>10.48</v>
      </c>
      <c r="AB1155">
        <v>180.22</v>
      </c>
      <c r="AC1155">
        <v>510.05660377358492</v>
      </c>
      <c r="AD1155">
        <v>104.17341040462428</v>
      </c>
      <c r="AE1155">
        <v>71.88</v>
      </c>
      <c r="AF1155">
        <v>11.45</v>
      </c>
      <c r="AG1155">
        <v>1</v>
      </c>
      <c r="AH1155">
        <v>-25.32</v>
      </c>
      <c r="AI1155">
        <v>71.680000000000007</v>
      </c>
      <c r="AJ1155">
        <v>400</v>
      </c>
      <c r="AK1155">
        <v>81.36</v>
      </c>
      <c r="AL1155" t="s">
        <v>23</v>
      </c>
      <c r="AM1155" t="s">
        <v>24</v>
      </c>
      <c r="AN1155" t="str">
        <f t="shared" ref="AN1155:AN1201" si="72">IF(G1155&lt;11,"Morning",IF(G1155&lt;15,"Afternoon",IF(G1155&lt;18,"Evening","Night")))</f>
        <v>Night</v>
      </c>
      <c r="AO1155" t="str">
        <f t="shared" ref="AO1155:AO1201" si="73">IF(OR(AND(G1155&gt;=7,G1155&lt;=10),AND(G1155&gt;=17,G1155&lt;=20)),"Peak","Off-Peak")</f>
        <v>Peak</v>
      </c>
      <c r="AP1155" t="str">
        <f t="shared" ref="AP1155:AP1201" si="74">IF(AC1155&lt;150,"Low",IF(AC1155&lt;=250,"Medium","High"))</f>
        <v>High</v>
      </c>
      <c r="AQ1155" t="str">
        <f t="shared" ref="AQ1155:AQ1201" si="75">IF(N1155&lt;=35,"Low",IF(N1155&lt;=70,"Medium","High"))</f>
        <v>High</v>
      </c>
    </row>
    <row r="1156" spans="1:43" x14ac:dyDescent="0.3">
      <c r="A1156">
        <v>1155</v>
      </c>
      <c r="B1156" t="s">
        <v>48</v>
      </c>
      <c r="C1156" t="s">
        <v>30</v>
      </c>
      <c r="D1156" s="1">
        <v>46129</v>
      </c>
      <c r="E1156" t="s">
        <v>9</v>
      </c>
      <c r="F1156">
        <v>0</v>
      </c>
      <c r="G1156">
        <v>10</v>
      </c>
      <c r="H1156" t="s">
        <v>47</v>
      </c>
      <c r="I1156" t="s">
        <v>50</v>
      </c>
      <c r="J1156">
        <v>1.2</v>
      </c>
      <c r="K1156" t="s">
        <v>12</v>
      </c>
      <c r="L1156">
        <v>0</v>
      </c>
      <c r="M1156">
        <v>1</v>
      </c>
      <c r="N1156">
        <v>29</v>
      </c>
      <c r="O1156" t="s">
        <v>22</v>
      </c>
      <c r="P1156">
        <v>5</v>
      </c>
      <c r="Q1156">
        <v>9.11</v>
      </c>
      <c r="R1156">
        <v>56.5</v>
      </c>
      <c r="S1156">
        <v>134.12</v>
      </c>
      <c r="T1156">
        <v>26.26</v>
      </c>
      <c r="U1156">
        <v>1</v>
      </c>
      <c r="V1156">
        <v>0</v>
      </c>
      <c r="W1156">
        <v>160.38</v>
      </c>
      <c r="X1156">
        <v>35.299999999999997</v>
      </c>
      <c r="Y1156">
        <v>108.25</v>
      </c>
      <c r="Z1156">
        <v>27.94</v>
      </c>
      <c r="AA1156">
        <v>6.04</v>
      </c>
      <c r="AB1156">
        <v>126.4</v>
      </c>
      <c r="AC1156">
        <v>134.23008849557522</v>
      </c>
      <c r="AD1156">
        <v>13.874862788144897</v>
      </c>
      <c r="AE1156">
        <v>76.56</v>
      </c>
      <c r="AF1156">
        <v>10.050000000000001</v>
      </c>
      <c r="AG1156">
        <v>0</v>
      </c>
      <c r="AH1156">
        <v>-1.3</v>
      </c>
      <c r="AI1156">
        <v>27.7</v>
      </c>
      <c r="AJ1156">
        <v>142.13999999999999</v>
      </c>
      <c r="AK1156">
        <v>68.260000000000005</v>
      </c>
      <c r="AL1156" t="s">
        <v>14</v>
      </c>
      <c r="AM1156" t="s">
        <v>15</v>
      </c>
      <c r="AN1156" t="str">
        <f t="shared" si="72"/>
        <v>Morning</v>
      </c>
      <c r="AO1156" t="str">
        <f t="shared" si="73"/>
        <v>Peak</v>
      </c>
      <c r="AP1156" t="str">
        <f t="shared" si="74"/>
        <v>Low</v>
      </c>
      <c r="AQ1156" t="str">
        <f t="shared" si="75"/>
        <v>Low</v>
      </c>
    </row>
    <row r="1157" spans="1:43" x14ac:dyDescent="0.3">
      <c r="A1157">
        <v>1156</v>
      </c>
      <c r="B1157" t="s">
        <v>25</v>
      </c>
      <c r="C1157" t="s">
        <v>17</v>
      </c>
      <c r="D1157" s="1">
        <v>46138</v>
      </c>
      <c r="E1157" t="s">
        <v>26</v>
      </c>
      <c r="F1157">
        <v>1</v>
      </c>
      <c r="G1157">
        <v>16</v>
      </c>
      <c r="H1157" t="s">
        <v>19</v>
      </c>
      <c r="I1157" t="s">
        <v>50</v>
      </c>
      <c r="J1157">
        <v>1.2</v>
      </c>
      <c r="K1157" t="s">
        <v>21</v>
      </c>
      <c r="L1157">
        <v>0</v>
      </c>
      <c r="M1157">
        <v>2.64</v>
      </c>
      <c r="N1157">
        <v>76</v>
      </c>
      <c r="O1157" t="s">
        <v>13</v>
      </c>
      <c r="P1157">
        <v>15</v>
      </c>
      <c r="Q1157">
        <v>2.2400000000000002</v>
      </c>
      <c r="R1157">
        <v>27.4</v>
      </c>
      <c r="S1157">
        <v>93.87</v>
      </c>
      <c r="T1157">
        <v>73.45</v>
      </c>
      <c r="U1157">
        <v>1.02</v>
      </c>
      <c r="V1157">
        <v>1.88</v>
      </c>
      <c r="W1157">
        <v>169.2</v>
      </c>
      <c r="X1157">
        <v>43.8</v>
      </c>
      <c r="Y1157">
        <v>102.05</v>
      </c>
      <c r="Z1157">
        <v>5.22</v>
      </c>
      <c r="AA1157">
        <v>5.0199999999999996</v>
      </c>
      <c r="AB1157">
        <v>158.96</v>
      </c>
      <c r="AC1157">
        <v>348.08759124087595</v>
      </c>
      <c r="AD1157">
        <v>70.964285714285708</v>
      </c>
      <c r="AE1157">
        <v>83.26</v>
      </c>
      <c r="AF1157">
        <v>14.54</v>
      </c>
      <c r="AG1157">
        <v>1</v>
      </c>
      <c r="AH1157">
        <v>12.68</v>
      </c>
      <c r="AI1157">
        <v>88.68</v>
      </c>
      <c r="AJ1157">
        <v>381.54</v>
      </c>
      <c r="AK1157">
        <v>75.81</v>
      </c>
      <c r="AL1157" t="s">
        <v>23</v>
      </c>
      <c r="AM1157" t="s">
        <v>24</v>
      </c>
      <c r="AN1157" t="str">
        <f t="shared" si="72"/>
        <v>Evening</v>
      </c>
      <c r="AO1157" t="str">
        <f t="shared" si="73"/>
        <v>Off-Peak</v>
      </c>
      <c r="AP1157" t="str">
        <f t="shared" si="74"/>
        <v>High</v>
      </c>
      <c r="AQ1157" t="str">
        <f t="shared" si="75"/>
        <v>High</v>
      </c>
    </row>
    <row r="1158" spans="1:43" x14ac:dyDescent="0.3">
      <c r="A1158">
        <v>1157</v>
      </c>
      <c r="B1158" t="s">
        <v>7</v>
      </c>
      <c r="C1158" t="s">
        <v>8</v>
      </c>
      <c r="D1158" s="1">
        <v>46204</v>
      </c>
      <c r="E1158" t="s">
        <v>18</v>
      </c>
      <c r="F1158">
        <v>0</v>
      </c>
      <c r="G1158">
        <v>16</v>
      </c>
      <c r="H1158" t="s">
        <v>32</v>
      </c>
      <c r="I1158" t="s">
        <v>20</v>
      </c>
      <c r="J1158">
        <v>1.25</v>
      </c>
      <c r="K1158" t="s">
        <v>12</v>
      </c>
      <c r="L1158">
        <v>0</v>
      </c>
      <c r="M1158">
        <v>3.45</v>
      </c>
      <c r="N1158">
        <v>30</v>
      </c>
      <c r="O1158" t="s">
        <v>22</v>
      </c>
      <c r="P1158">
        <v>13</v>
      </c>
      <c r="Q1158">
        <v>2.54</v>
      </c>
      <c r="R1158">
        <v>42.5</v>
      </c>
      <c r="S1158">
        <v>66.91</v>
      </c>
      <c r="T1158">
        <v>29.59</v>
      </c>
      <c r="U1158">
        <v>1</v>
      </c>
      <c r="V1158">
        <v>0</v>
      </c>
      <c r="W1158">
        <v>96.5</v>
      </c>
      <c r="X1158">
        <v>42.4</v>
      </c>
      <c r="Y1158">
        <v>101.54</v>
      </c>
      <c r="Z1158">
        <v>6.08</v>
      </c>
      <c r="AA1158">
        <v>7.07</v>
      </c>
      <c r="AB1158">
        <v>83.35</v>
      </c>
      <c r="AC1158">
        <v>117.6705882352941</v>
      </c>
      <c r="AD1158">
        <v>32.814960629921259</v>
      </c>
      <c r="AE1158">
        <v>83.77</v>
      </c>
      <c r="AF1158">
        <v>16.95</v>
      </c>
      <c r="AG1158">
        <v>0</v>
      </c>
      <c r="AH1158">
        <v>-12.39</v>
      </c>
      <c r="AI1158">
        <v>17.61</v>
      </c>
      <c r="AJ1158">
        <v>95.4</v>
      </c>
      <c r="AK1158">
        <v>69.86</v>
      </c>
      <c r="AL1158" t="s">
        <v>14</v>
      </c>
      <c r="AM1158" t="s">
        <v>15</v>
      </c>
      <c r="AN1158" t="str">
        <f t="shared" si="72"/>
        <v>Evening</v>
      </c>
      <c r="AO1158" t="str">
        <f t="shared" si="73"/>
        <v>Off-Peak</v>
      </c>
      <c r="AP1158" t="str">
        <f t="shared" si="74"/>
        <v>Low</v>
      </c>
      <c r="AQ1158" t="str">
        <f t="shared" si="75"/>
        <v>Low</v>
      </c>
    </row>
    <row r="1159" spans="1:43" x14ac:dyDescent="0.3">
      <c r="A1159">
        <v>1158</v>
      </c>
      <c r="B1159" t="s">
        <v>16</v>
      </c>
      <c r="C1159" t="s">
        <v>17</v>
      </c>
      <c r="D1159" s="1">
        <v>46112</v>
      </c>
      <c r="E1159" t="s">
        <v>44</v>
      </c>
      <c r="F1159">
        <v>0</v>
      </c>
      <c r="G1159">
        <v>9</v>
      </c>
      <c r="H1159" t="s">
        <v>27</v>
      </c>
      <c r="I1159" t="s">
        <v>42</v>
      </c>
      <c r="J1159">
        <v>1.08</v>
      </c>
      <c r="K1159" t="s">
        <v>34</v>
      </c>
      <c r="L1159">
        <v>1</v>
      </c>
      <c r="M1159">
        <v>4.72</v>
      </c>
      <c r="N1159">
        <v>87</v>
      </c>
      <c r="O1159" t="s">
        <v>13</v>
      </c>
      <c r="P1159">
        <v>19</v>
      </c>
      <c r="Q1159">
        <v>3.32</v>
      </c>
      <c r="R1159">
        <v>47.2</v>
      </c>
      <c r="S1159">
        <v>105.8</v>
      </c>
      <c r="T1159">
        <v>100</v>
      </c>
      <c r="U1159">
        <v>1.4</v>
      </c>
      <c r="V1159">
        <v>42.32</v>
      </c>
      <c r="W1159">
        <v>248.12</v>
      </c>
      <c r="X1159">
        <v>38.200000000000003</v>
      </c>
      <c r="Y1159">
        <v>100.59</v>
      </c>
      <c r="Z1159">
        <v>8.75</v>
      </c>
      <c r="AA1159">
        <v>10.33</v>
      </c>
      <c r="AB1159">
        <v>229.04</v>
      </c>
      <c r="AC1159">
        <v>291.15254237288133</v>
      </c>
      <c r="AD1159">
        <v>68.98795180722891</v>
      </c>
      <c r="AE1159">
        <v>83.04</v>
      </c>
      <c r="AF1159">
        <v>18.54</v>
      </c>
      <c r="AG1159">
        <v>1</v>
      </c>
      <c r="AH1159">
        <v>5.49</v>
      </c>
      <c r="AI1159">
        <v>92.49</v>
      </c>
      <c r="AJ1159">
        <v>311.44</v>
      </c>
      <c r="AK1159">
        <v>78.64</v>
      </c>
      <c r="AL1159" t="s">
        <v>23</v>
      </c>
      <c r="AM1159" t="s">
        <v>24</v>
      </c>
      <c r="AN1159" t="str">
        <f t="shared" si="72"/>
        <v>Morning</v>
      </c>
      <c r="AO1159" t="str">
        <f t="shared" si="73"/>
        <v>Peak</v>
      </c>
      <c r="AP1159" t="str">
        <f t="shared" si="74"/>
        <v>High</v>
      </c>
      <c r="AQ1159" t="str">
        <f t="shared" si="75"/>
        <v>High</v>
      </c>
    </row>
    <row r="1160" spans="1:43" x14ac:dyDescent="0.3">
      <c r="A1160">
        <v>1159</v>
      </c>
      <c r="B1160" t="s">
        <v>48</v>
      </c>
      <c r="C1160" t="s">
        <v>30</v>
      </c>
      <c r="D1160" s="1">
        <v>46066</v>
      </c>
      <c r="E1160" t="s">
        <v>9</v>
      </c>
      <c r="F1160">
        <v>0</v>
      </c>
      <c r="G1160">
        <v>14</v>
      </c>
      <c r="H1160" t="s">
        <v>43</v>
      </c>
      <c r="I1160" t="s">
        <v>37</v>
      </c>
      <c r="J1160">
        <v>1.02</v>
      </c>
      <c r="K1160" t="s">
        <v>21</v>
      </c>
      <c r="L1160">
        <v>0</v>
      </c>
      <c r="M1160">
        <v>3.22</v>
      </c>
      <c r="N1160">
        <v>7</v>
      </c>
      <c r="O1160" t="s">
        <v>22</v>
      </c>
      <c r="P1160">
        <v>2</v>
      </c>
      <c r="Q1160">
        <v>5.82</v>
      </c>
      <c r="R1160">
        <v>41.8</v>
      </c>
      <c r="S1160">
        <v>99.49</v>
      </c>
      <c r="T1160">
        <v>10.67</v>
      </c>
      <c r="U1160">
        <v>1</v>
      </c>
      <c r="V1160">
        <v>0</v>
      </c>
      <c r="W1160">
        <v>110.16</v>
      </c>
      <c r="X1160">
        <v>42.4</v>
      </c>
      <c r="Y1160">
        <v>105.82</v>
      </c>
      <c r="Z1160">
        <v>14.53</v>
      </c>
      <c r="AA1160">
        <v>8.36</v>
      </c>
      <c r="AB1160">
        <v>87.27</v>
      </c>
      <c r="AC1160">
        <v>125.26794258373205</v>
      </c>
      <c r="AD1160">
        <v>14.994845360824741</v>
      </c>
      <c r="AE1160">
        <v>75.13</v>
      </c>
      <c r="AF1160">
        <v>13.32</v>
      </c>
      <c r="AG1160">
        <v>0</v>
      </c>
      <c r="AH1160">
        <v>9.4700000000000006</v>
      </c>
      <c r="AI1160">
        <v>16.47</v>
      </c>
      <c r="AJ1160">
        <v>152.88</v>
      </c>
      <c r="AK1160">
        <v>67.95</v>
      </c>
      <c r="AL1160" t="s">
        <v>14</v>
      </c>
      <c r="AM1160" t="s">
        <v>15</v>
      </c>
      <c r="AN1160" t="str">
        <f t="shared" si="72"/>
        <v>Afternoon</v>
      </c>
      <c r="AO1160" t="str">
        <f t="shared" si="73"/>
        <v>Off-Peak</v>
      </c>
      <c r="AP1160" t="str">
        <f t="shared" si="74"/>
        <v>Low</v>
      </c>
      <c r="AQ1160" t="str">
        <f t="shared" si="75"/>
        <v>Low</v>
      </c>
    </row>
    <row r="1161" spans="1:43" x14ac:dyDescent="0.3">
      <c r="A1161">
        <v>1160</v>
      </c>
      <c r="B1161" t="s">
        <v>48</v>
      </c>
      <c r="C1161" t="s">
        <v>30</v>
      </c>
      <c r="D1161" s="1">
        <v>46143</v>
      </c>
      <c r="E1161" t="s">
        <v>9</v>
      </c>
      <c r="F1161">
        <v>0</v>
      </c>
      <c r="G1161">
        <v>18</v>
      </c>
      <c r="H1161" t="s">
        <v>32</v>
      </c>
      <c r="I1161" t="s">
        <v>42</v>
      </c>
      <c r="J1161">
        <v>1.08</v>
      </c>
      <c r="K1161" t="s">
        <v>12</v>
      </c>
      <c r="L1161">
        <v>0</v>
      </c>
      <c r="M1161">
        <v>5</v>
      </c>
      <c r="N1161">
        <v>82</v>
      </c>
      <c r="O1161" t="s">
        <v>13</v>
      </c>
      <c r="P1161">
        <v>19</v>
      </c>
      <c r="Q1161">
        <v>4.4800000000000004</v>
      </c>
      <c r="R1161">
        <v>38.1</v>
      </c>
      <c r="S1161">
        <v>92.58</v>
      </c>
      <c r="T1161">
        <v>79.36</v>
      </c>
      <c r="U1161">
        <v>1</v>
      </c>
      <c r="V1161">
        <v>0</v>
      </c>
      <c r="W1161">
        <v>171.94</v>
      </c>
      <c r="X1161">
        <v>35.200000000000003</v>
      </c>
      <c r="Y1161">
        <v>104.87</v>
      </c>
      <c r="Z1161">
        <v>13.35</v>
      </c>
      <c r="AA1161">
        <v>3.4</v>
      </c>
      <c r="AB1161">
        <v>155.19</v>
      </c>
      <c r="AC1161">
        <v>244.39370078740157</v>
      </c>
      <c r="AD1161">
        <v>34.640624999999993</v>
      </c>
      <c r="AE1161">
        <v>86.13</v>
      </c>
      <c r="AF1161">
        <v>18.04</v>
      </c>
      <c r="AG1161">
        <v>1</v>
      </c>
      <c r="AH1161">
        <v>19.77</v>
      </c>
      <c r="AI1161">
        <v>101.77</v>
      </c>
      <c r="AJ1161">
        <v>235.02</v>
      </c>
      <c r="AK1161">
        <v>73.709999999999994</v>
      </c>
      <c r="AL1161" t="s">
        <v>14</v>
      </c>
      <c r="AM1161" t="s">
        <v>15</v>
      </c>
      <c r="AN1161" t="str">
        <f t="shared" si="72"/>
        <v>Night</v>
      </c>
      <c r="AO1161" t="str">
        <f t="shared" si="73"/>
        <v>Peak</v>
      </c>
      <c r="AP1161" t="str">
        <f t="shared" si="74"/>
        <v>Medium</v>
      </c>
      <c r="AQ1161" t="str">
        <f t="shared" si="75"/>
        <v>High</v>
      </c>
    </row>
    <row r="1162" spans="1:43" x14ac:dyDescent="0.3">
      <c r="A1162">
        <v>1161</v>
      </c>
      <c r="B1162" t="s">
        <v>25</v>
      </c>
      <c r="C1162" t="s">
        <v>17</v>
      </c>
      <c r="D1162" s="1">
        <v>46040</v>
      </c>
      <c r="E1162" t="s">
        <v>26</v>
      </c>
      <c r="F1162">
        <v>1</v>
      </c>
      <c r="G1162">
        <v>22</v>
      </c>
      <c r="H1162" t="s">
        <v>19</v>
      </c>
      <c r="I1162" t="s">
        <v>37</v>
      </c>
      <c r="J1162">
        <v>1.02</v>
      </c>
      <c r="K1162" t="s">
        <v>21</v>
      </c>
      <c r="L1162">
        <v>0</v>
      </c>
      <c r="M1162">
        <v>3.31</v>
      </c>
      <c r="N1162">
        <v>36</v>
      </c>
      <c r="O1162" t="s">
        <v>35</v>
      </c>
      <c r="P1162">
        <v>5</v>
      </c>
      <c r="Q1162">
        <v>1</v>
      </c>
      <c r="R1162">
        <v>21.9</v>
      </c>
      <c r="S1162">
        <v>73.819999999999993</v>
      </c>
      <c r="T1162">
        <v>54.59</v>
      </c>
      <c r="U1162">
        <v>1.0900000000000001</v>
      </c>
      <c r="V1162">
        <v>6.64</v>
      </c>
      <c r="W1162">
        <v>135.05000000000001</v>
      </c>
      <c r="X1162">
        <v>50</v>
      </c>
      <c r="Y1162">
        <v>101.09</v>
      </c>
      <c r="Z1162">
        <v>2.02</v>
      </c>
      <c r="AA1162">
        <v>5.62</v>
      </c>
      <c r="AB1162">
        <v>127.41</v>
      </c>
      <c r="AC1162">
        <v>349.06849315068496</v>
      </c>
      <c r="AD1162">
        <v>127.41</v>
      </c>
      <c r="AE1162">
        <v>72.430000000000007</v>
      </c>
      <c r="AF1162">
        <v>17.68</v>
      </c>
      <c r="AG1162">
        <v>1</v>
      </c>
      <c r="AH1162">
        <v>28.69</v>
      </c>
      <c r="AI1162">
        <v>64.69</v>
      </c>
      <c r="AJ1162">
        <v>363.34</v>
      </c>
      <c r="AK1162">
        <v>60</v>
      </c>
      <c r="AL1162" t="s">
        <v>23</v>
      </c>
      <c r="AM1162" t="s">
        <v>24</v>
      </c>
      <c r="AN1162" t="str">
        <f t="shared" si="72"/>
        <v>Night</v>
      </c>
      <c r="AO1162" t="str">
        <f t="shared" si="73"/>
        <v>Off-Peak</v>
      </c>
      <c r="AP1162" t="str">
        <f t="shared" si="74"/>
        <v>High</v>
      </c>
      <c r="AQ1162" t="str">
        <f t="shared" si="75"/>
        <v>Medium</v>
      </c>
    </row>
    <row r="1163" spans="1:43" x14ac:dyDescent="0.3">
      <c r="A1163">
        <v>1162</v>
      </c>
      <c r="B1163" t="s">
        <v>29</v>
      </c>
      <c r="C1163" t="s">
        <v>30</v>
      </c>
      <c r="D1163" s="1">
        <v>46066</v>
      </c>
      <c r="E1163" t="s">
        <v>9</v>
      </c>
      <c r="F1163">
        <v>0</v>
      </c>
      <c r="G1163">
        <v>20</v>
      </c>
      <c r="H1163" t="s">
        <v>32</v>
      </c>
      <c r="I1163" t="s">
        <v>33</v>
      </c>
      <c r="J1163">
        <v>1</v>
      </c>
      <c r="K1163" t="s">
        <v>12</v>
      </c>
      <c r="L1163">
        <v>0</v>
      </c>
      <c r="M1163">
        <v>4.74</v>
      </c>
      <c r="N1163">
        <v>59</v>
      </c>
      <c r="O1163" t="s">
        <v>35</v>
      </c>
      <c r="P1163">
        <v>16</v>
      </c>
      <c r="Q1163">
        <v>3.75</v>
      </c>
      <c r="R1163">
        <v>37.700000000000003</v>
      </c>
      <c r="S1163">
        <v>85.27</v>
      </c>
      <c r="T1163">
        <v>65.38</v>
      </c>
      <c r="U1163">
        <v>1</v>
      </c>
      <c r="V1163">
        <v>0</v>
      </c>
      <c r="W1163">
        <v>150.65</v>
      </c>
      <c r="X1163">
        <v>40</v>
      </c>
      <c r="Y1163">
        <v>104.65</v>
      </c>
      <c r="Z1163">
        <v>9.83</v>
      </c>
      <c r="AA1163">
        <v>7.55</v>
      </c>
      <c r="AB1163">
        <v>133.27000000000001</v>
      </c>
      <c r="AC1163">
        <v>212.10079575596816</v>
      </c>
      <c r="AD1163">
        <v>35.538666666666671</v>
      </c>
      <c r="AE1163">
        <v>80.02</v>
      </c>
      <c r="AF1163">
        <v>18.920000000000002</v>
      </c>
      <c r="AG1163">
        <v>1</v>
      </c>
      <c r="AH1163">
        <v>-2.67</v>
      </c>
      <c r="AI1163">
        <v>56.33</v>
      </c>
      <c r="AJ1163">
        <v>236.87</v>
      </c>
      <c r="AK1163">
        <v>77.930000000000007</v>
      </c>
      <c r="AL1163" t="s">
        <v>14</v>
      </c>
      <c r="AM1163" t="s">
        <v>15</v>
      </c>
      <c r="AN1163" t="str">
        <f t="shared" si="72"/>
        <v>Night</v>
      </c>
      <c r="AO1163" t="str">
        <f t="shared" si="73"/>
        <v>Peak</v>
      </c>
      <c r="AP1163" t="str">
        <f t="shared" si="74"/>
        <v>Medium</v>
      </c>
      <c r="AQ1163" t="str">
        <f t="shared" si="75"/>
        <v>Medium</v>
      </c>
    </row>
    <row r="1164" spans="1:43" x14ac:dyDescent="0.3">
      <c r="A1164">
        <v>1163</v>
      </c>
      <c r="B1164" t="s">
        <v>16</v>
      </c>
      <c r="C1164" t="s">
        <v>17</v>
      </c>
      <c r="D1164" s="1">
        <v>46131</v>
      </c>
      <c r="E1164" t="s">
        <v>26</v>
      </c>
      <c r="F1164">
        <v>1</v>
      </c>
      <c r="G1164">
        <v>8</v>
      </c>
      <c r="H1164" t="s">
        <v>27</v>
      </c>
      <c r="I1164" t="s">
        <v>28</v>
      </c>
      <c r="J1164">
        <v>1.03</v>
      </c>
      <c r="K1164" t="s">
        <v>34</v>
      </c>
      <c r="L1164">
        <v>1</v>
      </c>
      <c r="M1164">
        <v>3.85</v>
      </c>
      <c r="N1164">
        <v>121</v>
      </c>
      <c r="O1164" t="s">
        <v>13</v>
      </c>
      <c r="P1164">
        <v>30</v>
      </c>
      <c r="Q1164">
        <v>3.99</v>
      </c>
      <c r="R1164">
        <v>50.5</v>
      </c>
      <c r="S1164">
        <v>103.27</v>
      </c>
      <c r="T1164">
        <v>100</v>
      </c>
      <c r="U1164">
        <v>1.4</v>
      </c>
      <c r="V1164">
        <v>41.31</v>
      </c>
      <c r="W1164">
        <v>244.58</v>
      </c>
      <c r="X1164">
        <v>42.2</v>
      </c>
      <c r="Y1164">
        <v>105.67</v>
      </c>
      <c r="Z1164">
        <v>10</v>
      </c>
      <c r="AA1164">
        <v>7.38</v>
      </c>
      <c r="AB1164">
        <v>227.2</v>
      </c>
      <c r="AC1164">
        <v>269.94059405940595</v>
      </c>
      <c r="AD1164">
        <v>56.942355889724304</v>
      </c>
      <c r="AE1164">
        <v>76.709999999999994</v>
      </c>
      <c r="AF1164">
        <v>12.72</v>
      </c>
      <c r="AG1164">
        <v>1</v>
      </c>
      <c r="AH1164">
        <v>5.76</v>
      </c>
      <c r="AI1164">
        <v>126.76</v>
      </c>
      <c r="AJ1164">
        <v>260.87</v>
      </c>
      <c r="AK1164">
        <v>81.67</v>
      </c>
      <c r="AL1164" t="s">
        <v>23</v>
      </c>
      <c r="AM1164" t="s">
        <v>24</v>
      </c>
      <c r="AN1164" t="str">
        <f t="shared" si="72"/>
        <v>Morning</v>
      </c>
      <c r="AO1164" t="str">
        <f t="shared" si="73"/>
        <v>Peak</v>
      </c>
      <c r="AP1164" t="str">
        <f t="shared" si="74"/>
        <v>High</v>
      </c>
      <c r="AQ1164" t="str">
        <f t="shared" si="75"/>
        <v>High</v>
      </c>
    </row>
    <row r="1165" spans="1:43" x14ac:dyDescent="0.3">
      <c r="A1165">
        <v>1164</v>
      </c>
      <c r="B1165" t="s">
        <v>29</v>
      </c>
      <c r="C1165" t="s">
        <v>30</v>
      </c>
      <c r="D1165" s="1">
        <v>46228</v>
      </c>
      <c r="E1165" t="s">
        <v>31</v>
      </c>
      <c r="F1165">
        <v>1</v>
      </c>
      <c r="G1165">
        <v>10</v>
      </c>
      <c r="H1165" t="s">
        <v>47</v>
      </c>
      <c r="I1165" t="s">
        <v>46</v>
      </c>
      <c r="J1165">
        <v>1.1499999999999999</v>
      </c>
      <c r="K1165" t="s">
        <v>12</v>
      </c>
      <c r="L1165">
        <v>0</v>
      </c>
      <c r="M1165">
        <v>2.12</v>
      </c>
      <c r="N1165">
        <v>59</v>
      </c>
      <c r="O1165" t="s">
        <v>35</v>
      </c>
      <c r="P1165">
        <v>20</v>
      </c>
      <c r="Q1165">
        <v>9.26</v>
      </c>
      <c r="R1165">
        <v>58.1</v>
      </c>
      <c r="S1165">
        <v>137.58000000000001</v>
      </c>
      <c r="T1165">
        <v>60.04</v>
      </c>
      <c r="U1165">
        <v>1</v>
      </c>
      <c r="V1165">
        <v>0</v>
      </c>
      <c r="W1165">
        <v>197.62</v>
      </c>
      <c r="X1165">
        <v>46.8</v>
      </c>
      <c r="Y1165">
        <v>107.23</v>
      </c>
      <c r="Z1165">
        <v>21.22</v>
      </c>
      <c r="AA1165">
        <v>10.31</v>
      </c>
      <c r="AB1165">
        <v>166.09</v>
      </c>
      <c r="AC1165">
        <v>171.52151462994837</v>
      </c>
      <c r="AD1165">
        <v>17.936285097192226</v>
      </c>
      <c r="AE1165">
        <v>85.6</v>
      </c>
      <c r="AF1165">
        <v>14.16</v>
      </c>
      <c r="AG1165">
        <v>1</v>
      </c>
      <c r="AH1165">
        <v>6.23</v>
      </c>
      <c r="AI1165">
        <v>65.23</v>
      </c>
      <c r="AJ1165">
        <v>182.23</v>
      </c>
      <c r="AK1165">
        <v>81.319999999999993</v>
      </c>
      <c r="AL1165" t="s">
        <v>14</v>
      </c>
      <c r="AM1165" t="s">
        <v>15</v>
      </c>
      <c r="AN1165" t="str">
        <f t="shared" si="72"/>
        <v>Morning</v>
      </c>
      <c r="AO1165" t="str">
        <f t="shared" si="73"/>
        <v>Peak</v>
      </c>
      <c r="AP1165" t="str">
        <f t="shared" si="74"/>
        <v>Medium</v>
      </c>
      <c r="AQ1165" t="str">
        <f t="shared" si="75"/>
        <v>Medium</v>
      </c>
    </row>
    <row r="1166" spans="1:43" x14ac:dyDescent="0.3">
      <c r="A1166">
        <v>1165</v>
      </c>
      <c r="B1166" t="s">
        <v>29</v>
      </c>
      <c r="C1166" t="s">
        <v>30</v>
      </c>
      <c r="D1166" s="1">
        <v>46224</v>
      </c>
      <c r="E1166" t="s">
        <v>44</v>
      </c>
      <c r="F1166">
        <v>0</v>
      </c>
      <c r="G1166">
        <v>13</v>
      </c>
      <c r="H1166" t="s">
        <v>43</v>
      </c>
      <c r="I1166" t="s">
        <v>33</v>
      </c>
      <c r="J1166">
        <v>1</v>
      </c>
      <c r="K1166" t="s">
        <v>34</v>
      </c>
      <c r="L1166">
        <v>1</v>
      </c>
      <c r="M1166">
        <v>4.79</v>
      </c>
      <c r="N1166">
        <v>54</v>
      </c>
      <c r="O1166" t="s">
        <v>35</v>
      </c>
      <c r="P1166">
        <v>13</v>
      </c>
      <c r="Q1166">
        <v>2.97</v>
      </c>
      <c r="R1166">
        <v>45.2</v>
      </c>
      <c r="S1166">
        <v>89.88</v>
      </c>
      <c r="T1166">
        <v>66.41</v>
      </c>
      <c r="U1166">
        <v>1</v>
      </c>
      <c r="V1166">
        <v>0</v>
      </c>
      <c r="W1166">
        <v>156.29</v>
      </c>
      <c r="X1166">
        <v>45.7</v>
      </c>
      <c r="Y1166">
        <v>104.14</v>
      </c>
      <c r="Z1166">
        <v>6.77</v>
      </c>
      <c r="AA1166">
        <v>11.32</v>
      </c>
      <c r="AB1166">
        <v>138.19999999999999</v>
      </c>
      <c r="AC1166">
        <v>183.45132743362828</v>
      </c>
      <c r="AD1166">
        <v>46.531986531986526</v>
      </c>
      <c r="AE1166">
        <v>63.44</v>
      </c>
      <c r="AF1166">
        <v>15.75</v>
      </c>
      <c r="AG1166">
        <v>0</v>
      </c>
      <c r="AH1166">
        <v>12.74</v>
      </c>
      <c r="AI1166">
        <v>66.739999999999995</v>
      </c>
      <c r="AJ1166">
        <v>184.4</v>
      </c>
      <c r="AK1166">
        <v>72.72</v>
      </c>
      <c r="AL1166" t="s">
        <v>14</v>
      </c>
      <c r="AM1166" t="s">
        <v>15</v>
      </c>
      <c r="AN1166" t="str">
        <f t="shared" si="72"/>
        <v>Afternoon</v>
      </c>
      <c r="AO1166" t="str">
        <f t="shared" si="73"/>
        <v>Off-Peak</v>
      </c>
      <c r="AP1166" t="str">
        <f t="shared" si="74"/>
        <v>Medium</v>
      </c>
      <c r="AQ1166" t="str">
        <f t="shared" si="75"/>
        <v>Medium</v>
      </c>
    </row>
    <row r="1167" spans="1:43" x14ac:dyDescent="0.3">
      <c r="A1167">
        <v>1166</v>
      </c>
      <c r="B1167" t="s">
        <v>7</v>
      </c>
      <c r="C1167" t="s">
        <v>8</v>
      </c>
      <c r="D1167" s="1">
        <v>46090</v>
      </c>
      <c r="E1167" t="s">
        <v>38</v>
      </c>
      <c r="F1167">
        <v>0</v>
      </c>
      <c r="G1167">
        <v>9</v>
      </c>
      <c r="H1167" t="s">
        <v>49</v>
      </c>
      <c r="I1167" t="s">
        <v>45</v>
      </c>
      <c r="J1167">
        <v>1</v>
      </c>
      <c r="K1167" t="s">
        <v>21</v>
      </c>
      <c r="L1167">
        <v>0</v>
      </c>
      <c r="M1167">
        <v>3.08</v>
      </c>
      <c r="N1167">
        <v>18</v>
      </c>
      <c r="O1167" t="s">
        <v>22</v>
      </c>
      <c r="P1167">
        <v>6</v>
      </c>
      <c r="Q1167">
        <v>5.47</v>
      </c>
      <c r="R1167">
        <v>43.5</v>
      </c>
      <c r="S1167">
        <v>97.87</v>
      </c>
      <c r="T1167">
        <v>15.29</v>
      </c>
      <c r="U1167">
        <v>1</v>
      </c>
      <c r="V1167">
        <v>0</v>
      </c>
      <c r="W1167">
        <v>113.16</v>
      </c>
      <c r="X1167">
        <v>48.3</v>
      </c>
      <c r="Y1167">
        <v>103.18</v>
      </c>
      <c r="Z1167">
        <v>11.68</v>
      </c>
      <c r="AA1167">
        <v>3</v>
      </c>
      <c r="AB1167">
        <v>98.48</v>
      </c>
      <c r="AC1167">
        <v>135.83448275862071</v>
      </c>
      <c r="AD1167">
        <v>18.003656307129802</v>
      </c>
      <c r="AE1167">
        <v>79.97</v>
      </c>
      <c r="AF1167">
        <v>15.41</v>
      </c>
      <c r="AG1167">
        <v>0</v>
      </c>
      <c r="AH1167">
        <v>11.06</v>
      </c>
      <c r="AI1167">
        <v>29.06</v>
      </c>
      <c r="AJ1167">
        <v>134.88999999999999</v>
      </c>
      <c r="AK1167">
        <v>63.48</v>
      </c>
      <c r="AL1167" t="s">
        <v>14</v>
      </c>
      <c r="AM1167" t="s">
        <v>15</v>
      </c>
      <c r="AN1167" t="str">
        <f t="shared" si="72"/>
        <v>Morning</v>
      </c>
      <c r="AO1167" t="str">
        <f t="shared" si="73"/>
        <v>Peak</v>
      </c>
      <c r="AP1167" t="str">
        <f t="shared" si="74"/>
        <v>Low</v>
      </c>
      <c r="AQ1167" t="str">
        <f t="shared" si="75"/>
        <v>Low</v>
      </c>
    </row>
    <row r="1168" spans="1:43" x14ac:dyDescent="0.3">
      <c r="A1168">
        <v>1167</v>
      </c>
      <c r="B1168" t="s">
        <v>7</v>
      </c>
      <c r="C1168" t="s">
        <v>8</v>
      </c>
      <c r="D1168" s="1">
        <v>46131</v>
      </c>
      <c r="E1168" t="s">
        <v>26</v>
      </c>
      <c r="F1168">
        <v>1</v>
      </c>
      <c r="G1168">
        <v>16</v>
      </c>
      <c r="H1168" t="s">
        <v>32</v>
      </c>
      <c r="I1168" t="s">
        <v>50</v>
      </c>
      <c r="J1168">
        <v>1.2</v>
      </c>
      <c r="K1168" t="s">
        <v>34</v>
      </c>
      <c r="L1168">
        <v>1</v>
      </c>
      <c r="M1168">
        <v>3</v>
      </c>
      <c r="N1168">
        <v>64</v>
      </c>
      <c r="O1168" t="s">
        <v>35</v>
      </c>
      <c r="P1168">
        <v>31</v>
      </c>
      <c r="Q1168">
        <v>15</v>
      </c>
      <c r="R1168">
        <v>86.6</v>
      </c>
      <c r="S1168">
        <v>178.79</v>
      </c>
      <c r="T1168">
        <v>84.58</v>
      </c>
      <c r="U1168">
        <v>1</v>
      </c>
      <c r="V1168">
        <v>0</v>
      </c>
      <c r="W1168">
        <v>263.37</v>
      </c>
      <c r="X1168">
        <v>49.1</v>
      </c>
      <c r="Y1168">
        <v>106.66</v>
      </c>
      <c r="Z1168">
        <v>32.57</v>
      </c>
      <c r="AA1168">
        <v>4.24</v>
      </c>
      <c r="AB1168">
        <v>226.56</v>
      </c>
      <c r="AC1168">
        <v>156.9699769053118</v>
      </c>
      <c r="AD1168">
        <v>15.104000000000001</v>
      </c>
      <c r="AE1168">
        <v>77.260000000000005</v>
      </c>
      <c r="AF1168">
        <v>12.18</v>
      </c>
      <c r="AG1168">
        <v>1</v>
      </c>
      <c r="AH1168">
        <v>24.38</v>
      </c>
      <c r="AI1168">
        <v>88.38</v>
      </c>
      <c r="AJ1168">
        <v>157.09</v>
      </c>
      <c r="AK1168">
        <v>69.22</v>
      </c>
      <c r="AL1168" t="s">
        <v>14</v>
      </c>
      <c r="AM1168" t="s">
        <v>15</v>
      </c>
      <c r="AN1168" t="str">
        <f t="shared" si="72"/>
        <v>Evening</v>
      </c>
      <c r="AO1168" t="str">
        <f t="shared" si="73"/>
        <v>Off-Peak</v>
      </c>
      <c r="AP1168" t="str">
        <f t="shared" si="74"/>
        <v>Medium</v>
      </c>
      <c r="AQ1168" t="str">
        <f t="shared" si="75"/>
        <v>Medium</v>
      </c>
    </row>
    <row r="1169" spans="1:43" x14ac:dyDescent="0.3">
      <c r="A1169">
        <v>1168</v>
      </c>
      <c r="B1169" t="s">
        <v>48</v>
      </c>
      <c r="C1169" t="s">
        <v>30</v>
      </c>
      <c r="D1169" s="1">
        <v>46062</v>
      </c>
      <c r="E1169" t="s">
        <v>38</v>
      </c>
      <c r="F1169">
        <v>0</v>
      </c>
      <c r="G1169">
        <v>7</v>
      </c>
      <c r="H1169" t="s">
        <v>47</v>
      </c>
      <c r="I1169" t="s">
        <v>46</v>
      </c>
      <c r="J1169">
        <v>1.1499999999999999</v>
      </c>
      <c r="K1169" t="s">
        <v>12</v>
      </c>
      <c r="L1169">
        <v>0</v>
      </c>
      <c r="M1169">
        <v>2.5</v>
      </c>
      <c r="N1169">
        <v>25</v>
      </c>
      <c r="O1169" t="s">
        <v>22</v>
      </c>
      <c r="P1169">
        <v>8</v>
      </c>
      <c r="Q1169">
        <v>8.2200000000000006</v>
      </c>
      <c r="R1169">
        <v>54.8</v>
      </c>
      <c r="S1169">
        <v>109.99</v>
      </c>
      <c r="T1169">
        <v>17.010000000000002</v>
      </c>
      <c r="U1169">
        <v>1</v>
      </c>
      <c r="V1169">
        <v>0</v>
      </c>
      <c r="W1169">
        <v>127</v>
      </c>
      <c r="X1169">
        <v>37.799999999999997</v>
      </c>
      <c r="Y1169">
        <v>106.84</v>
      </c>
      <c r="Z1169">
        <v>23.21</v>
      </c>
      <c r="AA1169">
        <v>5.92</v>
      </c>
      <c r="AB1169">
        <v>97.87</v>
      </c>
      <c r="AC1169">
        <v>107.15693430656935</v>
      </c>
      <c r="AD1169">
        <v>11.906326034063261</v>
      </c>
      <c r="AE1169">
        <v>81.72</v>
      </c>
      <c r="AF1169">
        <v>13.36</v>
      </c>
      <c r="AG1169">
        <v>0</v>
      </c>
      <c r="AH1169">
        <v>-31.97</v>
      </c>
      <c r="AI1169">
        <v>5</v>
      </c>
      <c r="AJ1169">
        <v>126.77</v>
      </c>
      <c r="AK1169">
        <v>60</v>
      </c>
      <c r="AL1169" t="s">
        <v>23</v>
      </c>
      <c r="AM1169" t="s">
        <v>24</v>
      </c>
      <c r="AN1169" t="str">
        <f t="shared" si="72"/>
        <v>Morning</v>
      </c>
      <c r="AO1169" t="str">
        <f t="shared" si="73"/>
        <v>Peak</v>
      </c>
      <c r="AP1169" t="str">
        <f t="shared" si="74"/>
        <v>Low</v>
      </c>
      <c r="AQ1169" t="str">
        <f t="shared" si="75"/>
        <v>Low</v>
      </c>
    </row>
    <row r="1170" spans="1:43" x14ac:dyDescent="0.3">
      <c r="A1170">
        <v>1169</v>
      </c>
      <c r="B1170" t="s">
        <v>23</v>
      </c>
      <c r="C1170" t="s">
        <v>17</v>
      </c>
      <c r="D1170" s="1">
        <v>46217</v>
      </c>
      <c r="E1170" t="s">
        <v>44</v>
      </c>
      <c r="F1170">
        <v>0</v>
      </c>
      <c r="G1170">
        <v>8</v>
      </c>
      <c r="H1170" t="s">
        <v>27</v>
      </c>
      <c r="I1170" t="s">
        <v>46</v>
      </c>
      <c r="J1170">
        <v>1.1499999999999999</v>
      </c>
      <c r="K1170" t="s">
        <v>21</v>
      </c>
      <c r="L1170">
        <v>0</v>
      </c>
      <c r="M1170">
        <v>3.58</v>
      </c>
      <c r="N1170">
        <v>80</v>
      </c>
      <c r="O1170" t="s">
        <v>13</v>
      </c>
      <c r="P1170">
        <v>15</v>
      </c>
      <c r="Q1170">
        <v>1.65</v>
      </c>
      <c r="R1170">
        <v>35.299999999999997</v>
      </c>
      <c r="S1170">
        <v>66.16</v>
      </c>
      <c r="T1170">
        <v>86.07</v>
      </c>
      <c r="U1170">
        <v>1.2</v>
      </c>
      <c r="V1170">
        <v>13.23</v>
      </c>
      <c r="W1170">
        <v>165.46</v>
      </c>
      <c r="X1170">
        <v>40.9</v>
      </c>
      <c r="Y1170">
        <v>102.7</v>
      </c>
      <c r="Z1170">
        <v>4.1399999999999997</v>
      </c>
      <c r="AA1170">
        <v>4.96</v>
      </c>
      <c r="AB1170">
        <v>156.36000000000001</v>
      </c>
      <c r="AC1170">
        <v>265.7677053824363</v>
      </c>
      <c r="AD1170">
        <v>94.76363636363638</v>
      </c>
      <c r="AE1170">
        <v>72.16</v>
      </c>
      <c r="AF1170">
        <v>14.09</v>
      </c>
      <c r="AG1170">
        <v>1</v>
      </c>
      <c r="AH1170">
        <v>9.27</v>
      </c>
      <c r="AI1170">
        <v>89.27</v>
      </c>
      <c r="AJ1170">
        <v>272.36</v>
      </c>
      <c r="AK1170">
        <v>77.319999999999993</v>
      </c>
      <c r="AL1170" t="s">
        <v>23</v>
      </c>
      <c r="AM1170" t="s">
        <v>24</v>
      </c>
      <c r="AN1170" t="str">
        <f t="shared" si="72"/>
        <v>Morning</v>
      </c>
      <c r="AO1170" t="str">
        <f t="shared" si="73"/>
        <v>Peak</v>
      </c>
      <c r="AP1170" t="str">
        <f t="shared" si="74"/>
        <v>High</v>
      </c>
      <c r="AQ1170" t="str">
        <f t="shared" si="75"/>
        <v>High</v>
      </c>
    </row>
    <row r="1171" spans="1:43" x14ac:dyDescent="0.3">
      <c r="A1171">
        <v>1170</v>
      </c>
      <c r="B1171" t="s">
        <v>23</v>
      </c>
      <c r="C1171" t="s">
        <v>17</v>
      </c>
      <c r="D1171" s="1">
        <v>46086</v>
      </c>
      <c r="E1171" t="s">
        <v>41</v>
      </c>
      <c r="F1171">
        <v>0</v>
      </c>
      <c r="G1171">
        <v>7</v>
      </c>
      <c r="H1171" t="s">
        <v>27</v>
      </c>
      <c r="I1171" t="s">
        <v>46</v>
      </c>
      <c r="J1171">
        <v>1.1499999999999999</v>
      </c>
      <c r="K1171" t="s">
        <v>12</v>
      </c>
      <c r="L1171">
        <v>0</v>
      </c>
      <c r="M1171">
        <v>3.53</v>
      </c>
      <c r="N1171">
        <v>89</v>
      </c>
      <c r="O1171" t="s">
        <v>13</v>
      </c>
      <c r="P1171">
        <v>16</v>
      </c>
      <c r="Q1171">
        <v>6.36</v>
      </c>
      <c r="R1171">
        <v>52.3</v>
      </c>
      <c r="S1171">
        <v>125.74</v>
      </c>
      <c r="T1171">
        <v>100</v>
      </c>
      <c r="U1171">
        <v>1.3</v>
      </c>
      <c r="V1171">
        <v>37.72</v>
      </c>
      <c r="W1171">
        <v>263.45999999999998</v>
      </c>
      <c r="X1171">
        <v>45.3</v>
      </c>
      <c r="Y1171">
        <v>100.2</v>
      </c>
      <c r="Z1171">
        <v>14.07</v>
      </c>
      <c r="AA1171">
        <v>6.08</v>
      </c>
      <c r="AB1171">
        <v>243.31</v>
      </c>
      <c r="AC1171">
        <v>279.13193116634801</v>
      </c>
      <c r="AD1171">
        <v>38.2562893081761</v>
      </c>
      <c r="AE1171">
        <v>79.84</v>
      </c>
      <c r="AF1171">
        <v>13.2</v>
      </c>
      <c r="AG1171">
        <v>1</v>
      </c>
      <c r="AH1171">
        <v>10.31</v>
      </c>
      <c r="AI1171">
        <v>99.31</v>
      </c>
      <c r="AJ1171">
        <v>280.07</v>
      </c>
      <c r="AK1171">
        <v>76.319999999999993</v>
      </c>
      <c r="AL1171" t="s">
        <v>23</v>
      </c>
      <c r="AM1171" t="s">
        <v>24</v>
      </c>
      <c r="AN1171" t="str">
        <f t="shared" si="72"/>
        <v>Morning</v>
      </c>
      <c r="AO1171" t="str">
        <f t="shared" si="73"/>
        <v>Peak</v>
      </c>
      <c r="AP1171" t="str">
        <f t="shared" si="74"/>
        <v>High</v>
      </c>
      <c r="AQ1171" t="str">
        <f t="shared" si="75"/>
        <v>High</v>
      </c>
    </row>
    <row r="1172" spans="1:43" x14ac:dyDescent="0.3">
      <c r="A1172">
        <v>1171</v>
      </c>
      <c r="B1172" t="s">
        <v>25</v>
      </c>
      <c r="C1172" t="s">
        <v>17</v>
      </c>
      <c r="D1172" s="1">
        <v>46229</v>
      </c>
      <c r="E1172" t="s">
        <v>26</v>
      </c>
      <c r="F1172">
        <v>1</v>
      </c>
      <c r="G1172">
        <v>11</v>
      </c>
      <c r="H1172" t="s">
        <v>19</v>
      </c>
      <c r="I1172" t="s">
        <v>45</v>
      </c>
      <c r="J1172">
        <v>1</v>
      </c>
      <c r="K1172" t="s">
        <v>21</v>
      </c>
      <c r="L1172">
        <v>0</v>
      </c>
      <c r="M1172">
        <v>1.97</v>
      </c>
      <c r="N1172">
        <v>46</v>
      </c>
      <c r="O1172" t="s">
        <v>35</v>
      </c>
      <c r="P1172">
        <v>6</v>
      </c>
      <c r="Q1172">
        <v>5.19</v>
      </c>
      <c r="R1172">
        <v>34</v>
      </c>
      <c r="S1172">
        <v>122.37</v>
      </c>
      <c r="T1172">
        <v>56.08</v>
      </c>
      <c r="U1172">
        <v>1</v>
      </c>
      <c r="V1172">
        <v>0</v>
      </c>
      <c r="W1172">
        <v>178.45</v>
      </c>
      <c r="X1172">
        <v>35.700000000000003</v>
      </c>
      <c r="Y1172">
        <v>109.46</v>
      </c>
      <c r="Z1172">
        <v>15.92</v>
      </c>
      <c r="AA1172">
        <v>2.41</v>
      </c>
      <c r="AB1172">
        <v>160.12</v>
      </c>
      <c r="AC1172">
        <v>282.56470588235294</v>
      </c>
      <c r="AD1172">
        <v>30.851637764932562</v>
      </c>
      <c r="AE1172">
        <v>76.17</v>
      </c>
      <c r="AF1172">
        <v>11.83</v>
      </c>
      <c r="AG1172">
        <v>1</v>
      </c>
      <c r="AH1172">
        <v>-0.53</v>
      </c>
      <c r="AI1172">
        <v>45.47</v>
      </c>
      <c r="AJ1172">
        <v>276.20999999999998</v>
      </c>
      <c r="AK1172">
        <v>71.38</v>
      </c>
      <c r="AL1172" t="s">
        <v>23</v>
      </c>
      <c r="AM1172" t="s">
        <v>24</v>
      </c>
      <c r="AN1172" t="str">
        <f t="shared" si="72"/>
        <v>Afternoon</v>
      </c>
      <c r="AO1172" t="str">
        <f t="shared" si="73"/>
        <v>Off-Peak</v>
      </c>
      <c r="AP1172" t="str">
        <f t="shared" si="74"/>
        <v>High</v>
      </c>
      <c r="AQ1172" t="str">
        <f t="shared" si="75"/>
        <v>Medium</v>
      </c>
    </row>
    <row r="1173" spans="1:43" x14ac:dyDescent="0.3">
      <c r="A1173">
        <v>1172</v>
      </c>
      <c r="B1173" t="s">
        <v>25</v>
      </c>
      <c r="C1173" t="s">
        <v>17</v>
      </c>
      <c r="D1173" s="1">
        <v>46240</v>
      </c>
      <c r="E1173" t="s">
        <v>41</v>
      </c>
      <c r="F1173">
        <v>0</v>
      </c>
      <c r="G1173">
        <v>19</v>
      </c>
      <c r="H1173" t="s">
        <v>40</v>
      </c>
      <c r="I1173" t="s">
        <v>11</v>
      </c>
      <c r="J1173">
        <v>1.18</v>
      </c>
      <c r="K1173" t="s">
        <v>12</v>
      </c>
      <c r="L1173">
        <v>0</v>
      </c>
      <c r="M1173">
        <v>2.9</v>
      </c>
      <c r="N1173">
        <v>95</v>
      </c>
      <c r="O1173" t="s">
        <v>13</v>
      </c>
      <c r="P1173">
        <v>22</v>
      </c>
      <c r="Q1173">
        <v>2.89</v>
      </c>
      <c r="R1173">
        <v>40.700000000000003</v>
      </c>
      <c r="S1173">
        <v>95.43</v>
      </c>
      <c r="T1173">
        <v>100</v>
      </c>
      <c r="U1173">
        <v>1.22</v>
      </c>
      <c r="V1173">
        <v>20.99</v>
      </c>
      <c r="W1173">
        <v>216.42</v>
      </c>
      <c r="X1173">
        <v>45.8</v>
      </c>
      <c r="Y1173">
        <v>107.55</v>
      </c>
      <c r="Z1173">
        <v>6.8</v>
      </c>
      <c r="AA1173">
        <v>2.66</v>
      </c>
      <c r="AB1173">
        <v>206.96</v>
      </c>
      <c r="AC1173">
        <v>305.10073710073709</v>
      </c>
      <c r="AD1173">
        <v>71.612456747404849</v>
      </c>
      <c r="AE1173">
        <v>83.07</v>
      </c>
      <c r="AF1173">
        <v>10.43</v>
      </c>
      <c r="AG1173">
        <v>1</v>
      </c>
      <c r="AH1173">
        <v>-30.96</v>
      </c>
      <c r="AI1173">
        <v>64.040000000000006</v>
      </c>
      <c r="AJ1173">
        <v>307.77</v>
      </c>
      <c r="AK1173">
        <v>66.510000000000005</v>
      </c>
      <c r="AL1173" t="s">
        <v>23</v>
      </c>
      <c r="AM1173" t="s">
        <v>24</v>
      </c>
      <c r="AN1173" t="str">
        <f t="shared" si="72"/>
        <v>Night</v>
      </c>
      <c r="AO1173" t="str">
        <f t="shared" si="73"/>
        <v>Peak</v>
      </c>
      <c r="AP1173" t="str">
        <f t="shared" si="74"/>
        <v>High</v>
      </c>
      <c r="AQ1173" t="str">
        <f t="shared" si="75"/>
        <v>High</v>
      </c>
    </row>
    <row r="1174" spans="1:43" x14ac:dyDescent="0.3">
      <c r="A1174">
        <v>1173</v>
      </c>
      <c r="B1174" t="s">
        <v>48</v>
      </c>
      <c r="C1174" t="s">
        <v>30</v>
      </c>
      <c r="D1174" s="1">
        <v>46200</v>
      </c>
      <c r="E1174" t="s">
        <v>31</v>
      </c>
      <c r="F1174">
        <v>1</v>
      </c>
      <c r="G1174">
        <v>9</v>
      </c>
      <c r="H1174" t="s">
        <v>47</v>
      </c>
      <c r="I1174" t="s">
        <v>45</v>
      </c>
      <c r="J1174">
        <v>1</v>
      </c>
      <c r="K1174" t="s">
        <v>12</v>
      </c>
      <c r="L1174">
        <v>0</v>
      </c>
      <c r="M1174">
        <v>2.84</v>
      </c>
      <c r="N1174">
        <v>53</v>
      </c>
      <c r="O1174" t="s">
        <v>35</v>
      </c>
      <c r="P1174">
        <v>15</v>
      </c>
      <c r="Q1174">
        <v>6.41</v>
      </c>
      <c r="R1174">
        <v>46.8</v>
      </c>
      <c r="S1174">
        <v>94.81</v>
      </c>
      <c r="T1174">
        <v>58.01</v>
      </c>
      <c r="U1174">
        <v>1</v>
      </c>
      <c r="V1174">
        <v>0</v>
      </c>
      <c r="W1174">
        <v>152.82</v>
      </c>
      <c r="X1174">
        <v>35.1</v>
      </c>
      <c r="Y1174">
        <v>102.01</v>
      </c>
      <c r="Z1174">
        <v>18.649999999999999</v>
      </c>
      <c r="AA1174">
        <v>10.38</v>
      </c>
      <c r="AB1174">
        <v>123.79</v>
      </c>
      <c r="AC1174">
        <v>158.70512820512823</v>
      </c>
      <c r="AD1174">
        <v>19.31201248049922</v>
      </c>
      <c r="AE1174">
        <v>67.86</v>
      </c>
      <c r="AF1174">
        <v>18.329999999999998</v>
      </c>
      <c r="AG1174">
        <v>1</v>
      </c>
      <c r="AH1174">
        <v>2.09</v>
      </c>
      <c r="AI1174">
        <v>55.09</v>
      </c>
      <c r="AJ1174">
        <v>142.61000000000001</v>
      </c>
      <c r="AK1174">
        <v>84.85</v>
      </c>
      <c r="AL1174" t="s">
        <v>23</v>
      </c>
      <c r="AM1174" t="s">
        <v>24</v>
      </c>
      <c r="AN1174" t="str">
        <f t="shared" si="72"/>
        <v>Morning</v>
      </c>
      <c r="AO1174" t="str">
        <f t="shared" si="73"/>
        <v>Peak</v>
      </c>
      <c r="AP1174" t="str">
        <f t="shared" si="74"/>
        <v>Medium</v>
      </c>
      <c r="AQ1174" t="str">
        <f t="shared" si="75"/>
        <v>Medium</v>
      </c>
    </row>
    <row r="1175" spans="1:43" x14ac:dyDescent="0.3">
      <c r="A1175">
        <v>1174</v>
      </c>
      <c r="B1175" t="s">
        <v>14</v>
      </c>
      <c r="C1175" t="s">
        <v>8</v>
      </c>
      <c r="D1175" s="1">
        <v>46108</v>
      </c>
      <c r="E1175" t="s">
        <v>9</v>
      </c>
      <c r="F1175">
        <v>0</v>
      </c>
      <c r="G1175">
        <v>22</v>
      </c>
      <c r="H1175" t="s">
        <v>51</v>
      </c>
      <c r="I1175" t="s">
        <v>50</v>
      </c>
      <c r="J1175">
        <v>1.2</v>
      </c>
      <c r="K1175" t="s">
        <v>12</v>
      </c>
      <c r="L1175">
        <v>0</v>
      </c>
      <c r="M1175">
        <v>2.5299999999999998</v>
      </c>
      <c r="N1175">
        <v>24</v>
      </c>
      <c r="O1175" t="s">
        <v>22</v>
      </c>
      <c r="P1175">
        <v>9</v>
      </c>
      <c r="Q1175">
        <v>1.62</v>
      </c>
      <c r="R1175">
        <v>23.1</v>
      </c>
      <c r="S1175">
        <v>71.06</v>
      </c>
      <c r="T1175">
        <v>29.17</v>
      </c>
      <c r="U1175">
        <v>1</v>
      </c>
      <c r="V1175">
        <v>0</v>
      </c>
      <c r="W1175">
        <v>100.23</v>
      </c>
      <c r="X1175">
        <v>48.7</v>
      </c>
      <c r="Y1175">
        <v>105.66</v>
      </c>
      <c r="Z1175">
        <v>3.52</v>
      </c>
      <c r="AA1175">
        <v>3.03</v>
      </c>
      <c r="AB1175">
        <v>93.68</v>
      </c>
      <c r="AC1175">
        <v>243.32467532467533</v>
      </c>
      <c r="AD1175">
        <v>57.827160493827158</v>
      </c>
      <c r="AE1175">
        <v>79.010000000000005</v>
      </c>
      <c r="AF1175">
        <v>13.95</v>
      </c>
      <c r="AG1175">
        <v>0</v>
      </c>
      <c r="AH1175">
        <v>-7.66</v>
      </c>
      <c r="AI1175">
        <v>16.34</v>
      </c>
      <c r="AJ1175">
        <v>235.88</v>
      </c>
      <c r="AK1175">
        <v>68.900000000000006</v>
      </c>
      <c r="AL1175" t="s">
        <v>14</v>
      </c>
      <c r="AM1175" t="s">
        <v>15</v>
      </c>
      <c r="AN1175" t="str">
        <f t="shared" si="72"/>
        <v>Night</v>
      </c>
      <c r="AO1175" t="str">
        <f t="shared" si="73"/>
        <v>Off-Peak</v>
      </c>
      <c r="AP1175" t="str">
        <f t="shared" si="74"/>
        <v>Medium</v>
      </c>
      <c r="AQ1175" t="str">
        <f t="shared" si="75"/>
        <v>Low</v>
      </c>
    </row>
    <row r="1176" spans="1:43" x14ac:dyDescent="0.3">
      <c r="A1176">
        <v>1175</v>
      </c>
      <c r="B1176" t="s">
        <v>7</v>
      </c>
      <c r="C1176" t="s">
        <v>8</v>
      </c>
      <c r="D1176" s="1">
        <v>46268</v>
      </c>
      <c r="E1176" t="s">
        <v>41</v>
      </c>
      <c r="F1176">
        <v>0</v>
      </c>
      <c r="G1176">
        <v>11</v>
      </c>
      <c r="H1176" t="s">
        <v>10</v>
      </c>
      <c r="I1176" t="s">
        <v>37</v>
      </c>
      <c r="J1176">
        <v>1.02</v>
      </c>
      <c r="K1176" t="s">
        <v>12</v>
      </c>
      <c r="L1176">
        <v>0</v>
      </c>
      <c r="M1176">
        <v>3.89</v>
      </c>
      <c r="N1176">
        <v>32</v>
      </c>
      <c r="O1176" t="s">
        <v>22</v>
      </c>
      <c r="P1176">
        <v>17</v>
      </c>
      <c r="Q1176">
        <v>2.2799999999999998</v>
      </c>
      <c r="R1176">
        <v>19.600000000000001</v>
      </c>
      <c r="S1176">
        <v>81.3</v>
      </c>
      <c r="T1176">
        <v>52.85</v>
      </c>
      <c r="U1176">
        <v>1</v>
      </c>
      <c r="V1176">
        <v>0</v>
      </c>
      <c r="W1176">
        <v>134.15</v>
      </c>
      <c r="X1176">
        <v>45.8</v>
      </c>
      <c r="Y1176">
        <v>105.95</v>
      </c>
      <c r="Z1176">
        <v>5.27</v>
      </c>
      <c r="AA1176">
        <v>10.24</v>
      </c>
      <c r="AB1176">
        <v>118.64</v>
      </c>
      <c r="AC1176">
        <v>363.18367346938771</v>
      </c>
      <c r="AD1176">
        <v>52.035087719298254</v>
      </c>
      <c r="AE1176">
        <v>59.79</v>
      </c>
      <c r="AF1176">
        <v>17.37</v>
      </c>
      <c r="AG1176">
        <v>0</v>
      </c>
      <c r="AH1176">
        <v>28.17</v>
      </c>
      <c r="AI1176">
        <v>60.17</v>
      </c>
      <c r="AJ1176">
        <v>364.14</v>
      </c>
      <c r="AK1176">
        <v>60</v>
      </c>
      <c r="AL1176" t="s">
        <v>14</v>
      </c>
      <c r="AM1176" t="s">
        <v>15</v>
      </c>
      <c r="AN1176" t="str">
        <f t="shared" si="72"/>
        <v>Afternoon</v>
      </c>
      <c r="AO1176" t="str">
        <f t="shared" si="73"/>
        <v>Off-Peak</v>
      </c>
      <c r="AP1176" t="str">
        <f t="shared" si="74"/>
        <v>High</v>
      </c>
      <c r="AQ1176" t="str">
        <f t="shared" si="75"/>
        <v>Low</v>
      </c>
    </row>
    <row r="1177" spans="1:43" x14ac:dyDescent="0.3">
      <c r="A1177">
        <v>1176</v>
      </c>
      <c r="B1177" t="s">
        <v>48</v>
      </c>
      <c r="C1177" t="s">
        <v>30</v>
      </c>
      <c r="D1177" s="1">
        <v>46200</v>
      </c>
      <c r="E1177" t="s">
        <v>31</v>
      </c>
      <c r="F1177">
        <v>1</v>
      </c>
      <c r="G1177">
        <v>7</v>
      </c>
      <c r="H1177" t="s">
        <v>47</v>
      </c>
      <c r="I1177" t="s">
        <v>28</v>
      </c>
      <c r="J1177">
        <v>1.03</v>
      </c>
      <c r="K1177" t="s">
        <v>12</v>
      </c>
      <c r="L1177">
        <v>0</v>
      </c>
      <c r="M1177">
        <v>3.23</v>
      </c>
      <c r="N1177">
        <v>63</v>
      </c>
      <c r="O1177" t="s">
        <v>35</v>
      </c>
      <c r="P1177">
        <v>19</v>
      </c>
      <c r="Q1177">
        <v>3.35</v>
      </c>
      <c r="R1177">
        <v>39.200000000000003</v>
      </c>
      <c r="S1177">
        <v>90.78</v>
      </c>
      <c r="T1177">
        <v>54.56</v>
      </c>
      <c r="U1177">
        <v>1</v>
      </c>
      <c r="V1177">
        <v>0</v>
      </c>
      <c r="W1177">
        <v>145.34</v>
      </c>
      <c r="X1177">
        <v>43.5</v>
      </c>
      <c r="Y1177">
        <v>101.26</v>
      </c>
      <c r="Z1177">
        <v>7.81</v>
      </c>
      <c r="AA1177">
        <v>5.07</v>
      </c>
      <c r="AB1177">
        <v>132.46</v>
      </c>
      <c r="AC1177">
        <v>202.74489795918365</v>
      </c>
      <c r="AD1177">
        <v>39.540298507462687</v>
      </c>
      <c r="AE1177">
        <v>71.7</v>
      </c>
      <c r="AF1177">
        <v>11.13</v>
      </c>
      <c r="AG1177">
        <v>1</v>
      </c>
      <c r="AH1177">
        <v>8.6300000000000008</v>
      </c>
      <c r="AI1177">
        <v>71.63</v>
      </c>
      <c r="AJ1177">
        <v>208.85</v>
      </c>
      <c r="AK1177">
        <v>71.58</v>
      </c>
      <c r="AL1177" t="s">
        <v>23</v>
      </c>
      <c r="AM1177" t="s">
        <v>24</v>
      </c>
      <c r="AN1177" t="str">
        <f t="shared" si="72"/>
        <v>Morning</v>
      </c>
      <c r="AO1177" t="str">
        <f t="shared" si="73"/>
        <v>Peak</v>
      </c>
      <c r="AP1177" t="str">
        <f t="shared" si="74"/>
        <v>Medium</v>
      </c>
      <c r="AQ1177" t="str">
        <f t="shared" si="75"/>
        <v>Medium</v>
      </c>
    </row>
    <row r="1178" spans="1:43" x14ac:dyDescent="0.3">
      <c r="A1178">
        <v>1177</v>
      </c>
      <c r="B1178" t="s">
        <v>48</v>
      </c>
      <c r="C1178" t="s">
        <v>30</v>
      </c>
      <c r="D1178" s="1">
        <v>46189</v>
      </c>
      <c r="E1178" t="s">
        <v>44</v>
      </c>
      <c r="F1178">
        <v>0</v>
      </c>
      <c r="G1178">
        <v>12</v>
      </c>
      <c r="H1178" t="s">
        <v>43</v>
      </c>
      <c r="I1178" t="s">
        <v>11</v>
      </c>
      <c r="J1178">
        <v>1.18</v>
      </c>
      <c r="K1178" t="s">
        <v>21</v>
      </c>
      <c r="L1178">
        <v>0</v>
      </c>
      <c r="M1178">
        <v>3.21</v>
      </c>
      <c r="N1178">
        <v>50</v>
      </c>
      <c r="O1178" t="s">
        <v>35</v>
      </c>
      <c r="P1178">
        <v>18</v>
      </c>
      <c r="Q1178">
        <v>2.79</v>
      </c>
      <c r="R1178">
        <v>33.9</v>
      </c>
      <c r="S1178">
        <v>84.9</v>
      </c>
      <c r="T1178">
        <v>33.619999999999997</v>
      </c>
      <c r="U1178">
        <v>1</v>
      </c>
      <c r="V1178">
        <v>0</v>
      </c>
      <c r="W1178">
        <v>118.52</v>
      </c>
      <c r="X1178">
        <v>41.4</v>
      </c>
      <c r="Y1178">
        <v>101.92</v>
      </c>
      <c r="Z1178">
        <v>6.86</v>
      </c>
      <c r="AA1178">
        <v>5.09</v>
      </c>
      <c r="AB1178">
        <v>106.57</v>
      </c>
      <c r="AC1178">
        <v>188.61946902654867</v>
      </c>
      <c r="AD1178">
        <v>38.197132616487451</v>
      </c>
      <c r="AE1178">
        <v>63.5</v>
      </c>
      <c r="AF1178">
        <v>17.78</v>
      </c>
      <c r="AG1178">
        <v>0</v>
      </c>
      <c r="AH1178">
        <v>-8.93</v>
      </c>
      <c r="AI1178">
        <v>41.07</v>
      </c>
      <c r="AJ1178">
        <v>206.68</v>
      </c>
      <c r="AK1178">
        <v>73.81</v>
      </c>
      <c r="AL1178" t="s">
        <v>14</v>
      </c>
      <c r="AM1178" t="s">
        <v>15</v>
      </c>
      <c r="AN1178" t="str">
        <f t="shared" si="72"/>
        <v>Afternoon</v>
      </c>
      <c r="AO1178" t="str">
        <f t="shared" si="73"/>
        <v>Off-Peak</v>
      </c>
      <c r="AP1178" t="str">
        <f t="shared" si="74"/>
        <v>Medium</v>
      </c>
      <c r="AQ1178" t="str">
        <f t="shared" si="75"/>
        <v>Medium</v>
      </c>
    </row>
    <row r="1179" spans="1:43" x14ac:dyDescent="0.3">
      <c r="A1179">
        <v>1178</v>
      </c>
      <c r="B1179" t="s">
        <v>14</v>
      </c>
      <c r="C1179" t="s">
        <v>8</v>
      </c>
      <c r="D1179" s="1">
        <v>46243</v>
      </c>
      <c r="E1179" t="s">
        <v>26</v>
      </c>
      <c r="F1179">
        <v>1</v>
      </c>
      <c r="G1179">
        <v>18</v>
      </c>
      <c r="H1179" t="s">
        <v>51</v>
      </c>
      <c r="I1179" t="s">
        <v>46</v>
      </c>
      <c r="J1179">
        <v>1.1499999999999999</v>
      </c>
      <c r="K1179" t="s">
        <v>12</v>
      </c>
      <c r="L1179">
        <v>0</v>
      </c>
      <c r="M1179">
        <v>3.51</v>
      </c>
      <c r="N1179">
        <v>105</v>
      </c>
      <c r="O1179" t="s">
        <v>13</v>
      </c>
      <c r="P1179">
        <v>41</v>
      </c>
      <c r="Q1179">
        <v>5.94</v>
      </c>
      <c r="R1179">
        <v>49.3</v>
      </c>
      <c r="S1179">
        <v>99.13</v>
      </c>
      <c r="T1179">
        <v>100</v>
      </c>
      <c r="U1179">
        <v>1</v>
      </c>
      <c r="V1179">
        <v>0</v>
      </c>
      <c r="W1179">
        <v>199.13</v>
      </c>
      <c r="X1179">
        <v>49.8</v>
      </c>
      <c r="Y1179">
        <v>109.57</v>
      </c>
      <c r="Z1179">
        <v>13.07</v>
      </c>
      <c r="AA1179">
        <v>3.01</v>
      </c>
      <c r="AB1179">
        <v>183.05</v>
      </c>
      <c r="AC1179">
        <v>222.77890466531443</v>
      </c>
      <c r="AD1179">
        <v>30.816498316498315</v>
      </c>
      <c r="AE1179">
        <v>87.03</v>
      </c>
      <c r="AF1179">
        <v>13.92</v>
      </c>
      <c r="AG1179">
        <v>1</v>
      </c>
      <c r="AH1179">
        <v>-27.79</v>
      </c>
      <c r="AI1179">
        <v>77.209999999999994</v>
      </c>
      <c r="AJ1179">
        <v>234.53</v>
      </c>
      <c r="AK1179">
        <v>70.08</v>
      </c>
      <c r="AL1179" t="s">
        <v>14</v>
      </c>
      <c r="AM1179" t="s">
        <v>15</v>
      </c>
      <c r="AN1179" t="str">
        <f t="shared" si="72"/>
        <v>Night</v>
      </c>
      <c r="AO1179" t="str">
        <f t="shared" si="73"/>
        <v>Peak</v>
      </c>
      <c r="AP1179" t="str">
        <f t="shared" si="74"/>
        <v>Medium</v>
      </c>
      <c r="AQ1179" t="str">
        <f t="shared" si="75"/>
        <v>High</v>
      </c>
    </row>
    <row r="1180" spans="1:43" x14ac:dyDescent="0.3">
      <c r="A1180">
        <v>1179</v>
      </c>
      <c r="B1180" t="s">
        <v>14</v>
      </c>
      <c r="C1180" t="s">
        <v>8</v>
      </c>
      <c r="D1180" s="1">
        <v>46250</v>
      </c>
      <c r="E1180" t="s">
        <v>26</v>
      </c>
      <c r="F1180">
        <v>1</v>
      </c>
      <c r="G1180">
        <v>8</v>
      </c>
      <c r="H1180" t="s">
        <v>49</v>
      </c>
      <c r="I1180" t="s">
        <v>28</v>
      </c>
      <c r="J1180">
        <v>1.03</v>
      </c>
      <c r="K1180" t="s">
        <v>21</v>
      </c>
      <c r="L1180">
        <v>0</v>
      </c>
      <c r="M1180">
        <v>2.9</v>
      </c>
      <c r="N1180">
        <v>43</v>
      </c>
      <c r="O1180" t="s">
        <v>35</v>
      </c>
      <c r="P1180">
        <v>17</v>
      </c>
      <c r="Q1180">
        <v>3.68</v>
      </c>
      <c r="R1180">
        <v>34.1</v>
      </c>
      <c r="S1180">
        <v>73.52</v>
      </c>
      <c r="T1180">
        <v>59.83</v>
      </c>
      <c r="U1180">
        <v>1</v>
      </c>
      <c r="V1180">
        <v>0</v>
      </c>
      <c r="W1180">
        <v>133.35</v>
      </c>
      <c r="X1180">
        <v>46</v>
      </c>
      <c r="Y1180">
        <v>105.08</v>
      </c>
      <c r="Z1180">
        <v>8.39</v>
      </c>
      <c r="AA1180">
        <v>2.13</v>
      </c>
      <c r="AB1180">
        <v>122.83</v>
      </c>
      <c r="AC1180">
        <v>216.12316715542522</v>
      </c>
      <c r="AD1180">
        <v>33.377717391304344</v>
      </c>
      <c r="AE1180">
        <v>78.64</v>
      </c>
      <c r="AF1180">
        <v>13.96</v>
      </c>
      <c r="AG1180">
        <v>1</v>
      </c>
      <c r="AH1180">
        <v>11.86</v>
      </c>
      <c r="AI1180">
        <v>54.86</v>
      </c>
      <c r="AJ1180">
        <v>208.7</v>
      </c>
      <c r="AK1180">
        <v>65.33</v>
      </c>
      <c r="AL1180" t="s">
        <v>14</v>
      </c>
      <c r="AM1180" t="s">
        <v>15</v>
      </c>
      <c r="AN1180" t="str">
        <f t="shared" si="72"/>
        <v>Morning</v>
      </c>
      <c r="AO1180" t="str">
        <f t="shared" si="73"/>
        <v>Peak</v>
      </c>
      <c r="AP1180" t="str">
        <f t="shared" si="74"/>
        <v>Medium</v>
      </c>
      <c r="AQ1180" t="str">
        <f t="shared" si="75"/>
        <v>Medium</v>
      </c>
    </row>
    <row r="1181" spans="1:43" x14ac:dyDescent="0.3">
      <c r="A1181">
        <v>1180</v>
      </c>
      <c r="B1181" t="s">
        <v>7</v>
      </c>
      <c r="C1181" t="s">
        <v>8</v>
      </c>
      <c r="D1181" s="1">
        <v>46043</v>
      </c>
      <c r="E1181" t="s">
        <v>18</v>
      </c>
      <c r="F1181">
        <v>0</v>
      </c>
      <c r="G1181">
        <v>8</v>
      </c>
      <c r="H1181" t="s">
        <v>49</v>
      </c>
      <c r="I1181" t="s">
        <v>37</v>
      </c>
      <c r="J1181">
        <v>1.02</v>
      </c>
      <c r="K1181" t="s">
        <v>12</v>
      </c>
      <c r="L1181">
        <v>0</v>
      </c>
      <c r="M1181">
        <v>3.29</v>
      </c>
      <c r="N1181">
        <v>20</v>
      </c>
      <c r="O1181" t="s">
        <v>22</v>
      </c>
      <c r="P1181">
        <v>11</v>
      </c>
      <c r="Q1181">
        <v>2.57</v>
      </c>
      <c r="R1181">
        <v>29.8</v>
      </c>
      <c r="S1181">
        <v>69.06</v>
      </c>
      <c r="T1181">
        <v>6.9</v>
      </c>
      <c r="U1181">
        <v>1</v>
      </c>
      <c r="V1181">
        <v>0</v>
      </c>
      <c r="W1181">
        <v>75.959999999999994</v>
      </c>
      <c r="X1181">
        <v>47.1</v>
      </c>
      <c r="Y1181">
        <v>101.91</v>
      </c>
      <c r="Z1181">
        <v>5.56</v>
      </c>
      <c r="AA1181">
        <v>5.55</v>
      </c>
      <c r="AB1181">
        <v>64.849999999999994</v>
      </c>
      <c r="AC1181">
        <v>130.57046979865771</v>
      </c>
      <c r="AD1181">
        <v>25.233463035019454</v>
      </c>
      <c r="AE1181">
        <v>77.25</v>
      </c>
      <c r="AF1181">
        <v>15.36</v>
      </c>
      <c r="AG1181">
        <v>0</v>
      </c>
      <c r="AH1181">
        <v>13.44</v>
      </c>
      <c r="AI1181">
        <v>33.44</v>
      </c>
      <c r="AJ1181">
        <v>115.22</v>
      </c>
      <c r="AK1181">
        <v>65.489999999999995</v>
      </c>
      <c r="AL1181" t="s">
        <v>14</v>
      </c>
      <c r="AM1181" t="s">
        <v>15</v>
      </c>
      <c r="AN1181" t="str">
        <f t="shared" si="72"/>
        <v>Morning</v>
      </c>
      <c r="AO1181" t="str">
        <f t="shared" si="73"/>
        <v>Peak</v>
      </c>
      <c r="AP1181" t="str">
        <f t="shared" si="74"/>
        <v>Low</v>
      </c>
      <c r="AQ1181" t="str">
        <f t="shared" si="75"/>
        <v>Low</v>
      </c>
    </row>
    <row r="1182" spans="1:43" x14ac:dyDescent="0.3">
      <c r="A1182">
        <v>1181</v>
      </c>
      <c r="B1182" t="s">
        <v>25</v>
      </c>
      <c r="C1182" t="s">
        <v>17</v>
      </c>
      <c r="D1182" s="1">
        <v>46250</v>
      </c>
      <c r="E1182" t="s">
        <v>26</v>
      </c>
      <c r="F1182">
        <v>1</v>
      </c>
      <c r="G1182">
        <v>20</v>
      </c>
      <c r="H1182" t="s">
        <v>40</v>
      </c>
      <c r="I1182" t="s">
        <v>46</v>
      </c>
      <c r="J1182">
        <v>1.1499999999999999</v>
      </c>
      <c r="K1182" t="s">
        <v>21</v>
      </c>
      <c r="L1182">
        <v>0</v>
      </c>
      <c r="M1182">
        <v>4.67</v>
      </c>
      <c r="N1182">
        <v>97</v>
      </c>
      <c r="O1182" t="s">
        <v>13</v>
      </c>
      <c r="P1182">
        <v>25</v>
      </c>
      <c r="Q1182">
        <v>8.1300000000000008</v>
      </c>
      <c r="R1182">
        <v>61.4</v>
      </c>
      <c r="S1182">
        <v>169.16</v>
      </c>
      <c r="T1182">
        <v>100</v>
      </c>
      <c r="U1182">
        <v>1.22</v>
      </c>
      <c r="V1182">
        <v>37.22</v>
      </c>
      <c r="W1182">
        <v>306.38</v>
      </c>
      <c r="X1182">
        <v>47.4</v>
      </c>
      <c r="Y1182">
        <v>107.98</v>
      </c>
      <c r="Z1182">
        <v>18.53</v>
      </c>
      <c r="AA1182">
        <v>10.35</v>
      </c>
      <c r="AB1182">
        <v>277.5</v>
      </c>
      <c r="AC1182">
        <v>271.17263843648215</v>
      </c>
      <c r="AD1182">
        <v>34.132841328413278</v>
      </c>
      <c r="AE1182">
        <v>91.55</v>
      </c>
      <c r="AF1182">
        <v>17.350000000000001</v>
      </c>
      <c r="AG1182">
        <v>1</v>
      </c>
      <c r="AH1182">
        <v>-0.24</v>
      </c>
      <c r="AI1182">
        <v>96.76</v>
      </c>
      <c r="AJ1182">
        <v>283.48</v>
      </c>
      <c r="AK1182">
        <v>82.29</v>
      </c>
      <c r="AL1182" t="s">
        <v>23</v>
      </c>
      <c r="AM1182" t="s">
        <v>24</v>
      </c>
      <c r="AN1182" t="str">
        <f t="shared" si="72"/>
        <v>Night</v>
      </c>
      <c r="AO1182" t="str">
        <f t="shared" si="73"/>
        <v>Peak</v>
      </c>
      <c r="AP1182" t="str">
        <f t="shared" si="74"/>
        <v>High</v>
      </c>
      <c r="AQ1182" t="str">
        <f t="shared" si="75"/>
        <v>High</v>
      </c>
    </row>
    <row r="1183" spans="1:43" x14ac:dyDescent="0.3">
      <c r="A1183">
        <v>1182</v>
      </c>
      <c r="B1183" t="s">
        <v>23</v>
      </c>
      <c r="C1183" t="s">
        <v>17</v>
      </c>
      <c r="D1183" s="1">
        <v>46220</v>
      </c>
      <c r="E1183" t="s">
        <v>9</v>
      </c>
      <c r="F1183">
        <v>0</v>
      </c>
      <c r="G1183">
        <v>16</v>
      </c>
      <c r="H1183" t="s">
        <v>19</v>
      </c>
      <c r="I1183" t="s">
        <v>20</v>
      </c>
      <c r="J1183">
        <v>1.25</v>
      </c>
      <c r="K1183" t="s">
        <v>21</v>
      </c>
      <c r="L1183">
        <v>0</v>
      </c>
      <c r="M1183">
        <v>2.92</v>
      </c>
      <c r="N1183">
        <v>48</v>
      </c>
      <c r="O1183" t="s">
        <v>35</v>
      </c>
      <c r="P1183">
        <v>12</v>
      </c>
      <c r="Q1183">
        <v>5.79</v>
      </c>
      <c r="R1183">
        <v>48.1</v>
      </c>
      <c r="S1183">
        <v>119.22</v>
      </c>
      <c r="T1183">
        <v>53.47</v>
      </c>
      <c r="U1183">
        <v>1.06</v>
      </c>
      <c r="V1183">
        <v>7.15</v>
      </c>
      <c r="W1183">
        <v>179.84</v>
      </c>
      <c r="X1183">
        <v>35.299999999999997</v>
      </c>
      <c r="Y1183">
        <v>104.71</v>
      </c>
      <c r="Z1183">
        <v>17.16</v>
      </c>
      <c r="AA1183">
        <v>11.2</v>
      </c>
      <c r="AB1183">
        <v>151.47999999999999</v>
      </c>
      <c r="AC1183">
        <v>188.95634095634094</v>
      </c>
      <c r="AD1183">
        <v>26.162348877374782</v>
      </c>
      <c r="AE1183">
        <v>73.31</v>
      </c>
      <c r="AF1183">
        <v>8.8000000000000007</v>
      </c>
      <c r="AG1183">
        <v>0</v>
      </c>
      <c r="AH1183">
        <v>12.06</v>
      </c>
      <c r="AI1183">
        <v>60.06</v>
      </c>
      <c r="AJ1183">
        <v>187.32</v>
      </c>
      <c r="AK1183">
        <v>68.709999999999994</v>
      </c>
      <c r="AL1183" t="s">
        <v>23</v>
      </c>
      <c r="AM1183" t="s">
        <v>24</v>
      </c>
      <c r="AN1183" t="str">
        <f t="shared" si="72"/>
        <v>Evening</v>
      </c>
      <c r="AO1183" t="str">
        <f t="shared" si="73"/>
        <v>Off-Peak</v>
      </c>
      <c r="AP1183" t="str">
        <f t="shared" si="74"/>
        <v>Medium</v>
      </c>
      <c r="AQ1183" t="str">
        <f t="shared" si="75"/>
        <v>Medium</v>
      </c>
    </row>
    <row r="1184" spans="1:43" x14ac:dyDescent="0.3">
      <c r="A1184">
        <v>1183</v>
      </c>
      <c r="B1184" t="s">
        <v>25</v>
      </c>
      <c r="C1184" t="s">
        <v>17</v>
      </c>
      <c r="D1184" s="1">
        <v>46076</v>
      </c>
      <c r="E1184" t="s">
        <v>38</v>
      </c>
      <c r="F1184">
        <v>0</v>
      </c>
      <c r="G1184">
        <v>12</v>
      </c>
      <c r="H1184" t="s">
        <v>19</v>
      </c>
      <c r="I1184" t="s">
        <v>28</v>
      </c>
      <c r="J1184">
        <v>1.03</v>
      </c>
      <c r="K1184" t="s">
        <v>12</v>
      </c>
      <c r="L1184">
        <v>0</v>
      </c>
      <c r="M1184">
        <v>3.86</v>
      </c>
      <c r="N1184">
        <v>28</v>
      </c>
      <c r="O1184" t="s">
        <v>22</v>
      </c>
      <c r="P1184">
        <v>7</v>
      </c>
      <c r="Q1184">
        <v>1.07</v>
      </c>
      <c r="R1184">
        <v>31.4</v>
      </c>
      <c r="S1184">
        <v>73.540000000000006</v>
      </c>
      <c r="T1184">
        <v>50.34</v>
      </c>
      <c r="U1184">
        <v>1.0900000000000001</v>
      </c>
      <c r="V1184">
        <v>6.62</v>
      </c>
      <c r="W1184">
        <v>130.5</v>
      </c>
      <c r="X1184">
        <v>35.799999999999997</v>
      </c>
      <c r="Y1184">
        <v>106.38</v>
      </c>
      <c r="Z1184">
        <v>3.17</v>
      </c>
      <c r="AA1184">
        <v>2.62</v>
      </c>
      <c r="AB1184">
        <v>124.71</v>
      </c>
      <c r="AC1184">
        <v>238.29936305732483</v>
      </c>
      <c r="AD1184">
        <v>116.55140186915887</v>
      </c>
      <c r="AE1184">
        <v>79.12</v>
      </c>
      <c r="AF1184">
        <v>15.17</v>
      </c>
      <c r="AG1184">
        <v>0</v>
      </c>
      <c r="AH1184">
        <v>-2.2200000000000002</v>
      </c>
      <c r="AI1184">
        <v>25.78</v>
      </c>
      <c r="AJ1184">
        <v>236.7</v>
      </c>
      <c r="AK1184">
        <v>67.75</v>
      </c>
      <c r="AL1184" t="s">
        <v>14</v>
      </c>
      <c r="AM1184" t="s">
        <v>15</v>
      </c>
      <c r="AN1184" t="str">
        <f t="shared" si="72"/>
        <v>Afternoon</v>
      </c>
      <c r="AO1184" t="str">
        <f t="shared" si="73"/>
        <v>Off-Peak</v>
      </c>
      <c r="AP1184" t="str">
        <f t="shared" si="74"/>
        <v>Medium</v>
      </c>
      <c r="AQ1184" t="str">
        <f t="shared" si="75"/>
        <v>Low</v>
      </c>
    </row>
    <row r="1185" spans="1:43" x14ac:dyDescent="0.3">
      <c r="A1185">
        <v>1184</v>
      </c>
      <c r="B1185" t="s">
        <v>29</v>
      </c>
      <c r="C1185" t="s">
        <v>30</v>
      </c>
      <c r="D1185" s="1">
        <v>46102</v>
      </c>
      <c r="E1185" t="s">
        <v>31</v>
      </c>
      <c r="F1185">
        <v>1</v>
      </c>
      <c r="G1185">
        <v>19</v>
      </c>
      <c r="H1185" t="s">
        <v>32</v>
      </c>
      <c r="I1185" t="s">
        <v>50</v>
      </c>
      <c r="J1185">
        <v>1.2</v>
      </c>
      <c r="K1185" t="s">
        <v>21</v>
      </c>
      <c r="L1185">
        <v>0</v>
      </c>
      <c r="M1185">
        <v>4.1100000000000003</v>
      </c>
      <c r="N1185">
        <v>97</v>
      </c>
      <c r="O1185" t="s">
        <v>13</v>
      </c>
      <c r="P1185">
        <v>25</v>
      </c>
      <c r="Q1185">
        <v>1.05</v>
      </c>
      <c r="R1185">
        <v>28</v>
      </c>
      <c r="S1185">
        <v>68.11</v>
      </c>
      <c r="T1185">
        <v>100</v>
      </c>
      <c r="U1185">
        <v>1</v>
      </c>
      <c r="V1185">
        <v>0</v>
      </c>
      <c r="W1185">
        <v>168.11</v>
      </c>
      <c r="X1185">
        <v>38</v>
      </c>
      <c r="Y1185">
        <v>102.98</v>
      </c>
      <c r="Z1185">
        <v>2.83</v>
      </c>
      <c r="AA1185">
        <v>2.31</v>
      </c>
      <c r="AB1185">
        <v>162.97</v>
      </c>
      <c r="AC1185">
        <v>349.22142857142859</v>
      </c>
      <c r="AD1185">
        <v>155.2095238095238</v>
      </c>
      <c r="AE1185">
        <v>80.290000000000006</v>
      </c>
      <c r="AF1185">
        <v>14.53</v>
      </c>
      <c r="AG1185">
        <v>1</v>
      </c>
      <c r="AH1185">
        <v>19.010000000000002</v>
      </c>
      <c r="AI1185">
        <v>116.01</v>
      </c>
      <c r="AJ1185">
        <v>361.48</v>
      </c>
      <c r="AK1185">
        <v>73.38</v>
      </c>
      <c r="AL1185" t="s">
        <v>14</v>
      </c>
      <c r="AM1185" t="s">
        <v>15</v>
      </c>
      <c r="AN1185" t="str">
        <f t="shared" si="72"/>
        <v>Night</v>
      </c>
      <c r="AO1185" t="str">
        <f t="shared" si="73"/>
        <v>Peak</v>
      </c>
      <c r="AP1185" t="str">
        <f t="shared" si="74"/>
        <v>High</v>
      </c>
      <c r="AQ1185" t="str">
        <f t="shared" si="75"/>
        <v>High</v>
      </c>
    </row>
    <row r="1186" spans="1:43" x14ac:dyDescent="0.3">
      <c r="A1186">
        <v>1185</v>
      </c>
      <c r="B1186" t="s">
        <v>48</v>
      </c>
      <c r="C1186" t="s">
        <v>30</v>
      </c>
      <c r="D1186" s="1">
        <v>46217</v>
      </c>
      <c r="E1186" t="s">
        <v>44</v>
      </c>
      <c r="F1186">
        <v>0</v>
      </c>
      <c r="G1186">
        <v>20</v>
      </c>
      <c r="H1186" t="s">
        <v>32</v>
      </c>
      <c r="I1186" t="s">
        <v>46</v>
      </c>
      <c r="J1186">
        <v>1.1499999999999999</v>
      </c>
      <c r="K1186" t="s">
        <v>34</v>
      </c>
      <c r="L1186">
        <v>1</v>
      </c>
      <c r="M1186">
        <v>5</v>
      </c>
      <c r="N1186">
        <v>89</v>
      </c>
      <c r="O1186" t="s">
        <v>13</v>
      </c>
      <c r="P1186">
        <v>19</v>
      </c>
      <c r="Q1186">
        <v>2.58</v>
      </c>
      <c r="R1186">
        <v>44.4</v>
      </c>
      <c r="S1186">
        <v>83.89</v>
      </c>
      <c r="T1186">
        <v>100</v>
      </c>
      <c r="U1186">
        <v>1</v>
      </c>
      <c r="V1186">
        <v>0</v>
      </c>
      <c r="W1186">
        <v>183.89</v>
      </c>
      <c r="X1186">
        <v>44.8</v>
      </c>
      <c r="Y1186">
        <v>100.58</v>
      </c>
      <c r="Z1186">
        <v>5.8</v>
      </c>
      <c r="AA1186">
        <v>3.59</v>
      </c>
      <c r="AB1186">
        <v>174.5</v>
      </c>
      <c r="AC1186">
        <v>235.81081081081081</v>
      </c>
      <c r="AD1186">
        <v>67.63565891472868</v>
      </c>
      <c r="AE1186">
        <v>78.430000000000007</v>
      </c>
      <c r="AF1186">
        <v>16.12</v>
      </c>
      <c r="AG1186">
        <v>1</v>
      </c>
      <c r="AH1186">
        <v>17.89</v>
      </c>
      <c r="AI1186">
        <v>106.89</v>
      </c>
      <c r="AJ1186">
        <v>256.74</v>
      </c>
      <c r="AK1186">
        <v>72.319999999999993</v>
      </c>
      <c r="AL1186" t="s">
        <v>23</v>
      </c>
      <c r="AM1186" t="s">
        <v>24</v>
      </c>
      <c r="AN1186" t="str">
        <f t="shared" si="72"/>
        <v>Night</v>
      </c>
      <c r="AO1186" t="str">
        <f t="shared" si="73"/>
        <v>Peak</v>
      </c>
      <c r="AP1186" t="str">
        <f t="shared" si="74"/>
        <v>Medium</v>
      </c>
      <c r="AQ1186" t="str">
        <f t="shared" si="75"/>
        <v>High</v>
      </c>
    </row>
    <row r="1187" spans="1:43" x14ac:dyDescent="0.3">
      <c r="A1187">
        <v>1186</v>
      </c>
      <c r="B1187" t="s">
        <v>48</v>
      </c>
      <c r="C1187" t="s">
        <v>30</v>
      </c>
      <c r="D1187" s="1">
        <v>46078</v>
      </c>
      <c r="E1187" t="s">
        <v>18</v>
      </c>
      <c r="F1187">
        <v>0</v>
      </c>
      <c r="G1187">
        <v>12</v>
      </c>
      <c r="H1187" t="s">
        <v>43</v>
      </c>
      <c r="I1187" t="s">
        <v>11</v>
      </c>
      <c r="J1187">
        <v>1.18</v>
      </c>
      <c r="K1187" t="s">
        <v>21</v>
      </c>
      <c r="L1187">
        <v>0</v>
      </c>
      <c r="M1187">
        <v>2.61</v>
      </c>
      <c r="N1187">
        <v>22</v>
      </c>
      <c r="O1187" t="s">
        <v>22</v>
      </c>
      <c r="P1187">
        <v>5</v>
      </c>
      <c r="Q1187">
        <v>1.2</v>
      </c>
      <c r="R1187">
        <v>23.4</v>
      </c>
      <c r="S1187">
        <v>58.64</v>
      </c>
      <c r="T1187">
        <v>38.39</v>
      </c>
      <c r="U1187">
        <v>1</v>
      </c>
      <c r="V1187">
        <v>0</v>
      </c>
      <c r="W1187">
        <v>97.03</v>
      </c>
      <c r="X1187">
        <v>44.4</v>
      </c>
      <c r="Y1187">
        <v>101.65</v>
      </c>
      <c r="Z1187">
        <v>2.74</v>
      </c>
      <c r="AA1187">
        <v>9.66</v>
      </c>
      <c r="AB1187">
        <v>84.63</v>
      </c>
      <c r="AC1187">
        <v>217</v>
      </c>
      <c r="AD1187">
        <v>70.525000000000006</v>
      </c>
      <c r="AE1187">
        <v>84.21</v>
      </c>
      <c r="AF1187">
        <v>20</v>
      </c>
      <c r="AG1187">
        <v>0</v>
      </c>
      <c r="AH1187">
        <v>-21.58</v>
      </c>
      <c r="AI1187">
        <v>5</v>
      </c>
      <c r="AJ1187">
        <v>220.8</v>
      </c>
      <c r="AK1187">
        <v>60.23</v>
      </c>
      <c r="AL1187" t="s">
        <v>14</v>
      </c>
      <c r="AM1187" t="s">
        <v>15</v>
      </c>
      <c r="AN1187" t="str">
        <f t="shared" si="72"/>
        <v>Afternoon</v>
      </c>
      <c r="AO1187" t="str">
        <f t="shared" si="73"/>
        <v>Off-Peak</v>
      </c>
      <c r="AP1187" t="str">
        <f t="shared" si="74"/>
        <v>Medium</v>
      </c>
      <c r="AQ1187" t="str">
        <f t="shared" si="75"/>
        <v>Low</v>
      </c>
    </row>
    <row r="1188" spans="1:43" x14ac:dyDescent="0.3">
      <c r="A1188">
        <v>1187</v>
      </c>
      <c r="B1188" t="s">
        <v>7</v>
      </c>
      <c r="C1188" t="s">
        <v>8</v>
      </c>
      <c r="D1188" s="1">
        <v>46139</v>
      </c>
      <c r="E1188" t="s">
        <v>38</v>
      </c>
      <c r="F1188">
        <v>0</v>
      </c>
      <c r="G1188">
        <v>15</v>
      </c>
      <c r="H1188" t="s">
        <v>32</v>
      </c>
      <c r="I1188" t="s">
        <v>28</v>
      </c>
      <c r="J1188">
        <v>1.03</v>
      </c>
      <c r="K1188" t="s">
        <v>12</v>
      </c>
      <c r="L1188">
        <v>0</v>
      </c>
      <c r="M1188">
        <v>1.55</v>
      </c>
      <c r="N1188">
        <v>21</v>
      </c>
      <c r="O1188" t="s">
        <v>22</v>
      </c>
      <c r="P1188">
        <v>11</v>
      </c>
      <c r="Q1188">
        <v>7.28</v>
      </c>
      <c r="R1188">
        <v>44.4</v>
      </c>
      <c r="S1188">
        <v>104.38</v>
      </c>
      <c r="T1188">
        <v>29.29</v>
      </c>
      <c r="U1188">
        <v>1</v>
      </c>
      <c r="V1188">
        <v>0</v>
      </c>
      <c r="W1188">
        <v>133.66999999999999</v>
      </c>
      <c r="X1188">
        <v>39.9</v>
      </c>
      <c r="Y1188">
        <v>109.73</v>
      </c>
      <c r="Z1188">
        <v>20.02</v>
      </c>
      <c r="AA1188">
        <v>4.05</v>
      </c>
      <c r="AB1188">
        <v>109.6</v>
      </c>
      <c r="AC1188">
        <v>148.1081081081081</v>
      </c>
      <c r="AD1188">
        <v>15.054945054945053</v>
      </c>
      <c r="AE1188">
        <v>90.34</v>
      </c>
      <c r="AF1188">
        <v>12.91</v>
      </c>
      <c r="AG1188">
        <v>0</v>
      </c>
      <c r="AH1188">
        <v>-17.93</v>
      </c>
      <c r="AI1188">
        <v>5</v>
      </c>
      <c r="AJ1188">
        <v>145.47999999999999</v>
      </c>
      <c r="AK1188">
        <v>65.08</v>
      </c>
      <c r="AL1188" t="s">
        <v>14</v>
      </c>
      <c r="AM1188" t="s">
        <v>15</v>
      </c>
      <c r="AN1188" t="str">
        <f t="shared" si="72"/>
        <v>Evening</v>
      </c>
      <c r="AO1188" t="str">
        <f t="shared" si="73"/>
        <v>Off-Peak</v>
      </c>
      <c r="AP1188" t="str">
        <f t="shared" si="74"/>
        <v>Low</v>
      </c>
      <c r="AQ1188" t="str">
        <f t="shared" si="75"/>
        <v>Low</v>
      </c>
    </row>
    <row r="1189" spans="1:43" x14ac:dyDescent="0.3">
      <c r="A1189">
        <v>1188</v>
      </c>
      <c r="B1189" t="s">
        <v>25</v>
      </c>
      <c r="C1189" t="s">
        <v>17</v>
      </c>
      <c r="D1189" s="1">
        <v>46200</v>
      </c>
      <c r="E1189" t="s">
        <v>31</v>
      </c>
      <c r="F1189">
        <v>1</v>
      </c>
      <c r="G1189">
        <v>7</v>
      </c>
      <c r="H1189" t="s">
        <v>27</v>
      </c>
      <c r="I1189" t="s">
        <v>28</v>
      </c>
      <c r="J1189">
        <v>1.03</v>
      </c>
      <c r="K1189" t="s">
        <v>12</v>
      </c>
      <c r="L1189">
        <v>0</v>
      </c>
      <c r="M1189">
        <v>4.3099999999999996</v>
      </c>
      <c r="N1189">
        <v>89</v>
      </c>
      <c r="O1189" t="s">
        <v>13</v>
      </c>
      <c r="P1189">
        <v>15</v>
      </c>
      <c r="Q1189">
        <v>2.37</v>
      </c>
      <c r="R1189">
        <v>36.9</v>
      </c>
      <c r="S1189">
        <v>87.53</v>
      </c>
      <c r="T1189">
        <v>100</v>
      </c>
      <c r="U1189">
        <v>1.23</v>
      </c>
      <c r="V1189">
        <v>20.13</v>
      </c>
      <c r="W1189">
        <v>207.66</v>
      </c>
      <c r="X1189">
        <v>49.6</v>
      </c>
      <c r="Y1189">
        <v>106.24</v>
      </c>
      <c r="Z1189">
        <v>5.07</v>
      </c>
      <c r="AA1189">
        <v>4.3099999999999996</v>
      </c>
      <c r="AB1189">
        <v>198.28</v>
      </c>
      <c r="AC1189">
        <v>322.40650406504068</v>
      </c>
      <c r="AD1189">
        <v>83.66244725738396</v>
      </c>
      <c r="AE1189">
        <v>75.67</v>
      </c>
      <c r="AF1189">
        <v>17.34</v>
      </c>
      <c r="AG1189">
        <v>1</v>
      </c>
      <c r="AH1189">
        <v>33.47</v>
      </c>
      <c r="AI1189">
        <v>122.47</v>
      </c>
      <c r="AJ1189">
        <v>318.33</v>
      </c>
      <c r="AK1189">
        <v>76.87</v>
      </c>
      <c r="AL1189" t="s">
        <v>23</v>
      </c>
      <c r="AM1189" t="s">
        <v>24</v>
      </c>
      <c r="AN1189" t="str">
        <f t="shared" si="72"/>
        <v>Morning</v>
      </c>
      <c r="AO1189" t="str">
        <f t="shared" si="73"/>
        <v>Peak</v>
      </c>
      <c r="AP1189" t="str">
        <f t="shared" si="74"/>
        <v>High</v>
      </c>
      <c r="AQ1189" t="str">
        <f t="shared" si="75"/>
        <v>High</v>
      </c>
    </row>
    <row r="1190" spans="1:43" x14ac:dyDescent="0.3">
      <c r="A1190">
        <v>1189</v>
      </c>
      <c r="B1190" t="s">
        <v>29</v>
      </c>
      <c r="C1190" t="s">
        <v>30</v>
      </c>
      <c r="D1190" s="1">
        <v>46190</v>
      </c>
      <c r="E1190" t="s">
        <v>18</v>
      </c>
      <c r="F1190">
        <v>0</v>
      </c>
      <c r="G1190">
        <v>11</v>
      </c>
      <c r="H1190" t="s">
        <v>43</v>
      </c>
      <c r="I1190" t="s">
        <v>28</v>
      </c>
      <c r="J1190">
        <v>1.03</v>
      </c>
      <c r="K1190" t="s">
        <v>21</v>
      </c>
      <c r="L1190">
        <v>0</v>
      </c>
      <c r="M1190">
        <v>3.58</v>
      </c>
      <c r="N1190">
        <v>43</v>
      </c>
      <c r="O1190" t="s">
        <v>35</v>
      </c>
      <c r="P1190">
        <v>14</v>
      </c>
      <c r="Q1190">
        <v>5.46</v>
      </c>
      <c r="R1190">
        <v>40.1</v>
      </c>
      <c r="S1190">
        <v>96.2</v>
      </c>
      <c r="T1190">
        <v>32.25</v>
      </c>
      <c r="U1190">
        <v>1</v>
      </c>
      <c r="V1190">
        <v>0</v>
      </c>
      <c r="W1190">
        <v>128.44999999999999</v>
      </c>
      <c r="X1190">
        <v>36.4</v>
      </c>
      <c r="Y1190">
        <v>108.31</v>
      </c>
      <c r="Z1190">
        <v>16.260000000000002</v>
      </c>
      <c r="AA1190">
        <v>10.89</v>
      </c>
      <c r="AB1190">
        <v>101.3</v>
      </c>
      <c r="AC1190">
        <v>151.57107231920199</v>
      </c>
      <c r="AD1190">
        <v>18.553113553113551</v>
      </c>
      <c r="AE1190">
        <v>82.11</v>
      </c>
      <c r="AF1190">
        <v>19.489999999999998</v>
      </c>
      <c r="AG1190">
        <v>0</v>
      </c>
      <c r="AH1190">
        <v>16.98</v>
      </c>
      <c r="AI1190">
        <v>59.98</v>
      </c>
      <c r="AJ1190">
        <v>142.33000000000001</v>
      </c>
      <c r="AK1190">
        <v>72.989999999999995</v>
      </c>
      <c r="AL1190" t="s">
        <v>14</v>
      </c>
      <c r="AM1190" t="s">
        <v>15</v>
      </c>
      <c r="AN1190" t="str">
        <f t="shared" si="72"/>
        <v>Afternoon</v>
      </c>
      <c r="AO1190" t="str">
        <f t="shared" si="73"/>
        <v>Off-Peak</v>
      </c>
      <c r="AP1190" t="str">
        <f t="shared" si="74"/>
        <v>Medium</v>
      </c>
      <c r="AQ1190" t="str">
        <f t="shared" si="75"/>
        <v>Medium</v>
      </c>
    </row>
    <row r="1191" spans="1:43" x14ac:dyDescent="0.3">
      <c r="A1191">
        <v>1190</v>
      </c>
      <c r="B1191" t="s">
        <v>7</v>
      </c>
      <c r="C1191" t="s">
        <v>8</v>
      </c>
      <c r="D1191" s="1">
        <v>46257</v>
      </c>
      <c r="E1191" t="s">
        <v>26</v>
      </c>
      <c r="F1191">
        <v>1</v>
      </c>
      <c r="G1191">
        <v>16</v>
      </c>
      <c r="H1191" t="s">
        <v>32</v>
      </c>
      <c r="I1191" t="s">
        <v>11</v>
      </c>
      <c r="J1191">
        <v>1.18</v>
      </c>
      <c r="K1191" t="s">
        <v>12</v>
      </c>
      <c r="L1191">
        <v>0</v>
      </c>
      <c r="M1191">
        <v>3.46</v>
      </c>
      <c r="N1191">
        <v>43</v>
      </c>
      <c r="O1191" t="s">
        <v>35</v>
      </c>
      <c r="P1191">
        <v>23</v>
      </c>
      <c r="Q1191">
        <v>6.3</v>
      </c>
      <c r="R1191">
        <v>51.4</v>
      </c>
      <c r="S1191">
        <v>106.14</v>
      </c>
      <c r="T1191">
        <v>46.01</v>
      </c>
      <c r="U1191">
        <v>1</v>
      </c>
      <c r="V1191">
        <v>0</v>
      </c>
      <c r="W1191">
        <v>152.15</v>
      </c>
      <c r="X1191">
        <v>46.7</v>
      </c>
      <c r="Y1191">
        <v>100.22</v>
      </c>
      <c r="Z1191">
        <v>13.54</v>
      </c>
      <c r="AA1191">
        <v>10.75</v>
      </c>
      <c r="AB1191">
        <v>127.86</v>
      </c>
      <c r="AC1191">
        <v>149.25291828793775</v>
      </c>
      <c r="AD1191">
        <v>20.295238095238094</v>
      </c>
      <c r="AE1191">
        <v>77.989999999999995</v>
      </c>
      <c r="AF1191">
        <v>17.03</v>
      </c>
      <c r="AG1191">
        <v>1</v>
      </c>
      <c r="AH1191">
        <v>-15.94</v>
      </c>
      <c r="AI1191">
        <v>27.06</v>
      </c>
      <c r="AJ1191">
        <v>162.09</v>
      </c>
      <c r="AK1191">
        <v>75.84</v>
      </c>
      <c r="AL1191" t="s">
        <v>14</v>
      </c>
      <c r="AM1191" t="s">
        <v>15</v>
      </c>
      <c r="AN1191" t="str">
        <f t="shared" si="72"/>
        <v>Evening</v>
      </c>
      <c r="AO1191" t="str">
        <f t="shared" si="73"/>
        <v>Off-Peak</v>
      </c>
      <c r="AP1191" t="str">
        <f t="shared" si="74"/>
        <v>Low</v>
      </c>
      <c r="AQ1191" t="str">
        <f t="shared" si="75"/>
        <v>Medium</v>
      </c>
    </row>
    <row r="1192" spans="1:43" x14ac:dyDescent="0.3">
      <c r="A1192">
        <v>1191</v>
      </c>
      <c r="B1192" t="s">
        <v>48</v>
      </c>
      <c r="C1192" t="s">
        <v>30</v>
      </c>
      <c r="D1192" s="1">
        <v>46051</v>
      </c>
      <c r="E1192" t="s">
        <v>41</v>
      </c>
      <c r="F1192">
        <v>0</v>
      </c>
      <c r="G1192">
        <v>10</v>
      </c>
      <c r="H1192" t="s">
        <v>47</v>
      </c>
      <c r="I1192" t="s">
        <v>20</v>
      </c>
      <c r="J1192">
        <v>1.25</v>
      </c>
      <c r="K1192" t="s">
        <v>21</v>
      </c>
      <c r="L1192">
        <v>0</v>
      </c>
      <c r="M1192">
        <v>3.34</v>
      </c>
      <c r="N1192">
        <v>28</v>
      </c>
      <c r="O1192" t="s">
        <v>22</v>
      </c>
      <c r="P1192">
        <v>10</v>
      </c>
      <c r="Q1192">
        <v>1</v>
      </c>
      <c r="R1192">
        <v>18.100000000000001</v>
      </c>
      <c r="S1192">
        <v>57.37</v>
      </c>
      <c r="T1192">
        <v>29.8</v>
      </c>
      <c r="U1192">
        <v>1</v>
      </c>
      <c r="V1192">
        <v>0</v>
      </c>
      <c r="W1192">
        <v>87.17</v>
      </c>
      <c r="X1192">
        <v>42.2</v>
      </c>
      <c r="Y1192">
        <v>107.65</v>
      </c>
      <c r="Z1192">
        <v>2.5499999999999998</v>
      </c>
      <c r="AA1192">
        <v>8.6999999999999993</v>
      </c>
      <c r="AB1192">
        <v>75.92</v>
      </c>
      <c r="AC1192">
        <v>251.66850828729281</v>
      </c>
      <c r="AD1192">
        <v>75.92</v>
      </c>
      <c r="AE1192">
        <v>76.89</v>
      </c>
      <c r="AF1192">
        <v>14.68</v>
      </c>
      <c r="AG1192">
        <v>0</v>
      </c>
      <c r="AH1192">
        <v>-20.56</v>
      </c>
      <c r="AI1192">
        <v>7.44</v>
      </c>
      <c r="AJ1192">
        <v>244.76</v>
      </c>
      <c r="AK1192">
        <v>61.71</v>
      </c>
      <c r="AL1192" t="s">
        <v>14</v>
      </c>
      <c r="AM1192" t="s">
        <v>15</v>
      </c>
      <c r="AN1192" t="str">
        <f t="shared" si="72"/>
        <v>Morning</v>
      </c>
      <c r="AO1192" t="str">
        <f t="shared" si="73"/>
        <v>Peak</v>
      </c>
      <c r="AP1192" t="str">
        <f t="shared" si="74"/>
        <v>High</v>
      </c>
      <c r="AQ1192" t="str">
        <f t="shared" si="75"/>
        <v>Low</v>
      </c>
    </row>
    <row r="1193" spans="1:43" x14ac:dyDescent="0.3">
      <c r="A1193">
        <v>1192</v>
      </c>
      <c r="B1193" t="s">
        <v>14</v>
      </c>
      <c r="C1193" t="s">
        <v>8</v>
      </c>
      <c r="D1193" s="1">
        <v>46099</v>
      </c>
      <c r="E1193" t="s">
        <v>18</v>
      </c>
      <c r="F1193">
        <v>0</v>
      </c>
      <c r="G1193">
        <v>22</v>
      </c>
      <c r="H1193" t="s">
        <v>51</v>
      </c>
      <c r="I1193" t="s">
        <v>46</v>
      </c>
      <c r="J1193">
        <v>1.1499999999999999</v>
      </c>
      <c r="K1193" t="s">
        <v>12</v>
      </c>
      <c r="L1193">
        <v>0</v>
      </c>
      <c r="M1193">
        <v>2.72</v>
      </c>
      <c r="N1193">
        <v>15</v>
      </c>
      <c r="O1193" t="s">
        <v>22</v>
      </c>
      <c r="P1193">
        <v>8</v>
      </c>
      <c r="Q1193">
        <v>2.46</v>
      </c>
      <c r="R1193">
        <v>24.8</v>
      </c>
      <c r="S1193">
        <v>77.28</v>
      </c>
      <c r="T1193">
        <v>20.25</v>
      </c>
      <c r="U1193">
        <v>1</v>
      </c>
      <c r="V1193">
        <v>0</v>
      </c>
      <c r="W1193">
        <v>97.53</v>
      </c>
      <c r="X1193">
        <v>41.3</v>
      </c>
      <c r="Y1193">
        <v>104.85</v>
      </c>
      <c r="Z1193">
        <v>6.24</v>
      </c>
      <c r="AA1193">
        <v>3.64</v>
      </c>
      <c r="AB1193">
        <v>87.65</v>
      </c>
      <c r="AC1193">
        <v>212.05645161290323</v>
      </c>
      <c r="AD1193">
        <v>35.630081300813011</v>
      </c>
      <c r="AE1193">
        <v>75.180000000000007</v>
      </c>
      <c r="AF1193">
        <v>12.99</v>
      </c>
      <c r="AG1193">
        <v>0</v>
      </c>
      <c r="AH1193">
        <v>6.12</v>
      </c>
      <c r="AI1193">
        <v>21.12</v>
      </c>
      <c r="AJ1193">
        <v>191.84</v>
      </c>
      <c r="AK1193">
        <v>74.5</v>
      </c>
      <c r="AL1193" t="s">
        <v>14</v>
      </c>
      <c r="AM1193" t="s">
        <v>15</v>
      </c>
      <c r="AN1193" t="str">
        <f t="shared" si="72"/>
        <v>Night</v>
      </c>
      <c r="AO1193" t="str">
        <f t="shared" si="73"/>
        <v>Off-Peak</v>
      </c>
      <c r="AP1193" t="str">
        <f t="shared" si="74"/>
        <v>Medium</v>
      </c>
      <c r="AQ1193" t="str">
        <f t="shared" si="75"/>
        <v>Low</v>
      </c>
    </row>
    <row r="1194" spans="1:43" x14ac:dyDescent="0.3">
      <c r="A1194">
        <v>1193</v>
      </c>
      <c r="B1194" t="s">
        <v>14</v>
      </c>
      <c r="C1194" t="s">
        <v>8</v>
      </c>
      <c r="D1194" s="1">
        <v>46277</v>
      </c>
      <c r="E1194" t="s">
        <v>31</v>
      </c>
      <c r="F1194">
        <v>1</v>
      </c>
      <c r="G1194">
        <v>22</v>
      </c>
      <c r="H1194" t="s">
        <v>51</v>
      </c>
      <c r="I1194" t="s">
        <v>37</v>
      </c>
      <c r="J1194">
        <v>1.02</v>
      </c>
      <c r="K1194" t="s">
        <v>21</v>
      </c>
      <c r="L1194">
        <v>0</v>
      </c>
      <c r="M1194">
        <v>2.35</v>
      </c>
      <c r="N1194">
        <v>51</v>
      </c>
      <c r="O1194" t="s">
        <v>35</v>
      </c>
      <c r="P1194">
        <v>21</v>
      </c>
      <c r="Q1194">
        <v>3.24</v>
      </c>
      <c r="R1194">
        <v>21.9</v>
      </c>
      <c r="S1194">
        <v>76.599999999999994</v>
      </c>
      <c r="T1194">
        <v>37.549999999999997</v>
      </c>
      <c r="U1194">
        <v>1</v>
      </c>
      <c r="V1194">
        <v>0</v>
      </c>
      <c r="W1194">
        <v>114.15</v>
      </c>
      <c r="X1194">
        <v>35.4</v>
      </c>
      <c r="Y1194">
        <v>106.65</v>
      </c>
      <c r="Z1194">
        <v>9.75</v>
      </c>
      <c r="AA1194">
        <v>5.81</v>
      </c>
      <c r="AB1194">
        <v>98.59</v>
      </c>
      <c r="AC1194">
        <v>270.10958904109589</v>
      </c>
      <c r="AD1194">
        <v>30.429012345679013</v>
      </c>
      <c r="AE1194">
        <v>73.42</v>
      </c>
      <c r="AF1194">
        <v>15.24</v>
      </c>
      <c r="AG1194">
        <v>1</v>
      </c>
      <c r="AH1194">
        <v>-14.13</v>
      </c>
      <c r="AI1194">
        <v>36.869999999999997</v>
      </c>
      <c r="AJ1194">
        <v>287.67</v>
      </c>
      <c r="AK1194">
        <v>70.91</v>
      </c>
      <c r="AL1194" t="s">
        <v>14</v>
      </c>
      <c r="AM1194" t="s">
        <v>15</v>
      </c>
      <c r="AN1194" t="str">
        <f t="shared" si="72"/>
        <v>Night</v>
      </c>
      <c r="AO1194" t="str">
        <f t="shared" si="73"/>
        <v>Off-Peak</v>
      </c>
      <c r="AP1194" t="str">
        <f t="shared" si="74"/>
        <v>High</v>
      </c>
      <c r="AQ1194" t="str">
        <f t="shared" si="75"/>
        <v>Medium</v>
      </c>
    </row>
    <row r="1195" spans="1:43" x14ac:dyDescent="0.3">
      <c r="A1195">
        <v>1194</v>
      </c>
      <c r="B1195" t="s">
        <v>25</v>
      </c>
      <c r="C1195" t="s">
        <v>17</v>
      </c>
      <c r="D1195" s="1">
        <v>46169</v>
      </c>
      <c r="E1195" t="s">
        <v>18</v>
      </c>
      <c r="F1195">
        <v>0</v>
      </c>
      <c r="G1195">
        <v>11</v>
      </c>
      <c r="H1195" t="s">
        <v>19</v>
      </c>
      <c r="I1195" t="s">
        <v>42</v>
      </c>
      <c r="J1195">
        <v>1.08</v>
      </c>
      <c r="K1195" t="s">
        <v>12</v>
      </c>
      <c r="L1195">
        <v>0</v>
      </c>
      <c r="M1195">
        <v>3.44</v>
      </c>
      <c r="N1195">
        <v>40</v>
      </c>
      <c r="O1195" t="s">
        <v>35</v>
      </c>
      <c r="P1195">
        <v>8</v>
      </c>
      <c r="Q1195">
        <v>4.63</v>
      </c>
      <c r="R1195">
        <v>41.7</v>
      </c>
      <c r="S1195">
        <v>132.16</v>
      </c>
      <c r="T1195">
        <v>38.799999999999997</v>
      </c>
      <c r="U1195">
        <v>1</v>
      </c>
      <c r="V1195">
        <v>0</v>
      </c>
      <c r="W1195">
        <v>170.96</v>
      </c>
      <c r="X1195">
        <v>45.9</v>
      </c>
      <c r="Y1195">
        <v>103.58</v>
      </c>
      <c r="Z1195">
        <v>10.43</v>
      </c>
      <c r="AA1195">
        <v>4.3600000000000003</v>
      </c>
      <c r="AB1195">
        <v>156.16999999999999</v>
      </c>
      <c r="AC1195">
        <v>224.705035971223</v>
      </c>
      <c r="AD1195">
        <v>33.730021598272138</v>
      </c>
      <c r="AE1195">
        <v>46.52</v>
      </c>
      <c r="AF1195">
        <v>19.05</v>
      </c>
      <c r="AG1195">
        <v>0</v>
      </c>
      <c r="AH1195">
        <v>-1.75</v>
      </c>
      <c r="AI1195">
        <v>38.25</v>
      </c>
      <c r="AJ1195">
        <v>210.55</v>
      </c>
      <c r="AK1195">
        <v>77.25</v>
      </c>
      <c r="AL1195" t="s">
        <v>23</v>
      </c>
      <c r="AM1195" t="s">
        <v>24</v>
      </c>
      <c r="AN1195" t="str">
        <f t="shared" si="72"/>
        <v>Afternoon</v>
      </c>
      <c r="AO1195" t="str">
        <f t="shared" si="73"/>
        <v>Off-Peak</v>
      </c>
      <c r="AP1195" t="str">
        <f t="shared" si="74"/>
        <v>Medium</v>
      </c>
      <c r="AQ1195" t="str">
        <f t="shared" si="75"/>
        <v>Medium</v>
      </c>
    </row>
    <row r="1196" spans="1:43" x14ac:dyDescent="0.3">
      <c r="A1196">
        <v>1195</v>
      </c>
      <c r="B1196" t="s">
        <v>29</v>
      </c>
      <c r="C1196" t="s">
        <v>30</v>
      </c>
      <c r="D1196" s="1">
        <v>46087</v>
      </c>
      <c r="E1196" t="s">
        <v>9</v>
      </c>
      <c r="F1196">
        <v>0</v>
      </c>
      <c r="G1196">
        <v>13</v>
      </c>
      <c r="H1196" t="s">
        <v>43</v>
      </c>
      <c r="I1196" t="s">
        <v>20</v>
      </c>
      <c r="J1196">
        <v>1.25</v>
      </c>
      <c r="K1196" t="s">
        <v>12</v>
      </c>
      <c r="L1196">
        <v>0</v>
      </c>
      <c r="M1196">
        <v>3.34</v>
      </c>
      <c r="N1196">
        <v>47</v>
      </c>
      <c r="O1196" t="s">
        <v>35</v>
      </c>
      <c r="P1196">
        <v>17</v>
      </c>
      <c r="Q1196">
        <v>7</v>
      </c>
      <c r="R1196">
        <v>60.9</v>
      </c>
      <c r="S1196">
        <v>110.25</v>
      </c>
      <c r="T1196">
        <v>47.59</v>
      </c>
      <c r="U1196">
        <v>1</v>
      </c>
      <c r="V1196">
        <v>0</v>
      </c>
      <c r="W1196">
        <v>157.84</v>
      </c>
      <c r="X1196">
        <v>46.6</v>
      </c>
      <c r="Y1196">
        <v>106.21</v>
      </c>
      <c r="Z1196">
        <v>15.97</v>
      </c>
      <c r="AA1196">
        <v>8.7200000000000006</v>
      </c>
      <c r="AB1196">
        <v>133.15</v>
      </c>
      <c r="AC1196">
        <v>131.18226600985224</v>
      </c>
      <c r="AD1196">
        <v>19.021428571428572</v>
      </c>
      <c r="AE1196">
        <v>88.04</v>
      </c>
      <c r="AF1196">
        <v>16.46</v>
      </c>
      <c r="AG1196">
        <v>0</v>
      </c>
      <c r="AH1196">
        <v>2.29</v>
      </c>
      <c r="AI1196">
        <v>49.29</v>
      </c>
      <c r="AJ1196">
        <v>131.66999999999999</v>
      </c>
      <c r="AK1196">
        <v>75.959999999999994</v>
      </c>
      <c r="AL1196" t="s">
        <v>14</v>
      </c>
      <c r="AM1196" t="s">
        <v>15</v>
      </c>
      <c r="AN1196" t="str">
        <f t="shared" si="72"/>
        <v>Afternoon</v>
      </c>
      <c r="AO1196" t="str">
        <f t="shared" si="73"/>
        <v>Off-Peak</v>
      </c>
      <c r="AP1196" t="str">
        <f t="shared" si="74"/>
        <v>Low</v>
      </c>
      <c r="AQ1196" t="str">
        <f t="shared" si="75"/>
        <v>Medium</v>
      </c>
    </row>
    <row r="1197" spans="1:43" x14ac:dyDescent="0.3">
      <c r="A1197">
        <v>1196</v>
      </c>
      <c r="B1197" t="s">
        <v>25</v>
      </c>
      <c r="C1197" t="s">
        <v>17</v>
      </c>
      <c r="D1197" s="1">
        <v>46097</v>
      </c>
      <c r="E1197" t="s">
        <v>38</v>
      </c>
      <c r="F1197">
        <v>0</v>
      </c>
      <c r="G1197">
        <v>10</v>
      </c>
      <c r="H1197" t="s">
        <v>19</v>
      </c>
      <c r="I1197" t="s">
        <v>37</v>
      </c>
      <c r="J1197">
        <v>1.02</v>
      </c>
      <c r="K1197" t="s">
        <v>34</v>
      </c>
      <c r="L1197">
        <v>1</v>
      </c>
      <c r="M1197">
        <v>3.05</v>
      </c>
      <c r="N1197">
        <v>43</v>
      </c>
      <c r="O1197" t="s">
        <v>35</v>
      </c>
      <c r="P1197">
        <v>6</v>
      </c>
      <c r="Q1197">
        <v>14.85</v>
      </c>
      <c r="R1197">
        <v>86.4</v>
      </c>
      <c r="S1197">
        <v>227.62</v>
      </c>
      <c r="T1197">
        <v>49.18</v>
      </c>
      <c r="U1197">
        <v>1.1499999999999999</v>
      </c>
      <c r="V1197">
        <v>34.14</v>
      </c>
      <c r="W1197">
        <v>310.94</v>
      </c>
      <c r="X1197">
        <v>39.799999999999997</v>
      </c>
      <c r="Y1197">
        <v>100.36</v>
      </c>
      <c r="Z1197">
        <v>37.450000000000003</v>
      </c>
      <c r="AA1197">
        <v>9.8000000000000007</v>
      </c>
      <c r="AB1197">
        <v>263.69</v>
      </c>
      <c r="AC1197">
        <v>183.11805555555554</v>
      </c>
      <c r="AD1197">
        <v>17.756902356902359</v>
      </c>
      <c r="AE1197">
        <v>69.88</v>
      </c>
      <c r="AF1197">
        <v>17.54</v>
      </c>
      <c r="AG1197">
        <v>0</v>
      </c>
      <c r="AH1197">
        <v>1.64</v>
      </c>
      <c r="AI1197">
        <v>44.64</v>
      </c>
      <c r="AJ1197">
        <v>195.44</v>
      </c>
      <c r="AK1197">
        <v>72.42</v>
      </c>
      <c r="AL1197" t="s">
        <v>23</v>
      </c>
      <c r="AM1197" t="s">
        <v>24</v>
      </c>
      <c r="AN1197" t="str">
        <f t="shared" si="72"/>
        <v>Morning</v>
      </c>
      <c r="AO1197" t="str">
        <f t="shared" si="73"/>
        <v>Peak</v>
      </c>
      <c r="AP1197" t="str">
        <f t="shared" si="74"/>
        <v>Medium</v>
      </c>
      <c r="AQ1197" t="str">
        <f t="shared" si="75"/>
        <v>Medium</v>
      </c>
    </row>
    <row r="1198" spans="1:43" x14ac:dyDescent="0.3">
      <c r="A1198">
        <v>1197</v>
      </c>
      <c r="B1198" t="s">
        <v>25</v>
      </c>
      <c r="C1198" t="s">
        <v>17</v>
      </c>
      <c r="D1198" s="1">
        <v>46110</v>
      </c>
      <c r="E1198" t="s">
        <v>26</v>
      </c>
      <c r="F1198">
        <v>1</v>
      </c>
      <c r="G1198">
        <v>15</v>
      </c>
      <c r="H1198" t="s">
        <v>19</v>
      </c>
      <c r="I1198" t="s">
        <v>28</v>
      </c>
      <c r="J1198">
        <v>1.03</v>
      </c>
      <c r="K1198" t="s">
        <v>34</v>
      </c>
      <c r="L1198">
        <v>1</v>
      </c>
      <c r="M1198">
        <v>4.3899999999999997</v>
      </c>
      <c r="N1198">
        <v>68</v>
      </c>
      <c r="O1198" t="s">
        <v>35</v>
      </c>
      <c r="P1198">
        <v>10</v>
      </c>
      <c r="Q1198">
        <v>10.88</v>
      </c>
      <c r="R1198">
        <v>77.7</v>
      </c>
      <c r="S1198">
        <v>188.73</v>
      </c>
      <c r="T1198">
        <v>90.47</v>
      </c>
      <c r="U1198">
        <v>1.24</v>
      </c>
      <c r="V1198">
        <v>45.3</v>
      </c>
      <c r="W1198">
        <v>324.5</v>
      </c>
      <c r="X1198">
        <v>42.8</v>
      </c>
      <c r="Y1198">
        <v>100.46</v>
      </c>
      <c r="Z1198">
        <v>25.57</v>
      </c>
      <c r="AA1198">
        <v>3.42</v>
      </c>
      <c r="AB1198">
        <v>295.51</v>
      </c>
      <c r="AC1198">
        <v>228.19305019305017</v>
      </c>
      <c r="AD1198">
        <v>27.16084558823529</v>
      </c>
      <c r="AE1198">
        <v>75.510000000000005</v>
      </c>
      <c r="AF1198">
        <v>20</v>
      </c>
      <c r="AG1198">
        <v>1</v>
      </c>
      <c r="AH1198">
        <v>19.899999999999999</v>
      </c>
      <c r="AI1198">
        <v>87.9</v>
      </c>
      <c r="AJ1198">
        <v>233.13</v>
      </c>
      <c r="AK1198">
        <v>73.12</v>
      </c>
      <c r="AL1198" t="s">
        <v>23</v>
      </c>
      <c r="AM1198" t="s">
        <v>24</v>
      </c>
      <c r="AN1198" t="str">
        <f t="shared" si="72"/>
        <v>Evening</v>
      </c>
      <c r="AO1198" t="str">
        <f t="shared" si="73"/>
        <v>Off-Peak</v>
      </c>
      <c r="AP1198" t="str">
        <f t="shared" si="74"/>
        <v>Medium</v>
      </c>
      <c r="AQ1198" t="str">
        <f t="shared" si="75"/>
        <v>Medium</v>
      </c>
    </row>
    <row r="1199" spans="1:43" x14ac:dyDescent="0.3">
      <c r="A1199">
        <v>1198</v>
      </c>
      <c r="B1199" t="s">
        <v>23</v>
      </c>
      <c r="C1199" t="s">
        <v>17</v>
      </c>
      <c r="D1199" s="1">
        <v>46166</v>
      </c>
      <c r="E1199" t="s">
        <v>26</v>
      </c>
      <c r="F1199">
        <v>1</v>
      </c>
      <c r="G1199">
        <v>8</v>
      </c>
      <c r="H1199" t="s">
        <v>27</v>
      </c>
      <c r="I1199" t="s">
        <v>42</v>
      </c>
      <c r="J1199">
        <v>1.08</v>
      </c>
      <c r="K1199" t="s">
        <v>34</v>
      </c>
      <c r="L1199">
        <v>1</v>
      </c>
      <c r="M1199">
        <v>3.89</v>
      </c>
      <c r="N1199">
        <v>105</v>
      </c>
      <c r="O1199" t="s">
        <v>13</v>
      </c>
      <c r="P1199">
        <v>27</v>
      </c>
      <c r="Q1199">
        <v>3.64</v>
      </c>
      <c r="R1199">
        <v>51.7</v>
      </c>
      <c r="S1199">
        <v>95.73</v>
      </c>
      <c r="T1199">
        <v>100</v>
      </c>
      <c r="U1199">
        <v>1.42</v>
      </c>
      <c r="V1199">
        <v>40.21</v>
      </c>
      <c r="W1199">
        <v>235.94</v>
      </c>
      <c r="X1199">
        <v>44.1</v>
      </c>
      <c r="Y1199">
        <v>107.99</v>
      </c>
      <c r="Z1199">
        <v>8.93</v>
      </c>
      <c r="AA1199">
        <v>10.98</v>
      </c>
      <c r="AB1199">
        <v>216.03</v>
      </c>
      <c r="AC1199">
        <v>250.7117988394584</v>
      </c>
      <c r="AD1199">
        <v>59.348901098901095</v>
      </c>
      <c r="AE1199">
        <v>78.64</v>
      </c>
      <c r="AF1199">
        <v>15.84</v>
      </c>
      <c r="AG1199">
        <v>1</v>
      </c>
      <c r="AH1199">
        <v>30.52</v>
      </c>
      <c r="AI1199">
        <v>135.52000000000001</v>
      </c>
      <c r="AJ1199">
        <v>226.36</v>
      </c>
      <c r="AK1199">
        <v>73.48</v>
      </c>
      <c r="AL1199" t="s">
        <v>23</v>
      </c>
      <c r="AM1199" t="s">
        <v>24</v>
      </c>
      <c r="AN1199" t="str">
        <f t="shared" si="72"/>
        <v>Morning</v>
      </c>
      <c r="AO1199" t="str">
        <f t="shared" si="73"/>
        <v>Peak</v>
      </c>
      <c r="AP1199" t="str">
        <f t="shared" si="74"/>
        <v>High</v>
      </c>
      <c r="AQ1199" t="str">
        <f t="shared" si="75"/>
        <v>High</v>
      </c>
    </row>
    <row r="1200" spans="1:43" x14ac:dyDescent="0.3">
      <c r="A1200">
        <v>1199</v>
      </c>
      <c r="B1200" t="s">
        <v>16</v>
      </c>
      <c r="C1200" t="s">
        <v>17</v>
      </c>
      <c r="D1200" s="1">
        <v>46096</v>
      </c>
      <c r="E1200" t="s">
        <v>26</v>
      </c>
      <c r="F1200">
        <v>1</v>
      </c>
      <c r="G1200">
        <v>13</v>
      </c>
      <c r="H1200" t="s">
        <v>19</v>
      </c>
      <c r="I1200" t="s">
        <v>42</v>
      </c>
      <c r="J1200">
        <v>1.08</v>
      </c>
      <c r="K1200" t="s">
        <v>34</v>
      </c>
      <c r="L1200">
        <v>1</v>
      </c>
      <c r="M1200">
        <v>3.03</v>
      </c>
      <c r="N1200">
        <v>68</v>
      </c>
      <c r="O1200" t="s">
        <v>35</v>
      </c>
      <c r="P1200">
        <v>15</v>
      </c>
      <c r="Q1200">
        <v>3.61</v>
      </c>
      <c r="R1200">
        <v>38.4</v>
      </c>
      <c r="S1200">
        <v>89.17</v>
      </c>
      <c r="T1200">
        <v>65.099999999999994</v>
      </c>
      <c r="U1200">
        <v>1.24</v>
      </c>
      <c r="V1200">
        <v>21.4</v>
      </c>
      <c r="W1200">
        <v>175.67</v>
      </c>
      <c r="X1200">
        <v>40.5</v>
      </c>
      <c r="Y1200">
        <v>101.24</v>
      </c>
      <c r="Z1200">
        <v>9.0299999999999994</v>
      </c>
      <c r="AA1200">
        <v>6.63</v>
      </c>
      <c r="AB1200">
        <v>160.01</v>
      </c>
      <c r="AC1200">
        <v>250.01562499999997</v>
      </c>
      <c r="AD1200">
        <v>44.32409972299169</v>
      </c>
      <c r="AE1200">
        <v>71.17</v>
      </c>
      <c r="AF1200">
        <v>11.97</v>
      </c>
      <c r="AG1200">
        <v>1</v>
      </c>
      <c r="AH1200">
        <v>-4.18</v>
      </c>
      <c r="AI1200">
        <v>63.82</v>
      </c>
      <c r="AJ1200">
        <v>260.83</v>
      </c>
      <c r="AK1200">
        <v>69.459999999999994</v>
      </c>
      <c r="AL1200" t="s">
        <v>14</v>
      </c>
      <c r="AM1200" t="s">
        <v>15</v>
      </c>
      <c r="AN1200" t="str">
        <f t="shared" si="72"/>
        <v>Afternoon</v>
      </c>
      <c r="AO1200" t="str">
        <f t="shared" si="73"/>
        <v>Off-Peak</v>
      </c>
      <c r="AP1200" t="str">
        <f t="shared" si="74"/>
        <v>High</v>
      </c>
      <c r="AQ1200" t="str">
        <f t="shared" si="75"/>
        <v>Medium</v>
      </c>
    </row>
    <row r="1201" spans="1:43" x14ac:dyDescent="0.3">
      <c r="A1201">
        <v>1200</v>
      </c>
      <c r="B1201" t="s">
        <v>25</v>
      </c>
      <c r="C1201" t="s">
        <v>17</v>
      </c>
      <c r="D1201" s="1">
        <v>46183</v>
      </c>
      <c r="E1201" t="s">
        <v>18</v>
      </c>
      <c r="F1201">
        <v>0</v>
      </c>
      <c r="G1201">
        <v>15</v>
      </c>
      <c r="H1201" t="s">
        <v>19</v>
      </c>
      <c r="I1201" t="s">
        <v>33</v>
      </c>
      <c r="J1201">
        <v>1</v>
      </c>
      <c r="K1201" t="s">
        <v>12</v>
      </c>
      <c r="L1201">
        <v>0</v>
      </c>
      <c r="M1201">
        <v>4.3099999999999996</v>
      </c>
      <c r="N1201">
        <v>26</v>
      </c>
      <c r="O1201" t="s">
        <v>22</v>
      </c>
      <c r="P1201">
        <v>5</v>
      </c>
      <c r="Q1201">
        <v>10.15</v>
      </c>
      <c r="R1201">
        <v>67.099999999999994</v>
      </c>
      <c r="S1201">
        <v>174.94</v>
      </c>
      <c r="T1201">
        <v>10.220000000000001</v>
      </c>
      <c r="U1201">
        <v>1</v>
      </c>
      <c r="V1201">
        <v>0</v>
      </c>
      <c r="W1201">
        <v>185.16</v>
      </c>
      <c r="X1201">
        <v>44.2</v>
      </c>
      <c r="Y1201">
        <v>100.14</v>
      </c>
      <c r="Z1201">
        <v>22.97</v>
      </c>
      <c r="AA1201">
        <v>9.9499999999999993</v>
      </c>
      <c r="AB1201">
        <v>152.24</v>
      </c>
      <c r="AC1201">
        <v>136.13114754098365</v>
      </c>
      <c r="AD1201">
        <v>14.999014778325124</v>
      </c>
      <c r="AE1201">
        <v>76</v>
      </c>
      <c r="AF1201">
        <v>17.66</v>
      </c>
      <c r="AG1201">
        <v>0</v>
      </c>
      <c r="AH1201">
        <v>-13.96</v>
      </c>
      <c r="AI1201">
        <v>12.04</v>
      </c>
      <c r="AJ1201">
        <v>156.08000000000001</v>
      </c>
      <c r="AK1201">
        <v>65.819999999999993</v>
      </c>
      <c r="AL1201" t="s">
        <v>23</v>
      </c>
      <c r="AM1201" t="s">
        <v>24</v>
      </c>
      <c r="AN1201" t="str">
        <f t="shared" si="72"/>
        <v>Evening</v>
      </c>
      <c r="AO1201" t="str">
        <f t="shared" si="73"/>
        <v>Off-Peak</v>
      </c>
      <c r="AP1201" t="str">
        <f t="shared" si="74"/>
        <v>Low</v>
      </c>
      <c r="AQ1201" t="str">
        <f t="shared" si="75"/>
        <v>Low</v>
      </c>
    </row>
  </sheetData>
  <autoFilter ref="AJ1:AJ1365" xr:uid="{E5211A82-003E-48DD-B598-8827B44AD5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gig_delivery_multi_platform_FIN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Kishore Kodi</cp:lastModifiedBy>
  <dcterms:created xsi:type="dcterms:W3CDTF">2026-09-15T06:53:27Z</dcterms:created>
  <dcterms:modified xsi:type="dcterms:W3CDTF">2026-09-15T10:01:31Z</dcterms:modified>
</cp:coreProperties>
</file>